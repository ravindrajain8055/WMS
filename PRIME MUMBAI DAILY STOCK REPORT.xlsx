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MIS\"/>
    </mc:Choice>
  </mc:AlternateContent>
  <bookViews>
    <workbookView xWindow="0" yWindow="0" windowWidth="21600" windowHeight="9735"/>
  </bookViews>
  <sheets>
    <sheet name="Stock Summery" sheetId="1" r:id="rId1"/>
    <sheet name="Inward" sheetId="2" r:id="rId2"/>
    <sheet name="Outward" sheetId="3" r:id="rId3"/>
    <sheet name="PP &amp; Metric tonnes detail" sheetId="4" r:id="rId4"/>
    <sheet name="GRN details" sheetId="5" r:id="rId5"/>
    <sheet name="DISPATCH NOTIFICATION" sheetId="7" r:id="rId6"/>
  </sheets>
  <externalReferences>
    <externalReference r:id="rId7"/>
  </externalReferences>
  <definedNames>
    <definedName name="_xlnm._FilterDatabase" localSheetId="1" hidden="1">Inward!$A$1:$AC$400</definedName>
    <definedName name="_xlnm._FilterDatabase" localSheetId="2" hidden="1">Outward!$A$1:$AB$934</definedName>
    <definedName name="_xlnm._FilterDatabase" localSheetId="0" hidden="1">'Stock Summery'!$A$5:$CL$343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970" i="3" l="1"/>
  <c r="Y970" i="3"/>
  <c r="M970" i="3"/>
  <c r="L970" i="3"/>
  <c r="H7" i="7" l="1"/>
  <c r="CJ50" i="1"/>
  <c r="CJ49" i="1"/>
  <c r="CJ48" i="1"/>
  <c r="CJ47" i="1"/>
  <c r="CJ46" i="1"/>
  <c r="CJ45" i="1"/>
  <c r="CJ44" i="1"/>
  <c r="CJ43" i="1"/>
  <c r="CJ42" i="1"/>
  <c r="CJ41" i="1"/>
  <c r="CJ40" i="1"/>
  <c r="CJ39" i="1"/>
  <c r="CJ38" i="1"/>
  <c r="CJ37" i="1"/>
  <c r="CJ36" i="1"/>
  <c r="CJ35" i="1"/>
  <c r="CJ34" i="1"/>
  <c r="CJ33" i="1"/>
  <c r="CJ32" i="1"/>
  <c r="CJ31" i="1"/>
  <c r="CJ30" i="1"/>
  <c r="CJ29" i="1"/>
  <c r="CJ28" i="1"/>
  <c r="CJ27" i="1"/>
  <c r="CJ26" i="1"/>
  <c r="CJ25" i="1"/>
  <c r="CJ24" i="1"/>
  <c r="CJ23" i="1"/>
  <c r="CJ22" i="1"/>
  <c r="CJ21" i="1"/>
  <c r="CJ20" i="1"/>
  <c r="CJ19" i="1"/>
  <c r="CJ18" i="1"/>
  <c r="CJ17" i="1"/>
  <c r="CJ16" i="1"/>
  <c r="CJ15" i="1"/>
  <c r="CJ14" i="1"/>
  <c r="CJ13" i="1"/>
  <c r="CJ12" i="1"/>
  <c r="CJ11" i="1"/>
  <c r="CJ10" i="1"/>
  <c r="CJ9" i="1"/>
  <c r="CJ8" i="1"/>
  <c r="CJ7" i="1"/>
  <c r="CJ6" i="1"/>
  <c r="Y969" i="3"/>
  <c r="AB969" i="3"/>
  <c r="AB968" i="3"/>
  <c r="Y968" i="3"/>
  <c r="M969" i="3"/>
  <c r="M968" i="3"/>
  <c r="CL206" i="1" l="1"/>
  <c r="Z13" i="4" l="1"/>
  <c r="W13" i="4"/>
  <c r="H6" i="7"/>
  <c r="AB967" i="3"/>
  <c r="Y967" i="3"/>
  <c r="M967" i="3"/>
  <c r="Y966" i="3"/>
  <c r="AB966" i="3"/>
  <c r="AB965" i="3"/>
  <c r="Y965" i="3"/>
  <c r="L966" i="3"/>
  <c r="M966" i="3"/>
  <c r="L965" i="3"/>
  <c r="M965" i="3"/>
  <c r="AB964" i="3"/>
  <c r="Y964" i="3"/>
  <c r="M964" i="3"/>
  <c r="M342" i="1" l="1"/>
  <c r="N342" i="1" s="1"/>
  <c r="CJ342" i="1" s="1"/>
  <c r="M341" i="1"/>
  <c r="N341" i="1" s="1"/>
  <c r="CJ341" i="1" s="1"/>
  <c r="M340" i="1"/>
  <c r="N340" i="1" s="1"/>
  <c r="CJ340" i="1" s="1"/>
  <c r="M339" i="1"/>
  <c r="N339" i="1" s="1"/>
  <c r="CJ339" i="1" s="1"/>
  <c r="M338" i="1"/>
  <c r="N338" i="1" s="1"/>
  <c r="CJ338" i="1" s="1"/>
  <c r="AC447" i="2"/>
  <c r="AC446" i="2"/>
  <c r="AC445" i="2"/>
  <c r="Z447" i="2"/>
  <c r="Z446" i="2"/>
  <c r="Z445" i="2"/>
  <c r="O447" i="2"/>
  <c r="O446" i="2"/>
  <c r="O445" i="2"/>
  <c r="AC444" i="2"/>
  <c r="AC443" i="2"/>
  <c r="Z444" i="2"/>
  <c r="Z443" i="2"/>
  <c r="O444" i="2"/>
  <c r="O443" i="2"/>
  <c r="M337" i="1"/>
  <c r="N337" i="1" s="1"/>
  <c r="CJ337" i="1" s="1"/>
  <c r="AC442" i="2"/>
  <c r="Z442" i="2"/>
  <c r="O442" i="2"/>
  <c r="AB963" i="3" l="1"/>
  <c r="Y963" i="3"/>
  <c r="M963" i="3"/>
  <c r="L963" i="3"/>
  <c r="Y962" i="3"/>
  <c r="AB962" i="3"/>
  <c r="AB961" i="3"/>
  <c r="Y961" i="3"/>
  <c r="M962" i="3"/>
  <c r="M961" i="3"/>
  <c r="CL268" i="1"/>
  <c r="M336" i="1"/>
  <c r="N336" i="1" s="1"/>
  <c r="CJ336" i="1" s="1"/>
  <c r="AC441" i="2"/>
  <c r="Z441" i="2"/>
  <c r="O441" i="2"/>
  <c r="Z12" i="4" l="1"/>
  <c r="W12" i="4"/>
  <c r="Z11" i="4"/>
  <c r="W11" i="4"/>
  <c r="H3" i="7"/>
  <c r="H4" i="7"/>
  <c r="H5" i="7"/>
  <c r="I951" i="3"/>
  <c r="M951" i="3"/>
  <c r="Y951" i="3"/>
  <c r="AB951" i="3"/>
  <c r="I952" i="3"/>
  <c r="M952" i="3"/>
  <c r="Y952" i="3"/>
  <c r="AB952" i="3"/>
  <c r="I953" i="3"/>
  <c r="M953" i="3"/>
  <c r="Y953" i="3"/>
  <c r="AB953" i="3"/>
  <c r="M960" i="3"/>
  <c r="Y960" i="3"/>
  <c r="AB960" i="3"/>
  <c r="M956" i="3"/>
  <c r="Y956" i="3"/>
  <c r="AB956" i="3"/>
  <c r="M957" i="3"/>
  <c r="Y957" i="3"/>
  <c r="AB957" i="3"/>
  <c r="M955" i="3"/>
  <c r="Y955" i="3"/>
  <c r="AB955" i="3"/>
  <c r="M958" i="3"/>
  <c r="Y958" i="3"/>
  <c r="AB958" i="3"/>
  <c r="M959" i="3"/>
  <c r="Y959" i="3"/>
  <c r="AB959" i="3"/>
  <c r="AB954" i="3"/>
  <c r="Y954" i="3"/>
  <c r="M954" i="3"/>
  <c r="AB950" i="3"/>
  <c r="Y950" i="3"/>
  <c r="M950" i="3"/>
  <c r="I950" i="3"/>
  <c r="Y949" i="3" l="1"/>
  <c r="AB949" i="3"/>
  <c r="M949" i="3"/>
  <c r="AB948" i="3"/>
  <c r="Y948" i="3"/>
  <c r="M948" i="3"/>
  <c r="AB947" i="3"/>
  <c r="Y947" i="3"/>
  <c r="M947" i="3"/>
  <c r="AB946" i="3"/>
  <c r="Y946" i="3"/>
  <c r="M946" i="3"/>
  <c r="M335" i="1"/>
  <c r="N335" i="1" s="1"/>
  <c r="CJ335" i="1" s="1"/>
  <c r="M334" i="1"/>
  <c r="N334" i="1" s="1"/>
  <c r="CJ334" i="1" s="1"/>
  <c r="M333" i="1"/>
  <c r="N333" i="1" s="1"/>
  <c r="CJ333" i="1" s="1"/>
  <c r="M332" i="1"/>
  <c r="N332" i="1" s="1"/>
  <c r="CJ332" i="1" s="1"/>
  <c r="M331" i="1"/>
  <c r="N331" i="1" s="1"/>
  <c r="CJ331" i="1" s="1"/>
  <c r="M330" i="1"/>
  <c r="N330" i="1" s="1"/>
  <c r="CJ330" i="1" s="1"/>
  <c r="M329" i="1"/>
  <c r="N329" i="1" s="1"/>
  <c r="CJ329" i="1" s="1"/>
  <c r="M328" i="1"/>
  <c r="N328" i="1" s="1"/>
  <c r="CJ328" i="1" s="1"/>
  <c r="AC440" i="2"/>
  <c r="Z440" i="2"/>
  <c r="O440" i="2"/>
  <c r="Z438" i="2"/>
  <c r="AC438" i="2"/>
  <c r="Z439" i="2"/>
  <c r="AC439" i="2"/>
  <c r="AC437" i="2"/>
  <c r="Z437" i="2"/>
  <c r="O439" i="2"/>
  <c r="O438" i="2"/>
  <c r="O437" i="2"/>
  <c r="Z435" i="2"/>
  <c r="AC435" i="2"/>
  <c r="Z436" i="2"/>
  <c r="AC436" i="2"/>
  <c r="AC434" i="2"/>
  <c r="Z434" i="2"/>
  <c r="O436" i="2"/>
  <c r="O435" i="2"/>
  <c r="O434" i="2"/>
  <c r="AC433" i="2"/>
  <c r="Z433" i="2"/>
  <c r="O433" i="2"/>
  <c r="Z10" i="4" l="1"/>
  <c r="W10" i="4"/>
  <c r="M327" i="1"/>
  <c r="N327" i="1" s="1"/>
  <c r="CJ327" i="1" s="1"/>
  <c r="M326" i="1"/>
  <c r="N326" i="1" s="1"/>
  <c r="CJ326" i="1" s="1"/>
  <c r="M325" i="1"/>
  <c r="N325" i="1" s="1"/>
  <c r="CJ325" i="1" s="1"/>
  <c r="AC432" i="2"/>
  <c r="Z432" i="2"/>
  <c r="O432" i="2"/>
  <c r="Z431" i="2"/>
  <c r="AC431" i="2"/>
  <c r="AC430" i="2"/>
  <c r="Z430" i="2"/>
  <c r="O431" i="2"/>
  <c r="O430" i="2"/>
  <c r="AB945" i="3"/>
  <c r="Y945" i="3"/>
  <c r="M945" i="3"/>
  <c r="M324" i="1"/>
  <c r="N324" i="1" s="1"/>
  <c r="CJ324" i="1" s="1"/>
  <c r="M323" i="1"/>
  <c r="N323" i="1" s="1"/>
  <c r="CJ323" i="1" s="1"/>
  <c r="M322" i="1"/>
  <c r="N322" i="1" s="1"/>
  <c r="CJ322" i="1" s="1"/>
  <c r="Z428" i="2"/>
  <c r="AC428" i="2"/>
  <c r="Z429" i="2"/>
  <c r="AC429" i="2"/>
  <c r="AC427" i="2"/>
  <c r="Z427" i="2"/>
  <c r="O429" i="2"/>
  <c r="O428" i="2"/>
  <c r="O427" i="2"/>
  <c r="N429" i="2"/>
  <c r="N428" i="2"/>
  <c r="N427" i="2"/>
  <c r="M321" i="1"/>
  <c r="N321" i="1" s="1"/>
  <c r="CJ321" i="1" s="1"/>
  <c r="M320" i="1"/>
  <c r="N320" i="1" s="1"/>
  <c r="CJ320" i="1" s="1"/>
  <c r="M319" i="1"/>
  <c r="N319" i="1" s="1"/>
  <c r="CJ319" i="1" s="1"/>
  <c r="M318" i="1"/>
  <c r="N318" i="1" s="1"/>
  <c r="CJ318" i="1" s="1"/>
  <c r="M317" i="1"/>
  <c r="N317" i="1" s="1"/>
  <c r="CJ317" i="1" s="1"/>
  <c r="M316" i="1"/>
  <c r="N316" i="1" s="1"/>
  <c r="CJ316" i="1" s="1"/>
  <c r="AC426" i="2"/>
  <c r="Z426" i="2"/>
  <c r="O426" i="2"/>
  <c r="Z424" i="2"/>
  <c r="AC424" i="2"/>
  <c r="Z425" i="2"/>
  <c r="AC425" i="2"/>
  <c r="AC423" i="2"/>
  <c r="Z423" i="2"/>
  <c r="O425" i="2"/>
  <c r="O424" i="2"/>
  <c r="O423" i="2"/>
  <c r="N425" i="2"/>
  <c r="N424" i="2"/>
  <c r="N423" i="2"/>
  <c r="Z422" i="2"/>
  <c r="AC422" i="2"/>
  <c r="AC421" i="2"/>
  <c r="Z421" i="2"/>
  <c r="O422" i="2"/>
  <c r="O421" i="2"/>
  <c r="Z9" i="4" l="1"/>
  <c r="W9" i="4"/>
  <c r="M937" i="3"/>
  <c r="M938" i="3"/>
  <c r="M939" i="3"/>
  <c r="M940" i="3"/>
  <c r="Y938" i="3"/>
  <c r="AB938" i="3"/>
  <c r="Y939" i="3"/>
  <c r="AB939" i="3"/>
  <c r="Y940" i="3"/>
  <c r="AB940" i="3"/>
  <c r="CD207" i="1"/>
  <c r="AB944" i="3"/>
  <c r="Y944" i="3"/>
  <c r="M944" i="3"/>
  <c r="M943" i="3"/>
  <c r="Y943" i="3"/>
  <c r="AB943" i="3"/>
  <c r="AB942" i="3"/>
  <c r="Y942" i="3"/>
  <c r="M942" i="3"/>
  <c r="M941" i="3"/>
  <c r="Y941" i="3"/>
  <c r="AB941" i="3"/>
  <c r="AB937" i="3"/>
  <c r="Y937" i="3"/>
  <c r="AB936" i="3"/>
  <c r="Y936" i="3"/>
  <c r="M936" i="3"/>
  <c r="AB935" i="3"/>
  <c r="Y935" i="3"/>
  <c r="M935" i="3"/>
  <c r="AB934" i="3"/>
  <c r="Y934" i="3"/>
  <c r="M934" i="3"/>
  <c r="M315" i="1" l="1"/>
  <c r="N315" i="1" s="1"/>
  <c r="CJ315" i="1" s="1"/>
  <c r="AC420" i="2"/>
  <c r="Z420" i="2"/>
  <c r="O420" i="2"/>
  <c r="M314" i="1" l="1"/>
  <c r="N314" i="1" s="1"/>
  <c r="CJ314" i="1" s="1"/>
  <c r="M313" i="1"/>
  <c r="N313" i="1" s="1"/>
  <c r="CJ313" i="1" s="1"/>
  <c r="M312" i="1"/>
  <c r="N312" i="1" s="1"/>
  <c r="CJ312" i="1" s="1"/>
  <c r="M311" i="1"/>
  <c r="N311" i="1" s="1"/>
  <c r="CJ311" i="1" s="1"/>
  <c r="M310" i="1"/>
  <c r="N310" i="1" s="1"/>
  <c r="CJ310" i="1" s="1"/>
  <c r="M309" i="1"/>
  <c r="N309" i="1" s="1"/>
  <c r="CJ309" i="1" s="1"/>
  <c r="Z419" i="2"/>
  <c r="AC419" i="2"/>
  <c r="AC418" i="2"/>
  <c r="Z418" i="2"/>
  <c r="O419" i="2"/>
  <c r="O418" i="2"/>
  <c r="Z416" i="2"/>
  <c r="AC416" i="2"/>
  <c r="Z417" i="2"/>
  <c r="AC417" i="2"/>
  <c r="AC415" i="2"/>
  <c r="Z415" i="2"/>
  <c r="O417" i="2"/>
  <c r="O416" i="2"/>
  <c r="O415" i="2"/>
  <c r="AC414" i="2"/>
  <c r="Z414" i="2"/>
  <c r="O414" i="2"/>
  <c r="M308" i="1" l="1"/>
  <c r="N308" i="1" s="1"/>
  <c r="CJ308" i="1" s="1"/>
  <c r="M307" i="1"/>
  <c r="N307" i="1" s="1"/>
  <c r="CJ307" i="1" s="1"/>
  <c r="M306" i="1"/>
  <c r="N306" i="1" s="1"/>
  <c r="CJ306" i="1" s="1"/>
  <c r="AC413" i="2"/>
  <c r="Z413" i="2"/>
  <c r="O413" i="2"/>
  <c r="Z412" i="2"/>
  <c r="AC412" i="2"/>
  <c r="AC411" i="2"/>
  <c r="Z411" i="2"/>
  <c r="O412" i="2"/>
  <c r="O411" i="2"/>
  <c r="AB933" i="3" l="1"/>
  <c r="Y933" i="3"/>
  <c r="Z8" i="4"/>
  <c r="W8" i="4"/>
  <c r="M933" i="3"/>
  <c r="M930" i="3"/>
  <c r="Y930" i="3"/>
  <c r="AB930" i="3"/>
  <c r="M929" i="3"/>
  <c r="Y929" i="3"/>
  <c r="AB929" i="3"/>
  <c r="Y932" i="3"/>
  <c r="AB932" i="3"/>
  <c r="M932" i="3"/>
  <c r="AB931" i="3"/>
  <c r="Y931" i="3"/>
  <c r="M931" i="3"/>
  <c r="AB928" i="3"/>
  <c r="Y928" i="3"/>
  <c r="M928" i="3"/>
  <c r="AB927" i="3"/>
  <c r="Y927" i="3"/>
  <c r="M927" i="3"/>
  <c r="AB926" i="3"/>
  <c r="Y926" i="3"/>
  <c r="M926" i="3"/>
  <c r="AB925" i="3"/>
  <c r="Y925" i="3"/>
  <c r="M925" i="3"/>
  <c r="M305" i="1"/>
  <c r="N305" i="1" s="1"/>
  <c r="CJ305" i="1" s="1"/>
  <c r="J305" i="1"/>
  <c r="AC410" i="2"/>
  <c r="Z410" i="2"/>
  <c r="O410" i="2"/>
  <c r="M304" i="1" l="1"/>
  <c r="N304" i="1" s="1"/>
  <c r="CJ304" i="1" s="1"/>
  <c r="M303" i="1"/>
  <c r="N303" i="1" s="1"/>
  <c r="CJ303" i="1" s="1"/>
  <c r="M302" i="1"/>
  <c r="N302" i="1" s="1"/>
  <c r="CJ302" i="1" s="1"/>
  <c r="M301" i="1"/>
  <c r="N301" i="1" s="1"/>
  <c r="CJ301" i="1" s="1"/>
  <c r="AC409" i="2"/>
  <c r="Z409" i="2"/>
  <c r="O409" i="2"/>
  <c r="Z407" i="2"/>
  <c r="AC407" i="2"/>
  <c r="Z408" i="2"/>
  <c r="AC408" i="2"/>
  <c r="O408" i="2"/>
  <c r="O407" i="2"/>
  <c r="AC406" i="2"/>
  <c r="Z406" i="2"/>
  <c r="O406" i="2"/>
  <c r="M300" i="1" l="1"/>
  <c r="N300" i="1" s="1"/>
  <c r="CJ300" i="1" s="1"/>
  <c r="M299" i="1"/>
  <c r="N299" i="1" s="1"/>
  <c r="CJ299" i="1" s="1"/>
  <c r="M298" i="1"/>
  <c r="N298" i="1" s="1"/>
  <c r="CJ298" i="1" s="1"/>
  <c r="Z405" i="2"/>
  <c r="AC405" i="2"/>
  <c r="AC404" i="2"/>
  <c r="Z404" i="2"/>
  <c r="O405" i="2"/>
  <c r="O404" i="2"/>
  <c r="AC403" i="2"/>
  <c r="Z403" i="2"/>
  <c r="O403" i="2"/>
  <c r="Z7" i="4" l="1"/>
  <c r="W7" i="4"/>
  <c r="AB924" i="3"/>
  <c r="Y924" i="3"/>
  <c r="M924" i="3"/>
  <c r="AB923" i="3"/>
  <c r="Y923" i="3"/>
  <c r="M923" i="3"/>
  <c r="AB922" i="3"/>
  <c r="Y922" i="3"/>
  <c r="M922" i="3"/>
  <c r="Y921" i="3"/>
  <c r="AB921" i="3"/>
  <c r="M921" i="3"/>
  <c r="AB920" i="3"/>
  <c r="Y920" i="3"/>
  <c r="M920" i="3"/>
  <c r="I920" i="3"/>
  <c r="AB919" i="3"/>
  <c r="Y919" i="3"/>
  <c r="M919" i="3"/>
  <c r="Z6" i="4" l="1"/>
  <c r="M297" i="1"/>
  <c r="N297" i="1" s="1"/>
  <c r="CJ297" i="1" s="1"/>
  <c r="M296" i="1"/>
  <c r="N296" i="1" s="1"/>
  <c r="CJ296" i="1" s="1"/>
  <c r="J296" i="1"/>
  <c r="J297" i="1"/>
  <c r="O402" i="2"/>
  <c r="Z402" i="2"/>
  <c r="AC402" i="2"/>
  <c r="AC401" i="2"/>
  <c r="Z401" i="2"/>
  <c r="O401" i="2"/>
  <c r="W6" i="4"/>
  <c r="I900" i="3"/>
  <c r="M900" i="3"/>
  <c r="Y900" i="3"/>
  <c r="AB900" i="3"/>
  <c r="I901" i="3"/>
  <c r="M901" i="3"/>
  <c r="Y901" i="3"/>
  <c r="AB901" i="3"/>
  <c r="I902" i="3"/>
  <c r="M902" i="3"/>
  <c r="Y902" i="3"/>
  <c r="AB902" i="3"/>
  <c r="M916" i="3"/>
  <c r="Y916" i="3"/>
  <c r="AB916" i="3"/>
  <c r="M917" i="3"/>
  <c r="Y917" i="3"/>
  <c r="AB917" i="3"/>
  <c r="M914" i="3"/>
  <c r="Y914" i="3"/>
  <c r="AB914" i="3"/>
  <c r="M911" i="3"/>
  <c r="Y911" i="3"/>
  <c r="AB911" i="3"/>
  <c r="AB918" i="3" l="1"/>
  <c r="Y918" i="3"/>
  <c r="M918" i="3"/>
  <c r="M912" i="3"/>
  <c r="Y912" i="3"/>
  <c r="AB912" i="3"/>
  <c r="AB915" i="3"/>
  <c r="Y915" i="3"/>
  <c r="M915" i="3"/>
  <c r="AB913" i="3"/>
  <c r="Y913" i="3"/>
  <c r="M913" i="3"/>
  <c r="AB910" i="3"/>
  <c r="Y910" i="3"/>
  <c r="M910" i="3"/>
  <c r="AB909" i="3"/>
  <c r="Y909" i="3"/>
  <c r="M909" i="3"/>
  <c r="AB908" i="3"/>
  <c r="Y908" i="3"/>
  <c r="M908" i="3"/>
  <c r="AB907" i="3"/>
  <c r="Y907" i="3"/>
  <c r="M907" i="3"/>
  <c r="M906" i="3"/>
  <c r="Y906" i="3"/>
  <c r="AB906" i="3"/>
  <c r="AB905" i="3"/>
  <c r="Y905" i="3"/>
  <c r="M905" i="3"/>
  <c r="AB904" i="3"/>
  <c r="Y904" i="3"/>
  <c r="M904" i="3"/>
  <c r="AB903" i="3"/>
  <c r="Y903" i="3"/>
  <c r="M903" i="3"/>
  <c r="AB899" i="3"/>
  <c r="Y899" i="3"/>
  <c r="M899" i="3"/>
  <c r="I899" i="3"/>
  <c r="AB897" i="3"/>
  <c r="Y897" i="3"/>
  <c r="M897" i="3"/>
  <c r="AB898" i="3"/>
  <c r="Y898" i="3"/>
  <c r="M898" i="3"/>
  <c r="Y894" i="3"/>
  <c r="AB894" i="3"/>
  <c r="Y895" i="3"/>
  <c r="AB895" i="3"/>
  <c r="Y896" i="3"/>
  <c r="AB896" i="3"/>
  <c r="AB893" i="3"/>
  <c r="Y893" i="3"/>
  <c r="I894" i="3"/>
  <c r="I895" i="3"/>
  <c r="I896" i="3"/>
  <c r="M896" i="3"/>
  <c r="M895" i="3"/>
  <c r="M894" i="3"/>
  <c r="M893" i="3"/>
  <c r="I893" i="3"/>
  <c r="Z5" i="4" l="1"/>
  <c r="W5" i="4"/>
  <c r="Z4" i="4"/>
  <c r="W4" i="4"/>
  <c r="I890" i="3"/>
  <c r="M890" i="3"/>
  <c r="Y890" i="3"/>
  <c r="AB890" i="3"/>
  <c r="I891" i="3"/>
  <c r="M891" i="3"/>
  <c r="Y891" i="3"/>
  <c r="AB891" i="3"/>
  <c r="I892" i="3"/>
  <c r="M892" i="3"/>
  <c r="Y892" i="3"/>
  <c r="AB892" i="3"/>
  <c r="M888" i="3"/>
  <c r="Y888" i="3"/>
  <c r="AB888" i="3"/>
  <c r="AB889" i="3" l="1"/>
  <c r="Y889" i="3"/>
  <c r="M889" i="3"/>
  <c r="I889" i="3"/>
  <c r="AB887" i="3"/>
  <c r="Y887" i="3"/>
  <c r="M887" i="3"/>
  <c r="M886" i="3"/>
  <c r="Y886" i="3"/>
  <c r="AB886" i="3"/>
  <c r="AB885" i="3"/>
  <c r="Y885" i="3"/>
  <c r="M885" i="3"/>
  <c r="AB884" i="3"/>
  <c r="Y884" i="3"/>
  <c r="M884" i="3"/>
  <c r="Y880" i="3" l="1"/>
  <c r="AB880" i="3"/>
  <c r="L879" i="3"/>
  <c r="L880" i="3"/>
  <c r="M880" i="3" s="1"/>
  <c r="Y881" i="3"/>
  <c r="AB881" i="3"/>
  <c r="Y882" i="3"/>
  <c r="AB882" i="3"/>
  <c r="Y883" i="3"/>
  <c r="AB883" i="3"/>
  <c r="AB879" i="3"/>
  <c r="Y879" i="3"/>
  <c r="M883" i="3"/>
  <c r="L882" i="3"/>
  <c r="M882" i="3" s="1"/>
  <c r="M881" i="3"/>
  <c r="M879" i="3"/>
  <c r="Z3" i="4" l="1"/>
  <c r="W3" i="4"/>
  <c r="M295" i="1"/>
  <c r="N295" i="1" s="1"/>
  <c r="CJ295" i="1" s="1"/>
  <c r="M294" i="1"/>
  <c r="N294" i="1" s="1"/>
  <c r="CJ294" i="1" s="1"/>
  <c r="Z400" i="2"/>
  <c r="AC400" i="2"/>
  <c r="AC399" i="2"/>
  <c r="Z399" i="2"/>
  <c r="O400" i="2"/>
  <c r="O399" i="2"/>
  <c r="Z2" i="4" l="1"/>
  <c r="W2" i="4"/>
  <c r="AB878" i="3" l="1"/>
  <c r="Y878" i="3"/>
  <c r="M878" i="3"/>
  <c r="Q31" i="4" l="1"/>
  <c r="N31" i="4"/>
  <c r="AB877" i="3" l="1"/>
  <c r="Y877" i="3"/>
  <c r="M877" i="3"/>
  <c r="AB876" i="3"/>
  <c r="Y876" i="3"/>
  <c r="M876" i="3"/>
  <c r="AB875" i="3"/>
  <c r="Y875" i="3"/>
  <c r="AB874" i="3"/>
  <c r="Y874" i="3"/>
  <c r="M875" i="3"/>
  <c r="M874" i="3" l="1"/>
  <c r="Q30" i="4" l="1"/>
  <c r="N30" i="4"/>
  <c r="M873" i="3"/>
  <c r="Y873" i="3"/>
  <c r="AB873" i="3"/>
  <c r="AB872" i="3"/>
  <c r="Y872" i="3"/>
  <c r="M872" i="3"/>
  <c r="AB871" i="3"/>
  <c r="Y871" i="3"/>
  <c r="M871" i="3"/>
  <c r="AB870" i="3"/>
  <c r="Y870" i="3"/>
  <c r="M870" i="3"/>
  <c r="AB869" i="3"/>
  <c r="Y869" i="3"/>
  <c r="M869" i="3"/>
  <c r="M293" i="1"/>
  <c r="N293" i="1" s="1"/>
  <c r="CJ293" i="1" s="1"/>
  <c r="M292" i="1"/>
  <c r="N292" i="1" s="1"/>
  <c r="CJ292" i="1" s="1"/>
  <c r="J293" i="1"/>
  <c r="J292" i="1"/>
  <c r="O398" i="2"/>
  <c r="Z398" i="2"/>
  <c r="AC398" i="2"/>
  <c r="AC397" i="2"/>
  <c r="Z397" i="2"/>
  <c r="O397" i="2"/>
  <c r="Y865" i="3" l="1"/>
  <c r="AB865" i="3"/>
  <c r="Y866" i="3"/>
  <c r="AB866" i="3"/>
  <c r="M865" i="3"/>
  <c r="M866" i="3"/>
  <c r="L864" i="3"/>
  <c r="M291" i="1"/>
  <c r="N291" i="1" s="1"/>
  <c r="CJ291" i="1" s="1"/>
  <c r="Y867" i="3"/>
  <c r="AB867" i="3"/>
  <c r="Y868" i="3"/>
  <c r="AB868" i="3"/>
  <c r="AB864" i="3"/>
  <c r="Y864" i="3"/>
  <c r="M864" i="3"/>
  <c r="M867" i="3"/>
  <c r="L868" i="3"/>
  <c r="M868" i="3" s="1"/>
  <c r="L867" i="3"/>
  <c r="AC396" i="2"/>
  <c r="Z396" i="2"/>
  <c r="O396" i="2"/>
  <c r="Q29" i="4" l="1"/>
  <c r="N29" i="4"/>
  <c r="M860" i="3"/>
  <c r="Y860" i="3"/>
  <c r="AB860" i="3"/>
  <c r="M861" i="3"/>
  <c r="Y861" i="3"/>
  <c r="AB861" i="3"/>
  <c r="M862" i="3"/>
  <c r="Y862" i="3"/>
  <c r="AB862" i="3"/>
  <c r="AB863" i="3"/>
  <c r="Y863" i="3"/>
  <c r="M863" i="3"/>
  <c r="M858" i="3"/>
  <c r="Y858" i="3"/>
  <c r="AB858" i="3"/>
  <c r="AB859" i="3" l="1"/>
  <c r="Y859" i="3"/>
  <c r="M859" i="3"/>
  <c r="AB857" i="3"/>
  <c r="Y857" i="3"/>
  <c r="M857" i="3"/>
  <c r="Y855" i="3" l="1"/>
  <c r="AB855" i="3"/>
  <c r="Y856" i="3"/>
  <c r="AB856" i="3"/>
  <c r="M856" i="3"/>
  <c r="M854" i="3"/>
  <c r="AB854" i="3"/>
  <c r="Y854" i="3"/>
  <c r="AB853" i="3"/>
  <c r="Y853" i="3"/>
  <c r="M853" i="3"/>
  <c r="Q28" i="4" l="1"/>
  <c r="N28" i="4"/>
  <c r="M850" i="3"/>
  <c r="Y850" i="3"/>
  <c r="AB850" i="3"/>
  <c r="H2" i="7" l="1"/>
  <c r="M851" i="3"/>
  <c r="Y851" i="3"/>
  <c r="AB851" i="3"/>
  <c r="M852" i="3"/>
  <c r="Y852" i="3"/>
  <c r="AB852" i="3"/>
  <c r="AB849" i="3"/>
  <c r="Y849" i="3"/>
  <c r="M849" i="3"/>
  <c r="AB848" i="3"/>
  <c r="Y848" i="3"/>
  <c r="M848" i="3"/>
  <c r="J109" i="1"/>
  <c r="J248" i="1"/>
  <c r="J232" i="1"/>
  <c r="J257" i="1"/>
  <c r="J259" i="1"/>
  <c r="J258" i="1"/>
  <c r="J260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84" i="1"/>
  <c r="J283" i="1"/>
  <c r="J282" i="1"/>
  <c r="AB847" i="3"/>
  <c r="Y847" i="3"/>
  <c r="M847" i="3"/>
  <c r="Y844" i="3"/>
  <c r="AB844" i="3"/>
  <c r="Y845" i="3"/>
  <c r="AB845" i="3"/>
  <c r="Y846" i="3"/>
  <c r="AB846" i="3"/>
  <c r="AB843" i="3"/>
  <c r="Y843" i="3"/>
  <c r="M846" i="3"/>
  <c r="M845" i="3"/>
  <c r="M844" i="3"/>
  <c r="M843" i="3"/>
  <c r="Q27" i="4" l="1"/>
  <c r="N27" i="4"/>
  <c r="M282" i="1"/>
  <c r="N282" i="1" s="1"/>
  <c r="CJ282" i="1" s="1"/>
  <c r="M283" i="1"/>
  <c r="N283" i="1" s="1"/>
  <c r="CJ283" i="1" s="1"/>
  <c r="M284" i="1"/>
  <c r="N284" i="1" s="1"/>
  <c r="CJ284" i="1" s="1"/>
  <c r="M285" i="1"/>
  <c r="N285" i="1" s="1"/>
  <c r="CJ285" i="1" s="1"/>
  <c r="M286" i="1"/>
  <c r="N286" i="1" s="1"/>
  <c r="CJ286" i="1" s="1"/>
  <c r="M287" i="1"/>
  <c r="N287" i="1" s="1"/>
  <c r="CJ287" i="1" s="1"/>
  <c r="M288" i="1"/>
  <c r="N288" i="1" s="1"/>
  <c r="CJ288" i="1" s="1"/>
  <c r="M289" i="1"/>
  <c r="N289" i="1" s="1"/>
  <c r="CJ289" i="1" s="1"/>
  <c r="M290" i="1"/>
  <c r="N290" i="1" s="1"/>
  <c r="CJ290" i="1" s="1"/>
  <c r="AC395" i="2"/>
  <c r="Z395" i="2"/>
  <c r="O395" i="2"/>
  <c r="Z394" i="2"/>
  <c r="AC394" i="2"/>
  <c r="AC393" i="2"/>
  <c r="Z393" i="2"/>
  <c r="O394" i="2"/>
  <c r="O393" i="2"/>
  <c r="AC392" i="2"/>
  <c r="Z392" i="2"/>
  <c r="O392" i="2"/>
  <c r="Z391" i="2"/>
  <c r="AC391" i="2"/>
  <c r="AC390" i="2"/>
  <c r="Z390" i="2"/>
  <c r="O391" i="2"/>
  <c r="O390" i="2"/>
  <c r="AC389" i="2"/>
  <c r="Z389" i="2"/>
  <c r="O389" i="2"/>
  <c r="AC388" i="2"/>
  <c r="Z388" i="2"/>
  <c r="O388" i="2"/>
  <c r="AC387" i="2"/>
  <c r="Z387" i="2"/>
  <c r="O387" i="2"/>
  <c r="Q26" i="4" l="1"/>
  <c r="N26" i="4"/>
  <c r="Q25" i="4" l="1"/>
  <c r="N25" i="4"/>
  <c r="M842" i="3"/>
  <c r="Y842" i="3"/>
  <c r="AB842" i="3"/>
  <c r="M837" i="3"/>
  <c r="Y837" i="3"/>
  <c r="AB837" i="3"/>
  <c r="M838" i="3"/>
  <c r="Y838" i="3"/>
  <c r="AB838" i="3"/>
  <c r="M839" i="3"/>
  <c r="Y839" i="3"/>
  <c r="AB839" i="3"/>
  <c r="M281" i="1" l="1"/>
  <c r="N281" i="1" s="1"/>
  <c r="CJ281" i="1" s="1"/>
  <c r="M280" i="1"/>
  <c r="N280" i="1" s="1"/>
  <c r="CJ280" i="1" s="1"/>
  <c r="M279" i="1"/>
  <c r="N279" i="1" s="1"/>
  <c r="CJ279" i="1" s="1"/>
  <c r="M278" i="1"/>
  <c r="N278" i="1" s="1"/>
  <c r="CJ278" i="1" s="1"/>
  <c r="M277" i="1"/>
  <c r="N277" i="1" s="1"/>
  <c r="CJ277" i="1" s="1"/>
  <c r="M276" i="1"/>
  <c r="N276" i="1" s="1"/>
  <c r="CJ276" i="1" s="1"/>
  <c r="M275" i="1"/>
  <c r="N275" i="1" s="1"/>
  <c r="CJ275" i="1" s="1"/>
  <c r="J281" i="1"/>
  <c r="J280" i="1"/>
  <c r="J279" i="1"/>
  <c r="J278" i="1"/>
  <c r="J277" i="1"/>
  <c r="J276" i="1"/>
  <c r="J275" i="1"/>
  <c r="AB841" i="3"/>
  <c r="Y841" i="3"/>
  <c r="M841" i="3"/>
  <c r="AB840" i="3"/>
  <c r="Y840" i="3"/>
  <c r="M840" i="3"/>
  <c r="AB836" i="3"/>
  <c r="Y836" i="3"/>
  <c r="M836" i="3"/>
  <c r="AB835" i="3"/>
  <c r="Y835" i="3"/>
  <c r="M835" i="3"/>
  <c r="O383" i="2"/>
  <c r="Z383" i="2"/>
  <c r="AC383" i="2"/>
  <c r="O384" i="2"/>
  <c r="Z384" i="2"/>
  <c r="AC384" i="2"/>
  <c r="Z386" i="2"/>
  <c r="AC386" i="2"/>
  <c r="AC385" i="2"/>
  <c r="Z385" i="2"/>
  <c r="O386" i="2"/>
  <c r="O385" i="2"/>
  <c r="AC382" i="2"/>
  <c r="Z382" i="2"/>
  <c r="O382" i="2"/>
  <c r="AC381" i="2"/>
  <c r="Z381" i="2"/>
  <c r="O381" i="2"/>
  <c r="AC380" i="2" l="1"/>
  <c r="Z380" i="2" l="1"/>
  <c r="O380" i="2"/>
  <c r="Q24" i="4" l="1"/>
  <c r="N24" i="4"/>
  <c r="M269" i="1"/>
  <c r="N269" i="1" s="1"/>
  <c r="CJ269" i="1" s="1"/>
  <c r="M270" i="1"/>
  <c r="N270" i="1" s="1"/>
  <c r="CJ270" i="1" s="1"/>
  <c r="M271" i="1"/>
  <c r="N271" i="1" s="1"/>
  <c r="CJ271" i="1" s="1"/>
  <c r="M272" i="1"/>
  <c r="N272" i="1" s="1"/>
  <c r="CJ272" i="1" s="1"/>
  <c r="M273" i="1"/>
  <c r="N273" i="1" s="1"/>
  <c r="CJ273" i="1" s="1"/>
  <c r="M274" i="1"/>
  <c r="N274" i="1" s="1"/>
  <c r="CJ274" i="1" s="1"/>
  <c r="Z379" i="2"/>
  <c r="AC379" i="2"/>
  <c r="AC378" i="2"/>
  <c r="Z378" i="2"/>
  <c r="O379" i="2"/>
  <c r="O378" i="2"/>
  <c r="Z376" i="2"/>
  <c r="AC376" i="2"/>
  <c r="Z377" i="2"/>
  <c r="AC377" i="2"/>
  <c r="AC375" i="2"/>
  <c r="Z375" i="2"/>
  <c r="O377" i="2"/>
  <c r="O376" i="2"/>
  <c r="O375" i="2"/>
  <c r="AC374" i="2"/>
  <c r="Z374" i="2"/>
  <c r="O374" i="2"/>
  <c r="P24" i="4" l="1"/>
  <c r="Y831" i="3"/>
  <c r="AB831" i="3"/>
  <c r="Y832" i="3"/>
  <c r="AB832" i="3"/>
  <c r="Y833" i="3"/>
  <c r="AB833" i="3"/>
  <c r="Y834" i="3"/>
  <c r="AB834" i="3"/>
  <c r="AB830" i="3"/>
  <c r="Y830" i="3"/>
  <c r="L834" i="3"/>
  <c r="M834" i="3" s="1"/>
  <c r="L833" i="3"/>
  <c r="M833" i="3" s="1"/>
  <c r="L832" i="3"/>
  <c r="M832" i="3" s="1"/>
  <c r="L831" i="3"/>
  <c r="M831" i="3" s="1"/>
  <c r="L830" i="3"/>
  <c r="M830" i="3" s="1"/>
  <c r="AB829" i="3"/>
  <c r="Y829" i="3"/>
  <c r="M829" i="3"/>
  <c r="AB828" i="3"/>
  <c r="Y828" i="3"/>
  <c r="M828" i="3"/>
  <c r="AB827" i="3"/>
  <c r="Y827" i="3"/>
  <c r="M827" i="3"/>
  <c r="Q23" i="4" l="1"/>
  <c r="N23" i="4"/>
  <c r="M257" i="1" l="1"/>
  <c r="N257" i="1" s="1"/>
  <c r="CJ257" i="1" s="1"/>
  <c r="M258" i="1"/>
  <c r="N258" i="1" s="1"/>
  <c r="CJ258" i="1" s="1"/>
  <c r="M259" i="1"/>
  <c r="N259" i="1" s="1"/>
  <c r="CJ259" i="1" s="1"/>
  <c r="M260" i="1"/>
  <c r="N260" i="1" s="1"/>
  <c r="CJ260" i="1" s="1"/>
  <c r="M261" i="1"/>
  <c r="N261" i="1" s="1"/>
  <c r="CJ261" i="1" s="1"/>
  <c r="M262" i="1"/>
  <c r="N262" i="1" s="1"/>
  <c r="CJ262" i="1" s="1"/>
  <c r="M263" i="1"/>
  <c r="N263" i="1" s="1"/>
  <c r="CJ263" i="1" s="1"/>
  <c r="M264" i="1"/>
  <c r="N264" i="1" s="1"/>
  <c r="CJ264" i="1" s="1"/>
  <c r="M265" i="1"/>
  <c r="N265" i="1" s="1"/>
  <c r="CJ265" i="1" s="1"/>
  <c r="M266" i="1"/>
  <c r="N266" i="1" s="1"/>
  <c r="CJ266" i="1" s="1"/>
  <c r="M267" i="1"/>
  <c r="N267" i="1" s="1"/>
  <c r="CJ267" i="1" s="1"/>
  <c r="M268" i="1"/>
  <c r="N268" i="1" s="1"/>
  <c r="CJ268" i="1" s="1"/>
  <c r="Z372" i="2"/>
  <c r="AC372" i="2"/>
  <c r="Z373" i="2"/>
  <c r="AC373" i="2"/>
  <c r="AC371" i="2"/>
  <c r="Z371" i="2"/>
  <c r="O373" i="2"/>
  <c r="O372" i="2"/>
  <c r="O371" i="2"/>
  <c r="Z367" i="2"/>
  <c r="AC367" i="2"/>
  <c r="Z368" i="2"/>
  <c r="AC368" i="2"/>
  <c r="Z369" i="2"/>
  <c r="AC369" i="2"/>
  <c r="Z370" i="2"/>
  <c r="AC370" i="2"/>
  <c r="AC366" i="2"/>
  <c r="Z366" i="2"/>
  <c r="O370" i="2"/>
  <c r="O369" i="2"/>
  <c r="O368" i="2"/>
  <c r="O367" i="2"/>
  <c r="O366" i="2"/>
  <c r="AC365" i="2" l="1"/>
  <c r="Z365" i="2"/>
  <c r="O365" i="2"/>
  <c r="Z364" i="2"/>
  <c r="AC364" i="2"/>
  <c r="AC363" i="2"/>
  <c r="Z363" i="2"/>
  <c r="O364" i="2"/>
  <c r="O363" i="2"/>
  <c r="AC362" i="2"/>
  <c r="Z362" i="2"/>
  <c r="O362" i="2"/>
  <c r="Y826" i="3" l="1"/>
  <c r="AB826" i="3"/>
  <c r="AB825" i="3"/>
  <c r="Y825" i="3"/>
  <c r="M826" i="3"/>
  <c r="M825" i="3"/>
  <c r="Y824" i="3"/>
  <c r="AB824" i="3"/>
  <c r="AB823" i="3"/>
  <c r="Y823" i="3"/>
  <c r="M824" i="3"/>
  <c r="M823" i="3"/>
  <c r="AB822" i="3"/>
  <c r="Y822" i="3"/>
  <c r="M822" i="3"/>
  <c r="AB821" i="3"/>
  <c r="Y821" i="3"/>
  <c r="M821" i="3"/>
  <c r="AB820" i="3"/>
  <c r="Y820" i="3"/>
  <c r="M820" i="3"/>
  <c r="AB819" i="3" l="1"/>
  <c r="Y819" i="3"/>
  <c r="M819" i="3"/>
  <c r="Q22" i="4" l="1"/>
  <c r="N22" i="4"/>
  <c r="M256" i="1"/>
  <c r="N256" i="1" s="1"/>
  <c r="CJ256" i="1" s="1"/>
  <c r="M255" i="1"/>
  <c r="N255" i="1" s="1"/>
  <c r="CJ255" i="1" s="1"/>
  <c r="AC361" i="2"/>
  <c r="Z361" i="2"/>
  <c r="AC360" i="2"/>
  <c r="Z360" i="2"/>
  <c r="O361" i="2"/>
  <c r="O360" i="2"/>
  <c r="M816" i="3"/>
  <c r="Y816" i="3"/>
  <c r="AB816" i="3"/>
  <c r="M817" i="3"/>
  <c r="Y817" i="3"/>
  <c r="AB817" i="3"/>
  <c r="M813" i="3"/>
  <c r="Y813" i="3"/>
  <c r="AB813" i="3"/>
  <c r="Y814" i="3" l="1"/>
  <c r="AB814" i="3"/>
  <c r="Y815" i="3"/>
  <c r="AB815" i="3"/>
  <c r="Y818" i="3"/>
  <c r="AB818" i="3"/>
  <c r="AB812" i="3"/>
  <c r="Y812" i="3"/>
  <c r="L818" i="3"/>
  <c r="M818" i="3" s="1"/>
  <c r="M815" i="3"/>
  <c r="L814" i="3"/>
  <c r="M814" i="3" s="1"/>
  <c r="M812" i="3"/>
  <c r="M254" i="1"/>
  <c r="N254" i="1" s="1"/>
  <c r="CJ254" i="1" s="1"/>
  <c r="AC359" i="2"/>
  <c r="Z359" i="2"/>
  <c r="O359" i="2"/>
  <c r="M253" i="1"/>
  <c r="N253" i="1" s="1"/>
  <c r="CJ253" i="1" s="1"/>
  <c r="AC358" i="2"/>
  <c r="Z358" i="2"/>
  <c r="O358" i="2"/>
  <c r="Q21" i="4" l="1"/>
  <c r="N21" i="4"/>
  <c r="M810" i="3"/>
  <c r="Y810" i="3"/>
  <c r="AB810" i="3"/>
  <c r="M811" i="3"/>
  <c r="Y811" i="3"/>
  <c r="AB811" i="3"/>
  <c r="AB809" i="3" l="1"/>
  <c r="Y809" i="3"/>
  <c r="M809" i="3"/>
  <c r="AB808" i="3"/>
  <c r="Y808" i="3"/>
  <c r="M808" i="3"/>
  <c r="AB807" i="3"/>
  <c r="Y807" i="3"/>
  <c r="M807" i="3"/>
  <c r="AB806" i="3" l="1"/>
  <c r="Y806" i="3"/>
  <c r="M806" i="3"/>
  <c r="AB805" i="3"/>
  <c r="Y805" i="3"/>
  <c r="M805" i="3"/>
  <c r="M802" i="3"/>
  <c r="Y802" i="3"/>
  <c r="AB802" i="3"/>
  <c r="M803" i="3"/>
  <c r="Y803" i="3"/>
  <c r="AB803" i="3"/>
  <c r="M804" i="3"/>
  <c r="Y804" i="3"/>
  <c r="AB804" i="3"/>
  <c r="AB801" i="3"/>
  <c r="Y801" i="3"/>
  <c r="M801" i="3"/>
  <c r="AB800" i="3"/>
  <c r="Y800" i="3"/>
  <c r="M800" i="3"/>
  <c r="O355" i="2"/>
  <c r="Z355" i="2"/>
  <c r="AC355" i="2"/>
  <c r="O356" i="2"/>
  <c r="Z356" i="2"/>
  <c r="AC356" i="2"/>
  <c r="O357" i="2"/>
  <c r="Z357" i="2"/>
  <c r="AC357" i="2"/>
  <c r="M250" i="1"/>
  <c r="N250" i="1" s="1"/>
  <c r="CJ250" i="1" s="1"/>
  <c r="M251" i="1"/>
  <c r="N251" i="1" s="1"/>
  <c r="CJ251" i="1" s="1"/>
  <c r="M252" i="1"/>
  <c r="N252" i="1" s="1"/>
  <c r="CJ252" i="1" s="1"/>
  <c r="M249" i="1"/>
  <c r="N249" i="1" s="1"/>
  <c r="CJ249" i="1" s="1"/>
  <c r="M248" i="1"/>
  <c r="N248" i="1" s="1"/>
  <c r="CJ248" i="1" s="1"/>
  <c r="AC354" i="2"/>
  <c r="Z354" i="2"/>
  <c r="O354" i="2" l="1"/>
  <c r="AC353" i="2"/>
  <c r="Z353" i="2"/>
  <c r="O353" i="2"/>
  <c r="Q20" i="4" l="1"/>
  <c r="N20" i="4"/>
  <c r="Q19" i="4"/>
  <c r="M247" i="1" l="1"/>
  <c r="N247" i="1" s="1"/>
  <c r="CJ247" i="1" s="1"/>
  <c r="AC352" i="2" l="1"/>
  <c r="Z352" i="2"/>
  <c r="O352" i="2"/>
  <c r="N19" i="4"/>
  <c r="M232" i="1" l="1"/>
  <c r="N232" i="1" s="1"/>
  <c r="CJ232" i="1" s="1"/>
  <c r="M233" i="1"/>
  <c r="N233" i="1" s="1"/>
  <c r="CJ233" i="1" s="1"/>
  <c r="M234" i="1"/>
  <c r="N234" i="1" s="1"/>
  <c r="CJ234" i="1" s="1"/>
  <c r="M235" i="1"/>
  <c r="N235" i="1" s="1"/>
  <c r="CJ235" i="1" s="1"/>
  <c r="M236" i="1"/>
  <c r="N236" i="1" s="1"/>
  <c r="CJ236" i="1" s="1"/>
  <c r="M237" i="1"/>
  <c r="N237" i="1" s="1"/>
  <c r="CJ237" i="1" s="1"/>
  <c r="M238" i="1"/>
  <c r="N238" i="1" s="1"/>
  <c r="CJ238" i="1" s="1"/>
  <c r="M239" i="1"/>
  <c r="N239" i="1" s="1"/>
  <c r="CJ239" i="1" s="1"/>
  <c r="M240" i="1"/>
  <c r="N240" i="1" s="1"/>
  <c r="CJ240" i="1" s="1"/>
  <c r="M241" i="1"/>
  <c r="N241" i="1" s="1"/>
  <c r="CJ241" i="1" s="1"/>
  <c r="M242" i="1"/>
  <c r="N242" i="1" s="1"/>
  <c r="CJ242" i="1" s="1"/>
  <c r="M243" i="1"/>
  <c r="N243" i="1" s="1"/>
  <c r="CJ243" i="1" s="1"/>
  <c r="M244" i="1"/>
  <c r="N244" i="1" s="1"/>
  <c r="CJ244" i="1" s="1"/>
  <c r="M245" i="1"/>
  <c r="N245" i="1" s="1"/>
  <c r="CJ245" i="1" s="1"/>
  <c r="M246" i="1"/>
  <c r="N246" i="1" s="1"/>
  <c r="CJ246" i="1" s="1"/>
  <c r="J234" i="1"/>
  <c r="J235" i="1"/>
  <c r="J233" i="1"/>
  <c r="Z350" i="2"/>
  <c r="AC350" i="2"/>
  <c r="Z351" i="2"/>
  <c r="AC351" i="2"/>
  <c r="AC349" i="2"/>
  <c r="Z349" i="2"/>
  <c r="AC348" i="2"/>
  <c r="Z348" i="2"/>
  <c r="O351" i="2"/>
  <c r="O350" i="2"/>
  <c r="O349" i="2"/>
  <c r="O348" i="2"/>
  <c r="AC347" i="2"/>
  <c r="Z347" i="2"/>
  <c r="O347" i="2"/>
  <c r="Z346" i="2"/>
  <c r="AC346" i="2"/>
  <c r="AC345" i="2"/>
  <c r="Z345" i="2"/>
  <c r="O346" i="2"/>
  <c r="O345" i="2"/>
  <c r="AC344" i="2"/>
  <c r="Z344" i="2"/>
  <c r="O344" i="2"/>
  <c r="AC343" i="2"/>
  <c r="Z343" i="2"/>
  <c r="O343" i="2"/>
  <c r="Z342" i="2" l="1"/>
  <c r="AC342" i="2"/>
  <c r="AC341" i="2" l="1"/>
  <c r="Z341" i="2"/>
  <c r="O342" i="2"/>
  <c r="O341" i="2"/>
  <c r="Z340" i="2"/>
  <c r="AC340" i="2"/>
  <c r="AC339" i="2"/>
  <c r="Z339" i="2"/>
  <c r="O340" i="2"/>
  <c r="O339" i="2"/>
  <c r="AC338" i="2"/>
  <c r="Z338" i="2"/>
  <c r="O338" i="2"/>
  <c r="AC337" i="2"/>
  <c r="Z337" i="2"/>
  <c r="O337" i="2"/>
  <c r="AB799" i="3" l="1"/>
  <c r="Y799" i="3"/>
  <c r="M799" i="3"/>
  <c r="Q18" i="4" l="1"/>
  <c r="N18" i="4"/>
  <c r="Q17" i="4"/>
  <c r="N17" i="4"/>
  <c r="N15" i="4"/>
  <c r="Q15" i="4"/>
  <c r="N16" i="4"/>
  <c r="Q16" i="4"/>
  <c r="J226" i="1"/>
  <c r="J222" i="1"/>
  <c r="J227" i="1"/>
  <c r="J223" i="1"/>
  <c r="J230" i="1"/>
  <c r="J229" i="1"/>
  <c r="J224" i="1"/>
  <c r="J221" i="1"/>
  <c r="M231" i="1"/>
  <c r="N231" i="1" s="1"/>
  <c r="CJ231" i="1" s="1"/>
  <c r="M230" i="1"/>
  <c r="N230" i="1" s="1"/>
  <c r="CJ230" i="1" s="1"/>
  <c r="M229" i="1"/>
  <c r="N229" i="1" s="1"/>
  <c r="CJ229" i="1" s="1"/>
  <c r="M228" i="1"/>
  <c r="N228" i="1" s="1"/>
  <c r="CJ228" i="1" s="1"/>
  <c r="M227" i="1"/>
  <c r="N227" i="1" s="1"/>
  <c r="CJ227" i="1" s="1"/>
  <c r="M226" i="1"/>
  <c r="N226" i="1" s="1"/>
  <c r="CJ226" i="1" s="1"/>
  <c r="M225" i="1"/>
  <c r="N225" i="1" s="1"/>
  <c r="CJ225" i="1" s="1"/>
  <c r="M224" i="1"/>
  <c r="M223" i="1"/>
  <c r="N223" i="1" s="1"/>
  <c r="CJ223" i="1" s="1"/>
  <c r="M222" i="1"/>
  <c r="N222" i="1" s="1"/>
  <c r="CJ222" i="1" s="1"/>
  <c r="M221" i="1"/>
  <c r="N221" i="1" s="1"/>
  <c r="CJ221" i="1" s="1"/>
  <c r="AC336" i="2"/>
  <c r="Z336" i="2"/>
  <c r="O336" i="2"/>
  <c r="O335" i="2"/>
  <c r="Z335" i="2"/>
  <c r="AC335" i="2"/>
  <c r="AC334" i="2"/>
  <c r="Z334" i="2"/>
  <c r="O334" i="2"/>
  <c r="AC333" i="2"/>
  <c r="Z333" i="2"/>
  <c r="O333" i="2"/>
  <c r="AC332" i="2"/>
  <c r="Z332" i="2"/>
  <c r="O332" i="2"/>
  <c r="AC331" i="2"/>
  <c r="Z331" i="2"/>
  <c r="O331" i="2"/>
  <c r="AC330" i="2"/>
  <c r="Z330" i="2"/>
  <c r="O330" i="2"/>
  <c r="Z328" i="2"/>
  <c r="AC328" i="2"/>
  <c r="Z329" i="2"/>
  <c r="AC329" i="2"/>
  <c r="AC327" i="2"/>
  <c r="Z327" i="2"/>
  <c r="O329" i="2"/>
  <c r="O328" i="2"/>
  <c r="O327" i="2"/>
  <c r="AC326" i="2"/>
  <c r="Z326" i="2"/>
  <c r="O326" i="2"/>
  <c r="N224" i="1" l="1"/>
  <c r="CJ224" i="1" s="1"/>
  <c r="M798" i="3"/>
  <c r="Y798" i="3"/>
  <c r="AB798" i="3"/>
  <c r="AB797" i="3"/>
  <c r="Y797" i="3"/>
  <c r="M797" i="3"/>
  <c r="AB796" i="3"/>
  <c r="Y796" i="3"/>
  <c r="M796" i="3"/>
  <c r="AB795" i="3" l="1"/>
  <c r="Y795" i="3"/>
  <c r="M795" i="3"/>
  <c r="AB794" i="3"/>
  <c r="Y794" i="3"/>
  <c r="M794" i="3"/>
  <c r="N14" i="4" l="1"/>
  <c r="N13" i="4"/>
  <c r="N12" i="4"/>
  <c r="M220" i="1"/>
  <c r="N220" i="1" s="1"/>
  <c r="CJ220" i="1" s="1"/>
  <c r="M219" i="1"/>
  <c r="N219" i="1" s="1"/>
  <c r="CJ219" i="1" s="1"/>
  <c r="M218" i="1"/>
  <c r="N218" i="1" s="1"/>
  <c r="CJ218" i="1" s="1"/>
  <c r="M217" i="1"/>
  <c r="N217" i="1" s="1"/>
  <c r="CJ217" i="1" s="1"/>
  <c r="M216" i="1"/>
  <c r="N216" i="1" s="1"/>
  <c r="CJ216" i="1" s="1"/>
  <c r="M215" i="1"/>
  <c r="N215" i="1" s="1"/>
  <c r="CJ215" i="1" s="1"/>
  <c r="M214" i="1"/>
  <c r="N214" i="1" s="1"/>
  <c r="CJ214" i="1" s="1"/>
  <c r="AC325" i="2"/>
  <c r="Z325" i="2"/>
  <c r="O325" i="2"/>
  <c r="Z323" i="2"/>
  <c r="AC323" i="2"/>
  <c r="Z324" i="2"/>
  <c r="AC324" i="2"/>
  <c r="AC322" i="2"/>
  <c r="Z322" i="2"/>
  <c r="O324" i="2"/>
  <c r="O323" i="2"/>
  <c r="O322" i="2"/>
  <c r="Z320" i="2"/>
  <c r="AC320" i="2"/>
  <c r="Z321" i="2"/>
  <c r="AC321" i="2"/>
  <c r="O321" i="2"/>
  <c r="O320" i="2"/>
  <c r="AC319" i="2"/>
  <c r="Z319" i="2"/>
  <c r="O319" i="2"/>
  <c r="M209" i="1" l="1"/>
  <c r="N209" i="1" s="1"/>
  <c r="CJ209" i="1" s="1"/>
  <c r="AC314" i="2"/>
  <c r="Z314" i="2"/>
  <c r="O314" i="2"/>
  <c r="N11" i="4" l="1"/>
  <c r="M213" i="1"/>
  <c r="N213" i="1" s="1"/>
  <c r="CJ213" i="1" s="1"/>
  <c r="M212" i="1"/>
  <c r="N212" i="1" s="1"/>
  <c r="CJ212" i="1" s="1"/>
  <c r="M211" i="1"/>
  <c r="N211" i="1" s="1"/>
  <c r="CJ211" i="1" s="1"/>
  <c r="Z316" i="2"/>
  <c r="AC316" i="2"/>
  <c r="Z317" i="2"/>
  <c r="AC317" i="2"/>
  <c r="O317" i="2"/>
  <c r="O316" i="2"/>
  <c r="AC318" i="2"/>
  <c r="Z318" i="2"/>
  <c r="O318" i="2"/>
  <c r="M210" i="1" l="1"/>
  <c r="N210" i="1" s="1"/>
  <c r="CJ210" i="1" s="1"/>
  <c r="M208" i="1"/>
  <c r="N208" i="1" s="1"/>
  <c r="CJ208" i="1" s="1"/>
  <c r="AC315" i="2"/>
  <c r="Z315" i="2"/>
  <c r="O315" i="2"/>
  <c r="AC313" i="2"/>
  <c r="Z313" i="2"/>
  <c r="O313" i="2"/>
  <c r="M207" i="1" l="1"/>
  <c r="N207" i="1" s="1"/>
  <c r="CJ207" i="1" s="1"/>
  <c r="AC312" i="2"/>
  <c r="Z312" i="2"/>
  <c r="O312" i="2"/>
  <c r="N10" i="4" l="1"/>
  <c r="M784" i="3"/>
  <c r="Y784" i="3"/>
  <c r="AB784" i="3"/>
  <c r="M792" i="3"/>
  <c r="Y792" i="3"/>
  <c r="AB792" i="3"/>
  <c r="M782" i="3"/>
  <c r="Y782" i="3"/>
  <c r="AB782" i="3"/>
  <c r="M780" i="3"/>
  <c r="Y780" i="3"/>
  <c r="AB780" i="3"/>
  <c r="M793" i="3"/>
  <c r="Y793" i="3"/>
  <c r="AB793" i="3"/>
  <c r="M791" i="3"/>
  <c r="Y791" i="3"/>
  <c r="AB791" i="3"/>
  <c r="M790" i="3"/>
  <c r="Y790" i="3"/>
  <c r="AB790" i="3"/>
  <c r="M789" i="3"/>
  <c r="Y789" i="3"/>
  <c r="AB789" i="3"/>
  <c r="M788" i="3"/>
  <c r="Y788" i="3"/>
  <c r="AB788" i="3"/>
  <c r="M787" i="3"/>
  <c r="Y787" i="3"/>
  <c r="AB787" i="3"/>
  <c r="M786" i="3"/>
  <c r="Y786" i="3"/>
  <c r="AB786" i="3"/>
  <c r="AB785" i="3"/>
  <c r="Y785" i="3"/>
  <c r="M785" i="3"/>
  <c r="M783" i="3" l="1"/>
  <c r="Y783" i="3"/>
  <c r="AB783" i="3"/>
  <c r="AB781" i="3"/>
  <c r="Y781" i="3"/>
  <c r="M781" i="3"/>
  <c r="O306" i="2"/>
  <c r="AB779" i="3"/>
  <c r="Y779" i="3"/>
  <c r="M779" i="3"/>
  <c r="AB778" i="3"/>
  <c r="Y778" i="3"/>
  <c r="M778" i="3"/>
  <c r="AB777" i="3"/>
  <c r="Y777" i="3"/>
  <c r="M777" i="3"/>
  <c r="M206" i="1" l="1"/>
  <c r="N206" i="1" s="1"/>
  <c r="CJ206" i="1" s="1"/>
  <c r="M205" i="1"/>
  <c r="N205" i="1" s="1"/>
  <c r="CJ205" i="1" s="1"/>
  <c r="M204" i="1"/>
  <c r="N204" i="1" s="1"/>
  <c r="CJ204" i="1" s="1"/>
  <c r="M203" i="1"/>
  <c r="N203" i="1" s="1"/>
  <c r="CJ203" i="1" s="1"/>
  <c r="M202" i="1"/>
  <c r="N202" i="1" s="1"/>
  <c r="CJ202" i="1" s="1"/>
  <c r="M201" i="1"/>
  <c r="N201" i="1" s="1"/>
  <c r="CJ201" i="1" s="1"/>
  <c r="M200" i="1"/>
  <c r="N200" i="1" s="1"/>
  <c r="CJ200" i="1" s="1"/>
  <c r="M199" i="1"/>
  <c r="N199" i="1" s="1"/>
  <c r="CJ199" i="1" s="1"/>
  <c r="M198" i="1"/>
  <c r="N198" i="1" s="1"/>
  <c r="CJ198" i="1" s="1"/>
  <c r="M197" i="1"/>
  <c r="N197" i="1" s="1"/>
  <c r="CJ197" i="1" s="1"/>
  <c r="M196" i="1"/>
  <c r="N196" i="1" s="1"/>
  <c r="CJ196" i="1" s="1"/>
  <c r="AC311" i="2"/>
  <c r="Z311" i="2"/>
  <c r="O311" i="2"/>
  <c r="Z309" i="2"/>
  <c r="AC309" i="2"/>
  <c r="Z310" i="2"/>
  <c r="AC310" i="2"/>
  <c r="AC308" i="2"/>
  <c r="Z308" i="2"/>
  <c r="O310" i="2"/>
  <c r="O309" i="2"/>
  <c r="O308" i="2"/>
  <c r="Z307" i="2"/>
  <c r="AC307" i="2"/>
  <c r="AC306" i="2"/>
  <c r="Z306" i="2"/>
  <c r="O307" i="2"/>
  <c r="AC305" i="2"/>
  <c r="Z305" i="2"/>
  <c r="O305" i="2"/>
  <c r="AC304" i="2"/>
  <c r="Z304" i="2"/>
  <c r="O304" i="2"/>
  <c r="Z302" i="2"/>
  <c r="AC302" i="2"/>
  <c r="Z303" i="2"/>
  <c r="AC303" i="2"/>
  <c r="O303" i="2"/>
  <c r="O302" i="2"/>
  <c r="AC301" i="2"/>
  <c r="Z301" i="2"/>
  <c r="O301" i="2"/>
  <c r="N9" i="4" l="1"/>
  <c r="M773" i="3"/>
  <c r="Y773" i="3"/>
  <c r="AB773" i="3"/>
  <c r="M776" i="3"/>
  <c r="Y776" i="3"/>
  <c r="AB776" i="3"/>
  <c r="J194" i="1" l="1"/>
  <c r="J195" i="1"/>
  <c r="J193" i="1"/>
  <c r="J192" i="1"/>
  <c r="AB775" i="3"/>
  <c r="Y775" i="3"/>
  <c r="M775" i="3"/>
  <c r="M774" i="3"/>
  <c r="Y774" i="3"/>
  <c r="AB774" i="3"/>
  <c r="AB772" i="3"/>
  <c r="Y772" i="3"/>
  <c r="M772" i="3"/>
  <c r="AB771" i="3"/>
  <c r="Y771" i="3"/>
  <c r="M771" i="3"/>
  <c r="AB770" i="3"/>
  <c r="Y770" i="3"/>
  <c r="M770" i="3"/>
  <c r="M768" i="3"/>
  <c r="Y768" i="3"/>
  <c r="AB768" i="3"/>
  <c r="M769" i="3"/>
  <c r="Y769" i="3"/>
  <c r="AB769" i="3"/>
  <c r="AB767" i="3"/>
  <c r="Y767" i="3"/>
  <c r="M767" i="3"/>
  <c r="M195" i="1"/>
  <c r="N195" i="1" s="1"/>
  <c r="CJ195" i="1" s="1"/>
  <c r="M194" i="1"/>
  <c r="N194" i="1" s="1"/>
  <c r="CJ194" i="1" s="1"/>
  <c r="M193" i="1" l="1"/>
  <c r="N193" i="1" s="1"/>
  <c r="CJ193" i="1" s="1"/>
  <c r="M192" i="1"/>
  <c r="N192" i="1" s="1"/>
  <c r="CJ192" i="1" s="1"/>
  <c r="AC300" i="2"/>
  <c r="Z300" i="2"/>
  <c r="O300" i="2"/>
  <c r="O298" i="2"/>
  <c r="O299" i="2"/>
  <c r="AC299" i="2"/>
  <c r="O297" i="2"/>
  <c r="Z299" i="2"/>
  <c r="AC298" i="2"/>
  <c r="Z298" i="2"/>
  <c r="AC297" i="2"/>
  <c r="Z297" i="2"/>
  <c r="N8" i="4" l="1"/>
  <c r="M757" i="3"/>
  <c r="Y757" i="3"/>
  <c r="AB757" i="3"/>
  <c r="M758" i="3"/>
  <c r="Y758" i="3"/>
  <c r="AB758" i="3"/>
  <c r="M759" i="3"/>
  <c r="Y759" i="3"/>
  <c r="AB759" i="3"/>
  <c r="M753" i="3"/>
  <c r="Y753" i="3"/>
  <c r="AB753" i="3"/>
  <c r="M754" i="3"/>
  <c r="Y754" i="3"/>
  <c r="AB754" i="3"/>
  <c r="M765" i="3"/>
  <c r="Y765" i="3"/>
  <c r="AB765" i="3"/>
  <c r="M761" i="3"/>
  <c r="Y761" i="3"/>
  <c r="AB761" i="3"/>
  <c r="M762" i="3"/>
  <c r="Y762" i="3"/>
  <c r="AB762" i="3"/>
  <c r="M763" i="3"/>
  <c r="Y763" i="3"/>
  <c r="AB763" i="3"/>
  <c r="M764" i="3"/>
  <c r="Y764" i="3"/>
  <c r="AB764" i="3"/>
  <c r="M766" i="3"/>
  <c r="Y766" i="3"/>
  <c r="AB766" i="3"/>
  <c r="AB760" i="3"/>
  <c r="Y760" i="3"/>
  <c r="M760" i="3"/>
  <c r="AB756" i="3" l="1"/>
  <c r="Y756" i="3"/>
  <c r="M756" i="3"/>
  <c r="AB755" i="3"/>
  <c r="Y755" i="3"/>
  <c r="M755" i="3"/>
  <c r="AB752" i="3"/>
  <c r="Y752" i="3"/>
  <c r="M752" i="3"/>
  <c r="AB751" i="3"/>
  <c r="Y751" i="3"/>
  <c r="M751" i="3"/>
  <c r="N7" i="4" l="1"/>
  <c r="N6" i="4"/>
  <c r="N5" i="4"/>
  <c r="AB750" i="3"/>
  <c r="Y750" i="3"/>
  <c r="M750" i="3"/>
  <c r="AB749" i="3"/>
  <c r="Y749" i="3"/>
  <c r="M749" i="3"/>
  <c r="AB748" i="3"/>
  <c r="Y748" i="3"/>
  <c r="M748" i="3"/>
  <c r="AB747" i="3"/>
  <c r="Y747" i="3"/>
  <c r="M747" i="3"/>
  <c r="M746" i="3"/>
  <c r="Y746" i="3"/>
  <c r="AB746" i="3"/>
  <c r="AB745" i="3"/>
  <c r="Y745" i="3"/>
  <c r="M745" i="3"/>
  <c r="AB744" i="3"/>
  <c r="Y744" i="3"/>
  <c r="M744" i="3"/>
  <c r="D36" i="4" l="1"/>
  <c r="Y739" i="3" l="1"/>
  <c r="AB739" i="3"/>
  <c r="Y740" i="3"/>
  <c r="AB740" i="3"/>
  <c r="Y741" i="3"/>
  <c r="AB741" i="3"/>
  <c r="Y742" i="3"/>
  <c r="AB742" i="3"/>
  <c r="Y743" i="3"/>
  <c r="AB743" i="3"/>
  <c r="AB738" i="3"/>
  <c r="Y738" i="3"/>
  <c r="N4" i="4"/>
  <c r="M739" i="3" l="1"/>
  <c r="M740" i="3"/>
  <c r="M741" i="3"/>
  <c r="M742" i="3"/>
  <c r="M743" i="3"/>
  <c r="M738" i="3"/>
  <c r="AB737" i="3"/>
  <c r="Y737" i="3"/>
  <c r="M737" i="3"/>
  <c r="AB736" i="3" l="1"/>
  <c r="Y736" i="3"/>
  <c r="M736" i="3"/>
  <c r="M735" i="3"/>
  <c r="Y735" i="3"/>
  <c r="AB735" i="3"/>
  <c r="AB734" i="3"/>
  <c r="Y734" i="3"/>
  <c r="M734" i="3"/>
  <c r="AB733" i="3"/>
  <c r="Y733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J174" i="1" l="1"/>
  <c r="J175" i="1"/>
  <c r="J176" i="1"/>
  <c r="J177" i="1"/>
  <c r="J178" i="1"/>
  <c r="J179" i="1"/>
  <c r="J180" i="1"/>
  <c r="J181" i="1"/>
  <c r="J182" i="1"/>
  <c r="J183" i="1"/>
  <c r="J184" i="1"/>
  <c r="J173" i="1"/>
  <c r="J186" i="1"/>
  <c r="J185" i="1"/>
  <c r="M173" i="1"/>
  <c r="N173" i="1" s="1"/>
  <c r="CJ173" i="1" s="1"/>
  <c r="M174" i="1"/>
  <c r="N174" i="1" s="1"/>
  <c r="CJ174" i="1" s="1"/>
  <c r="M175" i="1"/>
  <c r="N175" i="1" s="1"/>
  <c r="CJ175" i="1" s="1"/>
  <c r="M176" i="1"/>
  <c r="N176" i="1" s="1"/>
  <c r="CJ176" i="1" s="1"/>
  <c r="M177" i="1"/>
  <c r="N177" i="1" s="1"/>
  <c r="CJ177" i="1" s="1"/>
  <c r="M178" i="1"/>
  <c r="N178" i="1" s="1"/>
  <c r="CJ178" i="1" s="1"/>
  <c r="M179" i="1"/>
  <c r="N179" i="1" s="1"/>
  <c r="CJ179" i="1" s="1"/>
  <c r="M180" i="1"/>
  <c r="N180" i="1" s="1"/>
  <c r="CJ180" i="1" s="1"/>
  <c r="M181" i="1"/>
  <c r="N181" i="1" s="1"/>
  <c r="CJ181" i="1" s="1"/>
  <c r="M182" i="1"/>
  <c r="N182" i="1" s="1"/>
  <c r="CJ182" i="1" s="1"/>
  <c r="M183" i="1"/>
  <c r="N183" i="1" s="1"/>
  <c r="CJ183" i="1" s="1"/>
  <c r="M184" i="1"/>
  <c r="N184" i="1" s="1"/>
  <c r="CJ184" i="1" s="1"/>
  <c r="M185" i="1"/>
  <c r="N185" i="1" s="1"/>
  <c r="CJ185" i="1" s="1"/>
  <c r="M186" i="1"/>
  <c r="N186" i="1" s="1"/>
  <c r="CJ186" i="1" s="1"/>
  <c r="M187" i="1"/>
  <c r="N187" i="1" s="1"/>
  <c r="CJ187" i="1" s="1"/>
  <c r="M188" i="1"/>
  <c r="N188" i="1" s="1"/>
  <c r="CJ188" i="1" s="1"/>
  <c r="M189" i="1"/>
  <c r="N189" i="1" s="1"/>
  <c r="CJ189" i="1" s="1"/>
  <c r="M190" i="1"/>
  <c r="N190" i="1" s="1"/>
  <c r="CJ190" i="1" s="1"/>
  <c r="M191" i="1"/>
  <c r="N191" i="1" s="1"/>
  <c r="CJ191" i="1" s="1"/>
  <c r="M160" i="1"/>
  <c r="N160" i="1" s="1"/>
  <c r="CJ160" i="1" s="1"/>
  <c r="J160" i="1"/>
  <c r="N286" i="2"/>
  <c r="N285" i="2"/>
  <c r="N284" i="2"/>
  <c r="Z285" i="2"/>
  <c r="AC285" i="2"/>
  <c r="Z286" i="2"/>
  <c r="AC286" i="2"/>
  <c r="Z289" i="2"/>
  <c r="AC289" i="2"/>
  <c r="N289" i="2"/>
  <c r="Z288" i="2"/>
  <c r="AC288" i="2"/>
  <c r="N288" i="2"/>
  <c r="N287" i="2"/>
  <c r="Z296" i="2"/>
  <c r="AC296" i="2"/>
  <c r="N296" i="2"/>
  <c r="N295" i="2"/>
  <c r="N3" i="4" l="1"/>
  <c r="O267" i="2" l="1"/>
  <c r="Z267" i="2"/>
  <c r="AC267" i="2"/>
  <c r="Y720" i="3"/>
  <c r="AB720" i="3"/>
  <c r="Y715" i="3"/>
  <c r="AB715" i="3"/>
  <c r="Y732" i="3" l="1"/>
  <c r="AB732" i="3"/>
  <c r="Y729" i="3"/>
  <c r="AB729" i="3"/>
  <c r="Y730" i="3"/>
  <c r="AB730" i="3"/>
  <c r="Y731" i="3"/>
  <c r="AB731" i="3"/>
  <c r="Y728" i="3"/>
  <c r="AB728" i="3"/>
  <c r="Q14" i="4"/>
  <c r="Q13" i="4"/>
  <c r="Q12" i="4"/>
  <c r="Q11" i="4"/>
  <c r="Q10" i="4"/>
  <c r="Q9" i="4"/>
  <c r="Q8" i="4"/>
  <c r="Q7" i="4"/>
  <c r="Q6" i="4"/>
  <c r="Q5" i="4"/>
  <c r="Q4" i="4"/>
  <c r="Q3" i="4"/>
  <c r="Q2" i="4"/>
  <c r="N2" i="4"/>
  <c r="Y727" i="3" l="1"/>
  <c r="AB727" i="3"/>
  <c r="Y707" i="3"/>
  <c r="AB707" i="3"/>
  <c r="Y708" i="3"/>
  <c r="AB708" i="3"/>
  <c r="H32" i="4"/>
  <c r="E32" i="4"/>
  <c r="AC295" i="2"/>
  <c r="Z295" i="2"/>
  <c r="Z294" i="2"/>
  <c r="AC294" i="2"/>
  <c r="O294" i="2"/>
  <c r="Z293" i="2"/>
  <c r="AC293" i="2"/>
  <c r="O293" i="2"/>
  <c r="Z292" i="2"/>
  <c r="AC292" i="2"/>
  <c r="O292" i="2"/>
  <c r="Y726" i="3"/>
  <c r="AB726" i="3"/>
  <c r="Y722" i="3"/>
  <c r="AB722" i="3"/>
  <c r="Y723" i="3"/>
  <c r="AB723" i="3"/>
  <c r="Y724" i="3"/>
  <c r="AB724" i="3"/>
  <c r="Y725" i="3"/>
  <c r="AB725" i="3"/>
  <c r="Y721" i="3"/>
  <c r="AB721" i="3"/>
  <c r="AB718" i="3"/>
  <c r="Y718" i="3"/>
  <c r="AB719" i="3"/>
  <c r="Y719" i="3"/>
  <c r="AB717" i="3"/>
  <c r="Y717" i="3"/>
  <c r="Y714" i="3"/>
  <c r="AB714" i="3"/>
  <c r="Y716" i="3"/>
  <c r="AB716" i="3"/>
  <c r="Y713" i="3"/>
  <c r="AB713" i="3"/>
  <c r="Y712" i="3"/>
  <c r="AB712" i="3"/>
  <c r="Y711" i="3"/>
  <c r="AB711" i="3"/>
  <c r="Y710" i="3"/>
  <c r="AB710" i="3"/>
  <c r="O291" i="2"/>
  <c r="Z291" i="2"/>
  <c r="AC291" i="2"/>
  <c r="O290" i="2"/>
  <c r="Z290" i="2"/>
  <c r="AC290" i="2"/>
  <c r="Z287" i="2"/>
  <c r="AC287" i="2"/>
  <c r="J172" i="1" l="1"/>
  <c r="J171" i="1"/>
  <c r="J170" i="1"/>
  <c r="J169" i="1"/>
  <c r="J168" i="1"/>
  <c r="J167" i="1"/>
  <c r="J166" i="1"/>
  <c r="M166" i="1"/>
  <c r="N166" i="1" s="1"/>
  <c r="CJ166" i="1" s="1"/>
  <c r="M167" i="1"/>
  <c r="N167" i="1" s="1"/>
  <c r="CJ167" i="1" s="1"/>
  <c r="M168" i="1"/>
  <c r="N168" i="1" s="1"/>
  <c r="CJ168" i="1" s="1"/>
  <c r="M169" i="1"/>
  <c r="N169" i="1" s="1"/>
  <c r="CJ169" i="1" s="1"/>
  <c r="M170" i="1"/>
  <c r="N170" i="1" s="1"/>
  <c r="CJ170" i="1" s="1"/>
  <c r="M171" i="1"/>
  <c r="N171" i="1" s="1"/>
  <c r="CJ171" i="1" s="1"/>
  <c r="M172" i="1"/>
  <c r="N172" i="1" s="1"/>
  <c r="CJ172" i="1" s="1"/>
  <c r="H31" i="4"/>
  <c r="E31" i="4"/>
  <c r="E30" i="4"/>
  <c r="H30" i="4"/>
  <c r="AB709" i="3" l="1"/>
  <c r="Y709" i="3"/>
  <c r="Y706" i="3"/>
  <c r="AB706" i="3"/>
  <c r="Y705" i="3"/>
  <c r="AB705" i="3"/>
  <c r="AB704" i="3"/>
  <c r="Y704" i="3"/>
  <c r="Y703" i="3"/>
  <c r="AB703" i="3"/>
  <c r="Z284" i="2"/>
  <c r="AC284" i="2"/>
  <c r="AC283" i="2"/>
  <c r="AC282" i="2"/>
  <c r="Z283" i="2"/>
  <c r="Z282" i="2"/>
  <c r="Z281" i="2"/>
  <c r="Z280" i="2"/>
  <c r="Z279" i="2"/>
  <c r="Z278" i="2"/>
  <c r="Z277" i="2"/>
  <c r="Z276" i="2"/>
  <c r="Z275" i="2"/>
  <c r="Z274" i="2"/>
  <c r="O283" i="2"/>
  <c r="O282" i="2"/>
  <c r="O281" i="2"/>
  <c r="O280" i="2"/>
  <c r="O279" i="2"/>
  <c r="O278" i="2"/>
  <c r="O277" i="2"/>
  <c r="O276" i="2"/>
  <c r="O275" i="2"/>
  <c r="O274" i="2"/>
  <c r="AC281" i="2"/>
  <c r="AC280" i="2"/>
  <c r="AC279" i="2"/>
  <c r="AC278" i="2"/>
  <c r="AC277" i="2"/>
  <c r="AC276" i="2"/>
  <c r="AC275" i="2"/>
  <c r="AC274" i="2"/>
  <c r="AC273" i="2"/>
  <c r="Z273" i="2"/>
  <c r="O273" i="2"/>
  <c r="AC272" i="2"/>
  <c r="Z272" i="2"/>
  <c r="O272" i="2"/>
  <c r="AC271" i="2"/>
  <c r="Z271" i="2"/>
  <c r="O271" i="2"/>
  <c r="H29" i="4" l="1"/>
  <c r="E29" i="4"/>
  <c r="H28" i="4"/>
  <c r="E28" i="4"/>
  <c r="Y702" i="3"/>
  <c r="AB702" i="3"/>
  <c r="Y700" i="3"/>
  <c r="AB700" i="3"/>
  <c r="Y696" i="3"/>
  <c r="AB696" i="3"/>
  <c r="Y697" i="3"/>
  <c r="AB697" i="3"/>
  <c r="AB701" i="3" l="1"/>
  <c r="Y701" i="3"/>
  <c r="AB699" i="3"/>
  <c r="Y699" i="3"/>
  <c r="AB698" i="3"/>
  <c r="Y698" i="3"/>
  <c r="AB695" i="3"/>
  <c r="Y695" i="3"/>
  <c r="M165" i="1"/>
  <c r="N165" i="1" s="1"/>
  <c r="CJ165" i="1" s="1"/>
  <c r="M164" i="1"/>
  <c r="N164" i="1" s="1"/>
  <c r="CJ164" i="1" s="1"/>
  <c r="M163" i="1"/>
  <c r="N163" i="1" s="1"/>
  <c r="CJ163" i="1" s="1"/>
  <c r="J165" i="1"/>
  <c r="J164" i="1"/>
  <c r="J163" i="1"/>
  <c r="J162" i="1"/>
  <c r="J161" i="1"/>
  <c r="O269" i="2"/>
  <c r="Z269" i="2"/>
  <c r="AC269" i="2"/>
  <c r="O270" i="2"/>
  <c r="Z270" i="2"/>
  <c r="AC270" i="2"/>
  <c r="AC268" i="2"/>
  <c r="Z268" i="2"/>
  <c r="O268" i="2"/>
  <c r="AB694" i="3" l="1"/>
  <c r="Y694" i="3"/>
  <c r="M161" i="1"/>
  <c r="N161" i="1" s="1"/>
  <c r="CJ161" i="1" s="1"/>
  <c r="M162" i="1"/>
  <c r="N162" i="1" s="1"/>
  <c r="CJ162" i="1" s="1"/>
  <c r="O266" i="2"/>
  <c r="Z266" i="2"/>
  <c r="AC266" i="2"/>
  <c r="AC265" i="2"/>
  <c r="Z265" i="2"/>
  <c r="O265" i="2"/>
  <c r="J159" i="1" l="1"/>
  <c r="J154" i="1"/>
  <c r="J153" i="1"/>
  <c r="H27" i="4" l="1"/>
  <c r="E27" i="4"/>
  <c r="J158" i="1"/>
  <c r="J157" i="1"/>
  <c r="J156" i="1"/>
  <c r="M159" i="1"/>
  <c r="N159" i="1" s="1"/>
  <c r="CJ159" i="1" s="1"/>
  <c r="M158" i="1"/>
  <c r="N158" i="1" s="1"/>
  <c r="CJ158" i="1" s="1"/>
  <c r="M157" i="1"/>
  <c r="N157" i="1" s="1"/>
  <c r="CJ157" i="1" s="1"/>
  <c r="M156" i="1"/>
  <c r="N156" i="1" s="1"/>
  <c r="CJ156" i="1" s="1"/>
  <c r="AC264" i="2"/>
  <c r="Z264" i="2"/>
  <c r="O264" i="2"/>
  <c r="O262" i="2"/>
  <c r="Z262" i="2"/>
  <c r="AC262" i="2"/>
  <c r="O263" i="2"/>
  <c r="Z263" i="2"/>
  <c r="AC263" i="2"/>
  <c r="AC261" i="2"/>
  <c r="Z261" i="2"/>
  <c r="O261" i="2"/>
  <c r="Y693" i="3"/>
  <c r="AB693" i="3"/>
  <c r="Y690" i="3"/>
  <c r="AB690" i="3"/>
  <c r="Y687" i="3"/>
  <c r="AB687" i="3"/>
  <c r="Y692" i="3" l="1"/>
  <c r="AB692" i="3"/>
  <c r="AB691" i="3"/>
  <c r="Y691" i="3"/>
  <c r="AB689" i="3"/>
  <c r="Y689" i="3"/>
  <c r="AB688" i="3"/>
  <c r="Y688" i="3"/>
  <c r="AB686" i="3"/>
  <c r="Y686" i="3"/>
  <c r="J155" i="1"/>
  <c r="J152" i="1"/>
  <c r="J151" i="1"/>
  <c r="J150" i="1"/>
  <c r="J149" i="1"/>
  <c r="J148" i="1"/>
  <c r="M155" i="1"/>
  <c r="N155" i="1" s="1"/>
  <c r="CJ155" i="1" s="1"/>
  <c r="M154" i="1"/>
  <c r="N154" i="1" s="1"/>
  <c r="CJ154" i="1" s="1"/>
  <c r="M153" i="1"/>
  <c r="N153" i="1" s="1"/>
  <c r="CJ153" i="1" s="1"/>
  <c r="M152" i="1"/>
  <c r="N152" i="1" s="1"/>
  <c r="CJ152" i="1" s="1"/>
  <c r="M151" i="1"/>
  <c r="N151" i="1" s="1"/>
  <c r="CJ151" i="1" s="1"/>
  <c r="M150" i="1"/>
  <c r="N150" i="1" s="1"/>
  <c r="CJ150" i="1" s="1"/>
  <c r="M149" i="1"/>
  <c r="N149" i="1" s="1"/>
  <c r="CJ149" i="1" s="1"/>
  <c r="M148" i="1"/>
  <c r="N148" i="1" s="1"/>
  <c r="CJ148" i="1" s="1"/>
  <c r="AC260" i="2"/>
  <c r="Z260" i="2"/>
  <c r="O260" i="2"/>
  <c r="O259" i="2" l="1"/>
  <c r="Z259" i="2"/>
  <c r="AC259" i="2"/>
  <c r="AC258" i="2"/>
  <c r="Z258" i="2"/>
  <c r="O258" i="2"/>
  <c r="O255" i="2"/>
  <c r="Z255" i="2"/>
  <c r="AC255" i="2"/>
  <c r="O256" i="2"/>
  <c r="Z256" i="2"/>
  <c r="AC256" i="2"/>
  <c r="O257" i="2"/>
  <c r="Z257" i="2"/>
  <c r="AC257" i="2"/>
  <c r="AC254" i="2"/>
  <c r="Z254" i="2"/>
  <c r="O254" i="2"/>
  <c r="AC253" i="2"/>
  <c r="Z253" i="2"/>
  <c r="O253" i="2"/>
  <c r="H26" i="4" l="1"/>
  <c r="E26" i="4"/>
  <c r="H25" i="4"/>
  <c r="E25" i="4"/>
  <c r="M683" i="3"/>
  <c r="Y683" i="3"/>
  <c r="AB683" i="3"/>
  <c r="M684" i="3"/>
  <c r="Y684" i="3"/>
  <c r="AB684" i="3"/>
  <c r="AB685" i="3"/>
  <c r="Y685" i="3"/>
  <c r="M685" i="3"/>
  <c r="Y681" i="3" l="1"/>
  <c r="AB681" i="3"/>
  <c r="Y682" i="3"/>
  <c r="AB682" i="3"/>
  <c r="AB680" i="3"/>
  <c r="Y680" i="3"/>
  <c r="M682" i="3"/>
  <c r="M681" i="3"/>
  <c r="M680" i="3"/>
  <c r="M676" i="3"/>
  <c r="Y676" i="3"/>
  <c r="AB676" i="3"/>
  <c r="M677" i="3"/>
  <c r="Y677" i="3"/>
  <c r="AB677" i="3"/>
  <c r="M678" i="3"/>
  <c r="Y678" i="3"/>
  <c r="AB678" i="3"/>
  <c r="M679" i="3"/>
  <c r="Y679" i="3"/>
  <c r="AB679" i="3"/>
  <c r="AB675" i="3"/>
  <c r="Y675" i="3"/>
  <c r="M675" i="3"/>
  <c r="AB674" i="3"/>
  <c r="Y674" i="3"/>
  <c r="M674" i="3"/>
  <c r="J147" i="1"/>
  <c r="J146" i="1"/>
  <c r="M147" i="1"/>
  <c r="N147" i="1" s="1"/>
  <c r="CJ147" i="1" s="1"/>
  <c r="M146" i="1"/>
  <c r="N146" i="1" s="1"/>
  <c r="CJ146" i="1" s="1"/>
  <c r="O252" i="2" l="1"/>
  <c r="Z252" i="2"/>
  <c r="AC252" i="2"/>
  <c r="AC251" i="2"/>
  <c r="Z251" i="2"/>
  <c r="O251" i="2"/>
  <c r="H24" i="4" l="1"/>
  <c r="E24" i="4"/>
  <c r="H23" i="4"/>
  <c r="E23" i="4"/>
  <c r="M670" i="3"/>
  <c r="Y670" i="3"/>
  <c r="AB670" i="3"/>
  <c r="AB673" i="3"/>
  <c r="Y673" i="3"/>
  <c r="M673" i="3"/>
  <c r="AB672" i="3"/>
  <c r="Y672" i="3"/>
  <c r="M672" i="3"/>
  <c r="AB671" i="3"/>
  <c r="Y671" i="3"/>
  <c r="M671" i="3"/>
  <c r="AB669" i="3"/>
  <c r="Y669" i="3"/>
  <c r="M669" i="3"/>
  <c r="O250" i="2" l="1"/>
  <c r="Z250" i="2"/>
  <c r="AC250" i="2"/>
  <c r="J145" i="1"/>
  <c r="M145" i="1"/>
  <c r="N145" i="1" s="1"/>
  <c r="CJ145" i="1" s="1"/>
  <c r="J143" i="1"/>
  <c r="J142" i="1"/>
  <c r="J141" i="1"/>
  <c r="J140" i="1"/>
  <c r="J144" i="1"/>
  <c r="J139" i="1"/>
  <c r="J138" i="1"/>
  <c r="J137" i="1"/>
  <c r="J136" i="1"/>
  <c r="M136" i="1"/>
  <c r="N136" i="1" s="1"/>
  <c r="CJ136" i="1" s="1"/>
  <c r="M137" i="1"/>
  <c r="N137" i="1" s="1"/>
  <c r="CJ137" i="1" s="1"/>
  <c r="M138" i="1"/>
  <c r="N138" i="1" s="1"/>
  <c r="CJ138" i="1" s="1"/>
  <c r="M139" i="1"/>
  <c r="N139" i="1" s="1"/>
  <c r="CJ139" i="1" s="1"/>
  <c r="M140" i="1"/>
  <c r="N140" i="1" s="1"/>
  <c r="CJ140" i="1" s="1"/>
  <c r="M141" i="1"/>
  <c r="N141" i="1" s="1"/>
  <c r="CJ141" i="1" s="1"/>
  <c r="M142" i="1"/>
  <c r="N142" i="1" s="1"/>
  <c r="CJ142" i="1" s="1"/>
  <c r="M143" i="1"/>
  <c r="N143" i="1" s="1"/>
  <c r="CJ143" i="1" s="1"/>
  <c r="M144" i="1"/>
  <c r="N144" i="1" s="1"/>
  <c r="CJ144" i="1" s="1"/>
  <c r="AC249" i="2"/>
  <c r="Z249" i="2"/>
  <c r="O249" i="2"/>
  <c r="O247" i="2"/>
  <c r="Z247" i="2"/>
  <c r="AC247" i="2"/>
  <c r="O248" i="2"/>
  <c r="Z248" i="2"/>
  <c r="AC248" i="2"/>
  <c r="O246" i="2"/>
  <c r="Z246" i="2"/>
  <c r="AC246" i="2"/>
  <c r="AC245" i="2"/>
  <c r="Z245" i="2"/>
  <c r="O245" i="2"/>
  <c r="O243" i="2"/>
  <c r="Z243" i="2"/>
  <c r="AC243" i="2"/>
  <c r="O244" i="2"/>
  <c r="Z244" i="2"/>
  <c r="AC244" i="2"/>
  <c r="AC242" i="2"/>
  <c r="Z242" i="2"/>
  <c r="O242" i="2"/>
  <c r="AC241" i="2"/>
  <c r="Z241" i="2"/>
  <c r="O241" i="2"/>
  <c r="J134" i="1" l="1"/>
  <c r="J135" i="1"/>
  <c r="J133" i="1"/>
  <c r="O240" i="2" l="1"/>
  <c r="Z240" i="2"/>
  <c r="AC240" i="2"/>
  <c r="M135" i="1"/>
  <c r="N135" i="1" l="1"/>
  <c r="CJ135" i="1" s="1"/>
  <c r="H22" i="4"/>
  <c r="E22" i="4"/>
  <c r="M133" i="1"/>
  <c r="N133" i="1" s="1"/>
  <c r="CJ133" i="1" s="1"/>
  <c r="M134" i="1"/>
  <c r="N134" i="1" s="1"/>
  <c r="CJ134" i="1" s="1"/>
  <c r="AC238" i="2"/>
  <c r="Z238" i="2"/>
  <c r="O238" i="2"/>
  <c r="AC239" i="2"/>
  <c r="Z239" i="2"/>
  <c r="O239" i="2"/>
  <c r="J131" i="1"/>
  <c r="J132" i="1"/>
  <c r="J130" i="1"/>
  <c r="M132" i="1"/>
  <c r="N132" i="1" s="1"/>
  <c r="CJ132" i="1" s="1"/>
  <c r="M131" i="1"/>
  <c r="N131" i="1" s="1"/>
  <c r="CJ131" i="1" s="1"/>
  <c r="M130" i="1"/>
  <c r="N130" i="1" s="1"/>
  <c r="CJ130" i="1" s="1"/>
  <c r="O236" i="2"/>
  <c r="Z236" i="2"/>
  <c r="AC236" i="2"/>
  <c r="M129" i="1"/>
  <c r="N129" i="1" s="1"/>
  <c r="CJ129" i="1" s="1"/>
  <c r="M128" i="1"/>
  <c r="N128" i="1" s="1"/>
  <c r="CJ128" i="1" s="1"/>
  <c r="J129" i="1"/>
  <c r="J128" i="1"/>
  <c r="O237" i="2"/>
  <c r="Z237" i="2"/>
  <c r="AC237" i="2"/>
  <c r="AC235" i="2"/>
  <c r="Z235" i="2"/>
  <c r="O235" i="2"/>
  <c r="O234" i="2"/>
  <c r="Z234" i="2"/>
  <c r="AC234" i="2"/>
  <c r="AC233" i="2"/>
  <c r="Z233" i="2"/>
  <c r="O233" i="2"/>
  <c r="AB668" i="3" l="1"/>
  <c r="Y668" i="3"/>
  <c r="M668" i="3"/>
  <c r="AB667" i="3"/>
  <c r="Y667" i="3"/>
  <c r="H21" i="4" l="1"/>
  <c r="E21" i="4"/>
  <c r="Y666" i="3"/>
  <c r="AB666" i="3"/>
  <c r="M666" i="3"/>
  <c r="M665" i="3"/>
  <c r="Y665" i="3"/>
  <c r="AB665" i="3"/>
  <c r="M662" i="3"/>
  <c r="Y662" i="3"/>
  <c r="AB662" i="3"/>
  <c r="M663" i="3"/>
  <c r="Y663" i="3"/>
  <c r="AB663" i="3"/>
  <c r="AB664" i="3"/>
  <c r="Y664" i="3"/>
  <c r="M664" i="3"/>
  <c r="M661" i="3"/>
  <c r="Y661" i="3"/>
  <c r="AB661" i="3"/>
  <c r="AB660" i="3"/>
  <c r="Y660" i="3"/>
  <c r="M660" i="3"/>
  <c r="M127" i="1"/>
  <c r="N127" i="1" s="1"/>
  <c r="CJ127" i="1" s="1"/>
  <c r="M126" i="1"/>
  <c r="N126" i="1" s="1"/>
  <c r="CJ126" i="1" s="1"/>
  <c r="J127" i="1"/>
  <c r="J126" i="1"/>
  <c r="Z232" i="2"/>
  <c r="AC232" i="2"/>
  <c r="AC231" i="2"/>
  <c r="Z231" i="2"/>
  <c r="O232" i="2"/>
  <c r="O231" i="2"/>
  <c r="H20" i="4" l="1"/>
  <c r="E20" i="4"/>
  <c r="AB659" i="3"/>
  <c r="Y659" i="3"/>
  <c r="M659" i="3"/>
  <c r="AB658" i="3"/>
  <c r="Y658" i="3"/>
  <c r="M658" i="3"/>
  <c r="Y657" i="3"/>
  <c r="M657" i="3"/>
  <c r="AB657" i="3"/>
  <c r="AB656" i="3"/>
  <c r="Y656" i="3"/>
  <c r="M656" i="3"/>
  <c r="M125" i="1"/>
  <c r="N125" i="1" s="1"/>
  <c r="CJ125" i="1" s="1"/>
  <c r="M124" i="1"/>
  <c r="N124" i="1" s="1"/>
  <c r="CJ124" i="1" s="1"/>
  <c r="M123" i="1"/>
  <c r="N123" i="1" s="1"/>
  <c r="CJ123" i="1" s="1"/>
  <c r="M122" i="1"/>
  <c r="N122" i="1" s="1"/>
  <c r="CJ122" i="1" s="1"/>
  <c r="J125" i="1"/>
  <c r="J124" i="1"/>
  <c r="J123" i="1"/>
  <c r="J122" i="1"/>
  <c r="Z229" i="2"/>
  <c r="O228" i="2"/>
  <c r="Z228" i="2"/>
  <c r="AC228" i="2"/>
  <c r="O229" i="2"/>
  <c r="AC229" i="2"/>
  <c r="O230" i="2"/>
  <c r="Z230" i="2"/>
  <c r="AC230" i="2"/>
  <c r="AC227" i="2"/>
  <c r="Z227" i="2"/>
  <c r="O227" i="2"/>
  <c r="H19" i="4" l="1"/>
  <c r="E19" i="4"/>
  <c r="M654" i="3"/>
  <c r="Y654" i="3"/>
  <c r="AB654" i="3"/>
  <c r="M650" i="3"/>
  <c r="Y650" i="3"/>
  <c r="AB650" i="3"/>
  <c r="M651" i="3"/>
  <c r="Y651" i="3"/>
  <c r="AB651" i="3"/>
  <c r="M652" i="3"/>
  <c r="Y652" i="3"/>
  <c r="AB652" i="3"/>
  <c r="M653" i="3"/>
  <c r="Y653" i="3"/>
  <c r="AB653" i="3"/>
  <c r="AB655" i="3" l="1"/>
  <c r="Y655" i="3"/>
  <c r="M655" i="3"/>
  <c r="AB649" i="3"/>
  <c r="Y649" i="3"/>
  <c r="M649" i="3"/>
  <c r="Y648" i="3"/>
  <c r="AB648" i="3"/>
  <c r="AB647" i="3"/>
  <c r="Y647" i="3"/>
  <c r="M648" i="3"/>
  <c r="M647" i="3"/>
  <c r="M121" i="1"/>
  <c r="N121" i="1" s="1"/>
  <c r="CJ121" i="1" s="1"/>
  <c r="J121" i="1"/>
  <c r="AC226" i="2"/>
  <c r="Z226" i="2"/>
  <c r="O226" i="2"/>
  <c r="H18" i="4"/>
  <c r="E18" i="4"/>
  <c r="M644" i="3"/>
  <c r="Y644" i="3"/>
  <c r="AB644" i="3"/>
  <c r="M645" i="3"/>
  <c r="Y645" i="3"/>
  <c r="AB645" i="3"/>
  <c r="M639" i="3"/>
  <c r="Y639" i="3"/>
  <c r="AB639" i="3"/>
  <c r="AB636" i="3" l="1"/>
  <c r="Y636" i="3"/>
  <c r="M636" i="3"/>
  <c r="AB646" i="3" l="1"/>
  <c r="Y646" i="3"/>
  <c r="M646" i="3"/>
  <c r="AB643" i="3"/>
  <c r="Y643" i="3"/>
  <c r="M643" i="3"/>
  <c r="AB642" i="3"/>
  <c r="Y642" i="3"/>
  <c r="M642" i="3"/>
  <c r="AB641" i="3"/>
  <c r="Y641" i="3"/>
  <c r="M641" i="3"/>
  <c r="AB640" i="3"/>
  <c r="Y640" i="3"/>
  <c r="M640" i="3"/>
  <c r="AB638" i="3"/>
  <c r="Y638" i="3"/>
  <c r="M638" i="3"/>
  <c r="AB637" i="3"/>
  <c r="Y637" i="3"/>
  <c r="M637" i="3"/>
  <c r="J119" i="1"/>
  <c r="J120" i="1"/>
  <c r="J118" i="1"/>
  <c r="M120" i="1"/>
  <c r="N120" i="1" s="1"/>
  <c r="CJ120" i="1" s="1"/>
  <c r="M119" i="1"/>
  <c r="N119" i="1" s="1"/>
  <c r="CJ119" i="1" s="1"/>
  <c r="M118" i="1"/>
  <c r="N118" i="1" s="1"/>
  <c r="CJ118" i="1" s="1"/>
  <c r="O224" i="2"/>
  <c r="Z224" i="2"/>
  <c r="AC224" i="2"/>
  <c r="O225" i="2"/>
  <c r="Z225" i="2"/>
  <c r="AC225" i="2"/>
  <c r="AC223" i="2"/>
  <c r="Z223" i="2"/>
  <c r="O223" i="2"/>
  <c r="H17" i="4" l="1"/>
  <c r="E17" i="4"/>
  <c r="H16" i="4"/>
  <c r="E16" i="4"/>
  <c r="L631" i="3"/>
  <c r="M631" i="3" s="1"/>
  <c r="L629" i="3"/>
  <c r="M629" i="3" s="1"/>
  <c r="M630" i="3"/>
  <c r="Y630" i="3"/>
  <c r="AB630" i="3"/>
  <c r="Y631" i="3"/>
  <c r="AB631" i="3"/>
  <c r="M633" i="3"/>
  <c r="Y633" i="3"/>
  <c r="AB633" i="3"/>
  <c r="M634" i="3"/>
  <c r="Y634" i="3"/>
  <c r="AB634" i="3"/>
  <c r="M635" i="3"/>
  <c r="Y635" i="3"/>
  <c r="AB635" i="3"/>
  <c r="AB632" i="3"/>
  <c r="Y632" i="3"/>
  <c r="M632" i="3"/>
  <c r="Y629" i="3"/>
  <c r="AB629" i="3"/>
  <c r="AB628" i="3"/>
  <c r="Y628" i="3"/>
  <c r="M628" i="3"/>
  <c r="AB627" i="3"/>
  <c r="Y627" i="3"/>
  <c r="M627" i="3"/>
  <c r="H15" i="4" l="1"/>
  <c r="E15" i="4"/>
  <c r="AB626" i="3"/>
  <c r="Y626" i="3"/>
  <c r="M626" i="3"/>
  <c r="M625" i="3"/>
  <c r="Y625" i="3"/>
  <c r="AB625" i="3"/>
  <c r="AB624" i="3"/>
  <c r="Y624" i="3"/>
  <c r="M624" i="3"/>
  <c r="J117" i="1"/>
  <c r="J116" i="1"/>
  <c r="J115" i="1"/>
  <c r="M117" i="1"/>
  <c r="N117" i="1" s="1"/>
  <c r="CJ117" i="1" s="1"/>
  <c r="M116" i="1"/>
  <c r="N116" i="1" s="1"/>
  <c r="CJ116" i="1" s="1"/>
  <c r="M115" i="1"/>
  <c r="N115" i="1" s="1"/>
  <c r="CJ115" i="1" s="1"/>
  <c r="M114" i="1"/>
  <c r="N114" i="1" s="1"/>
  <c r="CJ114" i="1" s="1"/>
  <c r="M113" i="1"/>
  <c r="N113" i="1" s="1"/>
  <c r="CJ113" i="1" s="1"/>
  <c r="J114" i="1"/>
  <c r="J113" i="1"/>
  <c r="O222" i="2"/>
  <c r="Z222" i="2"/>
  <c r="AC222" i="2"/>
  <c r="AC221" i="2"/>
  <c r="Z221" i="2"/>
  <c r="O221" i="2"/>
  <c r="O220" i="2"/>
  <c r="Z220" i="2"/>
  <c r="AC220" i="2"/>
  <c r="O219" i="2"/>
  <c r="Z219" i="2"/>
  <c r="AC219" i="2"/>
  <c r="AC218" i="2"/>
  <c r="Z218" i="2"/>
  <c r="O218" i="2"/>
  <c r="H14" i="4" l="1"/>
  <c r="E14" i="4"/>
  <c r="M621" i="3"/>
  <c r="Y621" i="3"/>
  <c r="AB621" i="3"/>
  <c r="M619" i="3"/>
  <c r="Y619" i="3"/>
  <c r="AB619" i="3"/>
  <c r="M623" i="3"/>
  <c r="Y623" i="3"/>
  <c r="AB623" i="3"/>
  <c r="AB622" i="3"/>
  <c r="Y622" i="3"/>
  <c r="M622" i="3"/>
  <c r="AB620" i="3"/>
  <c r="Y620" i="3"/>
  <c r="M620" i="3"/>
  <c r="AB618" i="3"/>
  <c r="Y618" i="3"/>
  <c r="M618" i="3"/>
  <c r="M112" i="1"/>
  <c r="N112" i="1" s="1"/>
  <c r="CJ112" i="1" s="1"/>
  <c r="M111" i="1"/>
  <c r="N111" i="1" s="1"/>
  <c r="CJ111" i="1" s="1"/>
  <c r="M110" i="1"/>
  <c r="N110" i="1" s="1"/>
  <c r="CJ110" i="1" s="1"/>
  <c r="M109" i="1"/>
  <c r="N109" i="1" s="1"/>
  <c r="CJ109" i="1" s="1"/>
  <c r="M108" i="1"/>
  <c r="N108" i="1" s="1"/>
  <c r="CJ108" i="1" s="1"/>
  <c r="M107" i="1"/>
  <c r="N107" i="1" s="1"/>
  <c r="CJ107" i="1" s="1"/>
  <c r="M106" i="1"/>
  <c r="N106" i="1" s="1"/>
  <c r="CJ106" i="1" s="1"/>
  <c r="O217" i="2"/>
  <c r="Z217" i="2"/>
  <c r="AC217" i="2"/>
  <c r="O215" i="2"/>
  <c r="Z215" i="2"/>
  <c r="AC215" i="2"/>
  <c r="AC216" i="2"/>
  <c r="Z214" i="2"/>
  <c r="AC214" i="2"/>
  <c r="Z216" i="2"/>
  <c r="O212" i="2"/>
  <c r="Z212" i="2"/>
  <c r="AC212" i="2"/>
  <c r="O213" i="2"/>
  <c r="Z213" i="2"/>
  <c r="AC213" i="2"/>
  <c r="O214" i="2"/>
  <c r="O216" i="2"/>
  <c r="AC211" i="2"/>
  <c r="Z211" i="2"/>
  <c r="O211" i="2"/>
  <c r="H13" i="4" l="1"/>
  <c r="E13" i="4"/>
  <c r="L613" i="3"/>
  <c r="M613" i="3" s="1"/>
  <c r="Y613" i="3"/>
  <c r="AB613" i="3"/>
  <c r="M617" i="3"/>
  <c r="Y617" i="3"/>
  <c r="AB617" i="3"/>
  <c r="AB616" i="3"/>
  <c r="Y616" i="3"/>
  <c r="M616" i="3"/>
  <c r="M612" i="3"/>
  <c r="Y612" i="3"/>
  <c r="AB612" i="3"/>
  <c r="M614" i="3"/>
  <c r="Y614" i="3"/>
  <c r="AB614" i="3"/>
  <c r="M615" i="3"/>
  <c r="Y615" i="3"/>
  <c r="AB615" i="3"/>
  <c r="AB611" i="3"/>
  <c r="Y611" i="3"/>
  <c r="M611" i="3"/>
  <c r="H12" i="4" l="1"/>
  <c r="E12" i="4"/>
  <c r="M610" i="3"/>
  <c r="Y610" i="3"/>
  <c r="AB610" i="3"/>
  <c r="AB609" i="3"/>
  <c r="Y609" i="3"/>
  <c r="M609" i="3"/>
  <c r="AB608" i="3"/>
  <c r="Y608" i="3"/>
  <c r="M608" i="3"/>
  <c r="M607" i="3"/>
  <c r="Y607" i="3"/>
  <c r="AB607" i="3"/>
  <c r="AB606" i="3"/>
  <c r="Y606" i="3"/>
  <c r="M606" i="3"/>
  <c r="H11" i="4"/>
  <c r="E11" i="4"/>
  <c r="J105" i="1"/>
  <c r="J104" i="1"/>
  <c r="J101" i="1"/>
  <c r="J102" i="1"/>
  <c r="J100" i="1"/>
  <c r="J99" i="1"/>
  <c r="M100" i="1"/>
  <c r="N100" i="1" s="1"/>
  <c r="CJ100" i="1" s="1"/>
  <c r="O205" i="2"/>
  <c r="Z205" i="2"/>
  <c r="AC205" i="2"/>
  <c r="J103" i="1"/>
  <c r="J98" i="1"/>
  <c r="J97" i="1"/>
  <c r="J96" i="1"/>
  <c r="J95" i="1"/>
  <c r="M95" i="1"/>
  <c r="N95" i="1" s="1"/>
  <c r="CJ95" i="1" s="1"/>
  <c r="M96" i="1"/>
  <c r="N96" i="1" s="1"/>
  <c r="CJ96" i="1" s="1"/>
  <c r="M97" i="1"/>
  <c r="N97" i="1" s="1"/>
  <c r="CJ97" i="1" s="1"/>
  <c r="M98" i="1"/>
  <c r="N98" i="1" s="1"/>
  <c r="CJ98" i="1" s="1"/>
  <c r="M99" i="1"/>
  <c r="N99" i="1" s="1"/>
  <c r="CJ99" i="1" s="1"/>
  <c r="M101" i="1"/>
  <c r="N101" i="1" s="1"/>
  <c r="CJ101" i="1" s="1"/>
  <c r="M102" i="1"/>
  <c r="N102" i="1" s="1"/>
  <c r="CJ102" i="1" s="1"/>
  <c r="M103" i="1"/>
  <c r="N103" i="1" s="1"/>
  <c r="CJ103" i="1" s="1"/>
  <c r="M104" i="1"/>
  <c r="N104" i="1" s="1"/>
  <c r="CJ104" i="1" s="1"/>
  <c r="M105" i="1"/>
  <c r="N105" i="1" s="1"/>
  <c r="CJ105" i="1" s="1"/>
  <c r="AC210" i="2"/>
  <c r="Z210" i="2"/>
  <c r="O210" i="2"/>
  <c r="AC209" i="2"/>
  <c r="Z209" i="2"/>
  <c r="O209" i="2"/>
  <c r="AC208" i="2"/>
  <c r="Z208" i="2"/>
  <c r="O208" i="2"/>
  <c r="AC207" i="2"/>
  <c r="Z207" i="2"/>
  <c r="O207" i="2"/>
  <c r="AC206" i="2"/>
  <c r="Z206" i="2"/>
  <c r="O206" i="2"/>
  <c r="AC204" i="2"/>
  <c r="Z204" i="2"/>
  <c r="O204" i="2"/>
  <c r="AC203" i="2"/>
  <c r="Z203" i="2"/>
  <c r="O203" i="2"/>
  <c r="O201" i="2"/>
  <c r="Z201" i="2"/>
  <c r="AC201" i="2"/>
  <c r="O202" i="2"/>
  <c r="Z202" i="2"/>
  <c r="AC202" i="2"/>
  <c r="AC200" i="2"/>
  <c r="Z200" i="2"/>
  <c r="O200" i="2"/>
  <c r="M603" i="3" l="1"/>
  <c r="M602" i="3"/>
  <c r="Y602" i="3"/>
  <c r="AB602" i="3"/>
  <c r="Y603" i="3"/>
  <c r="AB603" i="3"/>
  <c r="M605" i="3"/>
  <c r="Y605" i="3"/>
  <c r="AB605" i="3"/>
  <c r="AB604" i="3"/>
  <c r="Y604" i="3"/>
  <c r="M604" i="3"/>
  <c r="M601" i="3"/>
  <c r="Y601" i="3"/>
  <c r="AB601" i="3"/>
  <c r="AB600" i="3"/>
  <c r="Y600" i="3"/>
  <c r="M600" i="3"/>
  <c r="J72" i="1" l="1"/>
  <c r="J76" i="1"/>
  <c r="J75" i="1"/>
  <c r="J74" i="1"/>
  <c r="J73" i="1"/>
  <c r="J93" i="1"/>
  <c r="J86" i="1"/>
  <c r="J87" i="1"/>
  <c r="J88" i="1"/>
  <c r="J90" i="1"/>
  <c r="J89" i="1"/>
  <c r="J85" i="1"/>
  <c r="J84" i="1"/>
  <c r="J94" i="1"/>
  <c r="J92" i="1"/>
  <c r="J91" i="1"/>
  <c r="J81" i="1"/>
  <c r="J82" i="1"/>
  <c r="J83" i="1"/>
  <c r="J80" i="1"/>
  <c r="J78" i="1"/>
  <c r="J79" i="1"/>
  <c r="J77" i="1"/>
  <c r="H10" i="4"/>
  <c r="E10" i="4"/>
  <c r="M598" i="3"/>
  <c r="Y598" i="3"/>
  <c r="AB598" i="3"/>
  <c r="M594" i="3"/>
  <c r="Y594" i="3"/>
  <c r="AB594" i="3"/>
  <c r="M599" i="3"/>
  <c r="Y599" i="3"/>
  <c r="AB599" i="3"/>
  <c r="AB597" i="3"/>
  <c r="Y597" i="3"/>
  <c r="M597" i="3"/>
  <c r="AB596" i="3"/>
  <c r="Y596" i="3"/>
  <c r="M596" i="3"/>
  <c r="Y595" i="3"/>
  <c r="AB595" i="3"/>
  <c r="AB593" i="3"/>
  <c r="Y593" i="3"/>
  <c r="M595" i="3"/>
  <c r="M593" i="3"/>
  <c r="AB592" i="3"/>
  <c r="Y592" i="3"/>
  <c r="M592" i="3"/>
  <c r="M94" i="1"/>
  <c r="N94" i="1" s="1"/>
  <c r="CJ94" i="1" s="1"/>
  <c r="M93" i="1"/>
  <c r="N93" i="1" s="1"/>
  <c r="CJ93" i="1" s="1"/>
  <c r="M92" i="1"/>
  <c r="N92" i="1" s="1"/>
  <c r="CJ92" i="1" s="1"/>
  <c r="M91" i="1"/>
  <c r="N91" i="1" s="1"/>
  <c r="CJ91" i="1" s="1"/>
  <c r="AC199" i="2"/>
  <c r="Z199" i="2"/>
  <c r="O199" i="2"/>
  <c r="AC198" i="2"/>
  <c r="Z198" i="2"/>
  <c r="O198" i="2"/>
  <c r="AC197" i="2"/>
  <c r="Z197" i="2"/>
  <c r="O197" i="2"/>
  <c r="AC196" i="2"/>
  <c r="Z196" i="2"/>
  <c r="O196" i="2"/>
  <c r="H9" i="4" l="1"/>
  <c r="E9" i="4"/>
  <c r="H8" i="4"/>
  <c r="E8" i="4"/>
  <c r="M72" i="1"/>
  <c r="N72" i="1" s="1"/>
  <c r="CJ72" i="1" s="1"/>
  <c r="M73" i="1"/>
  <c r="N73" i="1" s="1"/>
  <c r="CJ73" i="1" s="1"/>
  <c r="M74" i="1"/>
  <c r="N74" i="1" s="1"/>
  <c r="CJ74" i="1" s="1"/>
  <c r="M75" i="1"/>
  <c r="N75" i="1" s="1"/>
  <c r="CJ75" i="1" s="1"/>
  <c r="M76" i="1"/>
  <c r="N76" i="1" s="1"/>
  <c r="CJ76" i="1" s="1"/>
  <c r="M77" i="1"/>
  <c r="N77" i="1" s="1"/>
  <c r="CJ77" i="1" s="1"/>
  <c r="M78" i="1"/>
  <c r="N78" i="1" s="1"/>
  <c r="CJ78" i="1" s="1"/>
  <c r="M79" i="1"/>
  <c r="N79" i="1" s="1"/>
  <c r="CJ79" i="1" s="1"/>
  <c r="M80" i="1"/>
  <c r="N80" i="1" s="1"/>
  <c r="CJ80" i="1" s="1"/>
  <c r="M81" i="1"/>
  <c r="N81" i="1" s="1"/>
  <c r="CJ81" i="1" s="1"/>
  <c r="M82" i="1"/>
  <c r="N82" i="1" s="1"/>
  <c r="CJ82" i="1" s="1"/>
  <c r="M83" i="1"/>
  <c r="N83" i="1" s="1"/>
  <c r="CJ83" i="1" s="1"/>
  <c r="M84" i="1"/>
  <c r="N84" i="1" s="1"/>
  <c r="CJ84" i="1" s="1"/>
  <c r="M85" i="1"/>
  <c r="N85" i="1" s="1"/>
  <c r="CJ85" i="1" s="1"/>
  <c r="M86" i="1"/>
  <c r="N86" i="1" s="1"/>
  <c r="CJ86" i="1" s="1"/>
  <c r="M87" i="1"/>
  <c r="N87" i="1" s="1"/>
  <c r="CJ87" i="1" s="1"/>
  <c r="M88" i="1"/>
  <c r="N88" i="1" s="1"/>
  <c r="CJ88" i="1" s="1"/>
  <c r="M89" i="1"/>
  <c r="N89" i="1" s="1"/>
  <c r="CJ89" i="1" s="1"/>
  <c r="M90" i="1"/>
  <c r="N90" i="1" s="1"/>
  <c r="CJ90" i="1" s="1"/>
  <c r="O195" i="2"/>
  <c r="Z195" i="2"/>
  <c r="AC195" i="2"/>
  <c r="AC194" i="2"/>
  <c r="Z194" i="2"/>
  <c r="O194" i="2"/>
  <c r="O193" i="2"/>
  <c r="Z193" i="2"/>
  <c r="AC193" i="2"/>
  <c r="O192" i="2"/>
  <c r="Z192" i="2"/>
  <c r="AC192" i="2"/>
  <c r="AC191" i="2"/>
  <c r="Z191" i="2"/>
  <c r="O191" i="2"/>
  <c r="O190" i="2"/>
  <c r="Z190" i="2"/>
  <c r="AC190" i="2"/>
  <c r="AC189" i="2"/>
  <c r="Z189" i="2"/>
  <c r="O189" i="2"/>
  <c r="AC188" i="2" l="1"/>
  <c r="Z188" i="2"/>
  <c r="O188" i="2"/>
  <c r="AC187" i="2"/>
  <c r="Z187" i="2"/>
  <c r="O187" i="2"/>
  <c r="AC186" i="2"/>
  <c r="Z186" i="2"/>
  <c r="O186" i="2"/>
  <c r="AC185" i="2"/>
  <c r="Z185" i="2"/>
  <c r="O185" i="2"/>
  <c r="AC184" i="2"/>
  <c r="Z184" i="2"/>
  <c r="O184" i="2"/>
  <c r="AC183" i="2"/>
  <c r="Z183" i="2"/>
  <c r="O183" i="2"/>
  <c r="Z182" i="2"/>
  <c r="AC182" i="2"/>
  <c r="O182" i="2"/>
  <c r="O179" i="2"/>
  <c r="Z179" i="2"/>
  <c r="AC179" i="2"/>
  <c r="O180" i="2"/>
  <c r="Z180" i="2"/>
  <c r="AC180" i="2"/>
  <c r="O181" i="2"/>
  <c r="Z181" i="2"/>
  <c r="AC181" i="2"/>
  <c r="AC178" i="2"/>
  <c r="Z178" i="2"/>
  <c r="O178" i="2"/>
  <c r="AC177" i="2"/>
  <c r="Z177" i="2"/>
  <c r="O177" i="2"/>
  <c r="J68" i="1" l="1"/>
  <c r="J69" i="1"/>
  <c r="J70" i="1"/>
  <c r="J71" i="1"/>
  <c r="J67" i="1"/>
  <c r="H7" i="4" l="1"/>
  <c r="E7" i="4"/>
  <c r="H6" i="4"/>
  <c r="E6" i="4"/>
  <c r="M591" i="3"/>
  <c r="Y591" i="3"/>
  <c r="AB591" i="3"/>
  <c r="O167" i="2"/>
  <c r="Z167" i="2"/>
  <c r="AC167" i="2"/>
  <c r="J66" i="1"/>
  <c r="J65" i="1"/>
  <c r="J64" i="1"/>
  <c r="J61" i="1"/>
  <c r="J62" i="1"/>
  <c r="J63" i="1"/>
  <c r="J60" i="1"/>
  <c r="M62" i="1"/>
  <c r="N62" i="1" s="1"/>
  <c r="CJ62" i="1" s="1"/>
  <c r="M63" i="1"/>
  <c r="N63" i="1" s="1"/>
  <c r="CJ63" i="1" s="1"/>
  <c r="M64" i="1"/>
  <c r="N64" i="1" s="1"/>
  <c r="CJ64" i="1" s="1"/>
  <c r="M65" i="1"/>
  <c r="N65" i="1" s="1"/>
  <c r="CJ65" i="1" s="1"/>
  <c r="M66" i="1"/>
  <c r="N66" i="1" s="1"/>
  <c r="CJ66" i="1" s="1"/>
  <c r="M67" i="1"/>
  <c r="N67" i="1" s="1"/>
  <c r="CJ67" i="1" s="1"/>
  <c r="M68" i="1"/>
  <c r="N68" i="1" s="1"/>
  <c r="CJ68" i="1" s="1"/>
  <c r="M69" i="1"/>
  <c r="N69" i="1" s="1"/>
  <c r="CJ69" i="1" s="1"/>
  <c r="M70" i="1"/>
  <c r="N70" i="1" s="1"/>
  <c r="CJ70" i="1" s="1"/>
  <c r="M71" i="1"/>
  <c r="N71" i="1" s="1"/>
  <c r="CJ71" i="1" s="1"/>
  <c r="M60" i="1"/>
  <c r="N60" i="1" s="1"/>
  <c r="CJ60" i="1" s="1"/>
  <c r="M61" i="1"/>
  <c r="N61" i="1" s="1"/>
  <c r="CJ61" i="1" s="1"/>
  <c r="AB590" i="3"/>
  <c r="Y590" i="3"/>
  <c r="M590" i="3"/>
  <c r="M587" i="3"/>
  <c r="Y587" i="3"/>
  <c r="AB587" i="3"/>
  <c r="M588" i="3"/>
  <c r="Y588" i="3"/>
  <c r="AB588" i="3"/>
  <c r="M589" i="3"/>
  <c r="Y589" i="3"/>
  <c r="AB589" i="3"/>
  <c r="AB586" i="3"/>
  <c r="Y586" i="3"/>
  <c r="M586" i="3"/>
  <c r="M581" i="3"/>
  <c r="M580" i="3"/>
  <c r="M579" i="3"/>
  <c r="M576" i="3"/>
  <c r="M577" i="3"/>
  <c r="M578" i="3"/>
  <c r="M583" i="3"/>
  <c r="M584" i="3"/>
  <c r="M568" i="3"/>
  <c r="M569" i="3"/>
  <c r="M570" i="3"/>
  <c r="M571" i="3"/>
  <c r="M572" i="3"/>
  <c r="M573" i="3"/>
  <c r="M574" i="3"/>
  <c r="M562" i="3"/>
  <c r="M563" i="3"/>
  <c r="M564" i="3"/>
  <c r="M565" i="3"/>
  <c r="M566" i="3"/>
  <c r="M567" i="3"/>
  <c r="M554" i="3"/>
  <c r="M555" i="3"/>
  <c r="M556" i="3"/>
  <c r="M557" i="3"/>
  <c r="M558" i="3"/>
  <c r="M559" i="3"/>
  <c r="M560" i="3"/>
  <c r="M561" i="3"/>
  <c r="AC176" i="2"/>
  <c r="Z173" i="2"/>
  <c r="Z174" i="2"/>
  <c r="Z175" i="2"/>
  <c r="Z176" i="2"/>
  <c r="O176" i="2"/>
  <c r="O173" i="2"/>
  <c r="AC173" i="2"/>
  <c r="O174" i="2"/>
  <c r="AC174" i="2"/>
  <c r="O175" i="2"/>
  <c r="AC175" i="2"/>
  <c r="AC172" i="2"/>
  <c r="Z172" i="2"/>
  <c r="O172" i="2"/>
  <c r="Z171" i="2"/>
  <c r="AC171" i="2"/>
  <c r="AC170" i="2"/>
  <c r="Z170" i="2"/>
  <c r="O171" i="2"/>
  <c r="O170" i="2"/>
  <c r="AC169" i="2"/>
  <c r="Z169" i="2"/>
  <c r="O169" i="2"/>
  <c r="AB585" i="3"/>
  <c r="Y585" i="3"/>
  <c r="AB584" i="3"/>
  <c r="Y584" i="3"/>
  <c r="AB583" i="3"/>
  <c r="Y583" i="3"/>
  <c r="AB582" i="3"/>
  <c r="Y582" i="3"/>
  <c r="AB581" i="3"/>
  <c r="Y581" i="3"/>
  <c r="AB580" i="3"/>
  <c r="Y580" i="3"/>
  <c r="AB579" i="3"/>
  <c r="Y579" i="3"/>
  <c r="AB578" i="3"/>
  <c r="Y578" i="3"/>
  <c r="AB577" i="3"/>
  <c r="Y577" i="3"/>
  <c r="AB576" i="3"/>
  <c r="Y576" i="3"/>
  <c r="AB575" i="3"/>
  <c r="Y575" i="3"/>
  <c r="AC168" i="2"/>
  <c r="Z168" i="2"/>
  <c r="O168" i="2"/>
  <c r="AC166" i="2"/>
  <c r="Z166" i="2"/>
  <c r="O166" i="2"/>
  <c r="AC165" i="2"/>
  <c r="Z165" i="2"/>
  <c r="O165" i="2"/>
  <c r="H5" i="4" l="1"/>
  <c r="E5" i="4"/>
  <c r="J55" i="1"/>
  <c r="J53" i="1"/>
  <c r="J56" i="1"/>
  <c r="J54" i="1"/>
  <c r="J52" i="1"/>
  <c r="J51" i="1"/>
  <c r="J59" i="1"/>
  <c r="J58" i="1"/>
  <c r="J57" i="1"/>
  <c r="M59" i="1"/>
  <c r="N59" i="1" s="1"/>
  <c r="CJ59" i="1" s="1"/>
  <c r="M58" i="1"/>
  <c r="N58" i="1" s="1"/>
  <c r="CJ58" i="1" s="1"/>
  <c r="M57" i="1"/>
  <c r="N57" i="1" s="1"/>
  <c r="CJ57" i="1" s="1"/>
  <c r="M56" i="1"/>
  <c r="N56" i="1" s="1"/>
  <c r="CJ56" i="1" s="1"/>
  <c r="M55" i="1"/>
  <c r="N55" i="1" s="1"/>
  <c r="CJ55" i="1" s="1"/>
  <c r="M54" i="1"/>
  <c r="N54" i="1" s="1"/>
  <c r="CJ54" i="1" s="1"/>
  <c r="M53" i="1"/>
  <c r="N53" i="1" s="1"/>
  <c r="CJ53" i="1" s="1"/>
  <c r="M52" i="1"/>
  <c r="N52" i="1" s="1"/>
  <c r="CJ52" i="1" s="1"/>
  <c r="M51" i="1"/>
  <c r="N51" i="1" s="1"/>
  <c r="CJ51" i="1" s="1"/>
  <c r="O164" i="2"/>
  <c r="Z164" i="2"/>
  <c r="AC164" i="2"/>
  <c r="O163" i="2"/>
  <c r="Z163" i="2"/>
  <c r="AC163" i="2"/>
  <c r="I573" i="3"/>
  <c r="Y573" i="3"/>
  <c r="AB573" i="3"/>
  <c r="I572" i="3"/>
  <c r="Y572" i="3"/>
  <c r="AB572" i="3"/>
  <c r="Y569" i="3"/>
  <c r="AB569" i="3"/>
  <c r="I574" i="3"/>
  <c r="Y574" i="3"/>
  <c r="AB574" i="3"/>
  <c r="AB571" i="3"/>
  <c r="Y571" i="3"/>
  <c r="I571" i="3"/>
  <c r="Y570" i="3"/>
  <c r="AB570" i="3"/>
  <c r="AB568" i="3"/>
  <c r="Y568" i="3"/>
  <c r="AC162" i="2"/>
  <c r="Z162" i="2"/>
  <c r="O162" i="2"/>
  <c r="O161" i="2"/>
  <c r="Z161" i="2"/>
  <c r="AC161" i="2"/>
  <c r="AC160" i="2"/>
  <c r="Z160" i="2"/>
  <c r="O160" i="2"/>
  <c r="AC159" i="2"/>
  <c r="Z159" i="2"/>
  <c r="O159" i="2"/>
  <c r="AC158" i="2"/>
  <c r="Z158" i="2"/>
  <c r="O158" i="2"/>
  <c r="O157" i="2"/>
  <c r="Z157" i="2"/>
  <c r="AC157" i="2"/>
  <c r="AC156" i="2"/>
  <c r="Z156" i="2"/>
  <c r="O156" i="2"/>
  <c r="N343" i="1" l="1"/>
  <c r="CJ343" i="1"/>
  <c r="H4" i="4"/>
  <c r="E4" i="4"/>
  <c r="H3" i="4"/>
  <c r="E3" i="4"/>
  <c r="Y567" i="3"/>
  <c r="AB567" i="3"/>
  <c r="AB566" i="3"/>
  <c r="Y566" i="3"/>
  <c r="AB565" i="3" l="1"/>
  <c r="Y565" i="3"/>
  <c r="Y561" i="3"/>
  <c r="AB561" i="3"/>
  <c r="Y559" i="3"/>
  <c r="AB559" i="3"/>
  <c r="AB564" i="3"/>
  <c r="Y564" i="3"/>
  <c r="Y562" i="3"/>
  <c r="AB562" i="3"/>
  <c r="Y563" i="3"/>
  <c r="AB563" i="3"/>
  <c r="AB560" i="3"/>
  <c r="Y560" i="3"/>
  <c r="Y558" i="3"/>
  <c r="AB558" i="3"/>
  <c r="AB557" i="3"/>
  <c r="Y557" i="3"/>
  <c r="AB556" i="3"/>
  <c r="Y556" i="3"/>
  <c r="M550" i="3" l="1"/>
  <c r="Y550" i="3"/>
  <c r="AB550" i="3"/>
  <c r="M50" i="1"/>
  <c r="M49" i="1"/>
  <c r="J49" i="1"/>
  <c r="O155" i="2"/>
  <c r="Z155" i="2"/>
  <c r="AC155" i="2"/>
  <c r="AC154" i="2"/>
  <c r="Z154" i="2"/>
  <c r="O154" i="2"/>
  <c r="Y555" i="3"/>
  <c r="AB555" i="3"/>
  <c r="AB554" i="3"/>
  <c r="Y554" i="3"/>
  <c r="Y553" i="3"/>
  <c r="AB553" i="3"/>
  <c r="M553" i="3"/>
  <c r="M551" i="3"/>
  <c r="Y551" i="3"/>
  <c r="AB551" i="3"/>
  <c r="M552" i="3"/>
  <c r="Y552" i="3"/>
  <c r="AB552" i="3"/>
  <c r="AB549" i="3"/>
  <c r="Y549" i="3"/>
  <c r="M549" i="3"/>
  <c r="AB548" i="3" l="1"/>
  <c r="Y548" i="3"/>
  <c r="M548" i="3"/>
  <c r="AB547" i="3" l="1"/>
  <c r="Y547" i="3"/>
  <c r="M547" i="3"/>
  <c r="AB546" i="3"/>
  <c r="Y546" i="3"/>
  <c r="M546" i="3"/>
  <c r="M545" i="3"/>
  <c r="Y545" i="3"/>
  <c r="AB545" i="3"/>
  <c r="M48" i="1"/>
  <c r="M47" i="1"/>
  <c r="M46" i="1"/>
  <c r="M45" i="1"/>
  <c r="J48" i="1"/>
  <c r="AC153" i="2" l="1"/>
  <c r="Z153" i="2"/>
  <c r="O153" i="2"/>
  <c r="O151" i="2"/>
  <c r="Z151" i="2"/>
  <c r="AC151" i="2"/>
  <c r="O152" i="2"/>
  <c r="Z152" i="2"/>
  <c r="AC152" i="2"/>
  <c r="AC150" i="2"/>
  <c r="Z150" i="2"/>
  <c r="O150" i="2"/>
  <c r="AB544" i="3" l="1"/>
  <c r="Y544" i="3"/>
  <c r="M544" i="3"/>
  <c r="AB543" i="3"/>
  <c r="Y543" i="3"/>
  <c r="M543" i="3"/>
  <c r="I543" i="3"/>
  <c r="AB542" i="3"/>
  <c r="Y542" i="3"/>
  <c r="M542" i="3"/>
  <c r="I542" i="3"/>
  <c r="AB541" i="3"/>
  <c r="Y541" i="3"/>
  <c r="M541" i="3"/>
  <c r="I541" i="3"/>
  <c r="AB540" i="3" l="1"/>
  <c r="Y540" i="3"/>
  <c r="M540" i="3"/>
  <c r="M539" i="3" l="1"/>
  <c r="Y539" i="3"/>
  <c r="AB539" i="3"/>
  <c r="AB538" i="3"/>
  <c r="Y538" i="3"/>
  <c r="M538" i="3"/>
  <c r="AB537" i="3"/>
  <c r="Y537" i="3"/>
  <c r="M537" i="3"/>
  <c r="M536" i="3"/>
  <c r="Y536" i="3"/>
  <c r="AB536" i="3"/>
  <c r="AB535" i="3"/>
  <c r="Y535" i="3"/>
  <c r="M535" i="3"/>
  <c r="AB534" i="3"/>
  <c r="Y534" i="3"/>
  <c r="M534" i="3"/>
  <c r="AB533" i="3"/>
  <c r="Y533" i="3"/>
  <c r="M533" i="3"/>
  <c r="AB532" i="3"/>
  <c r="Y532" i="3"/>
  <c r="M532" i="3"/>
  <c r="M44" i="1"/>
  <c r="J44" i="1"/>
  <c r="AC149" i="2"/>
  <c r="Z149" i="2"/>
  <c r="O149" i="2"/>
  <c r="AC148" i="2"/>
  <c r="Z148" i="2"/>
  <c r="O148" i="2"/>
  <c r="M531" i="3" l="1"/>
  <c r="Y531" i="3"/>
  <c r="AB531" i="3"/>
  <c r="M530" i="3"/>
  <c r="Y530" i="3"/>
  <c r="AB530" i="3"/>
  <c r="M529" i="3"/>
  <c r="M528" i="3"/>
  <c r="Y528" i="3"/>
  <c r="AB528" i="3"/>
  <c r="M527" i="3"/>
  <c r="Y527" i="3"/>
  <c r="AB527" i="3"/>
  <c r="AB529" i="3"/>
  <c r="Y529" i="3"/>
  <c r="AB526" i="3"/>
  <c r="Y526" i="3"/>
  <c r="M526" i="3"/>
  <c r="AB525" i="3"/>
  <c r="Y525" i="3"/>
  <c r="M525" i="3"/>
  <c r="M523" i="3" l="1"/>
  <c r="Y523" i="3"/>
  <c r="AB523" i="3"/>
  <c r="M524" i="3"/>
  <c r="Y524" i="3"/>
  <c r="AB524" i="3"/>
  <c r="AB522" i="3"/>
  <c r="Y522" i="3"/>
  <c r="M522" i="3"/>
  <c r="M516" i="3"/>
  <c r="Y516" i="3"/>
  <c r="AB516" i="3"/>
  <c r="AB515" i="3"/>
  <c r="Y515" i="3"/>
  <c r="M515" i="3"/>
  <c r="M520" i="3"/>
  <c r="Y520" i="3"/>
  <c r="AB520" i="3"/>
  <c r="M521" i="3"/>
  <c r="Y521" i="3"/>
  <c r="AB521" i="3"/>
  <c r="AB519" i="3"/>
  <c r="Y519" i="3"/>
  <c r="M519" i="3"/>
  <c r="Y518" i="3"/>
  <c r="AB518" i="3"/>
  <c r="AB517" i="3"/>
  <c r="Y517" i="3"/>
  <c r="M518" i="3"/>
  <c r="M517" i="3"/>
  <c r="O147" i="2" l="1"/>
  <c r="Z147" i="2"/>
  <c r="AC147" i="2"/>
  <c r="AC146" i="2"/>
  <c r="Z146" i="2"/>
  <c r="O146" i="2"/>
  <c r="AC145" i="2"/>
  <c r="Z145" i="2"/>
  <c r="O145" i="2"/>
  <c r="M511" i="3" l="1"/>
  <c r="Y511" i="3"/>
  <c r="AB511" i="3"/>
  <c r="M513" i="3"/>
  <c r="M514" i="3"/>
  <c r="Y514" i="3"/>
  <c r="AB514" i="3"/>
  <c r="M509" i="3"/>
  <c r="Y509" i="3"/>
  <c r="AB509" i="3"/>
  <c r="AB513" i="3"/>
  <c r="Y513" i="3"/>
  <c r="M510" i="3"/>
  <c r="Y510" i="3"/>
  <c r="AB510" i="3"/>
  <c r="M512" i="3"/>
  <c r="Y512" i="3"/>
  <c r="AB512" i="3"/>
  <c r="AB508" i="3"/>
  <c r="Y508" i="3"/>
  <c r="M508" i="3"/>
  <c r="AB507" i="3"/>
  <c r="Y507" i="3"/>
  <c r="M507" i="3"/>
  <c r="AB506" i="3"/>
  <c r="Y506" i="3"/>
  <c r="M506" i="3"/>
  <c r="Y498" i="3"/>
  <c r="AB498" i="3"/>
  <c r="Y499" i="3"/>
  <c r="AB499" i="3"/>
  <c r="Y500" i="3"/>
  <c r="AB500" i="3"/>
  <c r="Y501" i="3"/>
  <c r="AB501" i="3"/>
  <c r="Y502" i="3"/>
  <c r="AB502" i="3"/>
  <c r="Y503" i="3"/>
  <c r="AB503" i="3"/>
  <c r="Y504" i="3"/>
  <c r="AB504" i="3"/>
  <c r="Y505" i="3"/>
  <c r="AB505" i="3"/>
  <c r="AB497" i="3"/>
  <c r="Y497" i="3"/>
  <c r="M502" i="3"/>
  <c r="M498" i="3"/>
  <c r="M504" i="3"/>
  <c r="J42" i="1"/>
  <c r="J41" i="1"/>
  <c r="J40" i="1"/>
  <c r="J39" i="1"/>
  <c r="J43" i="1"/>
  <c r="M43" i="1"/>
  <c r="M42" i="1"/>
  <c r="M41" i="1"/>
  <c r="M40" i="1"/>
  <c r="M39" i="1"/>
  <c r="O144" i="2"/>
  <c r="Z144" i="2"/>
  <c r="AC144" i="2"/>
  <c r="AC143" i="2"/>
  <c r="Z143" i="2"/>
  <c r="O143" i="2"/>
  <c r="M503" i="3" l="1"/>
  <c r="M505" i="3"/>
  <c r="M501" i="3"/>
  <c r="M499" i="3"/>
  <c r="M500" i="3"/>
  <c r="M497" i="3"/>
  <c r="AC142" i="2"/>
  <c r="Z142" i="2"/>
  <c r="O142" i="2"/>
  <c r="O141" i="2"/>
  <c r="Z141" i="2"/>
  <c r="AC141" i="2"/>
  <c r="AC140" i="2"/>
  <c r="Z140" i="2"/>
  <c r="O140" i="2"/>
  <c r="O139" i="2"/>
  <c r="Z139" i="2"/>
  <c r="AC139" i="2"/>
  <c r="AC138" i="2"/>
  <c r="Z138" i="2"/>
  <c r="O138" i="2"/>
  <c r="M496" i="3" l="1"/>
  <c r="Y496" i="3"/>
  <c r="AB496" i="3"/>
  <c r="AB495" i="3"/>
  <c r="Y495" i="3"/>
  <c r="M495" i="3"/>
  <c r="M492" i="3"/>
  <c r="Y492" i="3"/>
  <c r="AB492" i="3"/>
  <c r="Y494" i="3"/>
  <c r="AB494" i="3"/>
  <c r="M494" i="3"/>
  <c r="AB493" i="3"/>
  <c r="Y493" i="3"/>
  <c r="M493" i="3"/>
  <c r="I493" i="3"/>
  <c r="AB491" i="3"/>
  <c r="Y491" i="3"/>
  <c r="M491" i="3"/>
  <c r="M490" i="3" l="1"/>
  <c r="M489" i="3"/>
  <c r="Y490" i="3"/>
  <c r="AB490" i="3"/>
  <c r="AB489" i="3"/>
  <c r="Y489" i="3"/>
  <c r="AC137" i="2"/>
  <c r="Z137" i="2"/>
  <c r="O137" i="2"/>
  <c r="AB488" i="3" l="1"/>
  <c r="Y488" i="3"/>
  <c r="M488" i="3"/>
  <c r="M487" i="3"/>
  <c r="Y487" i="3"/>
  <c r="AB487" i="3"/>
  <c r="AB486" i="3"/>
  <c r="Y486" i="3"/>
  <c r="M486" i="3"/>
  <c r="M484" i="3"/>
  <c r="M483" i="3"/>
  <c r="Y484" i="3"/>
  <c r="AB484" i="3"/>
  <c r="M477" i="3"/>
  <c r="Y477" i="3"/>
  <c r="AB477" i="3"/>
  <c r="M481" i="3"/>
  <c r="Y481" i="3"/>
  <c r="AB481" i="3"/>
  <c r="M482" i="3"/>
  <c r="Y482" i="3"/>
  <c r="AB482" i="3"/>
  <c r="Y483" i="3"/>
  <c r="AB483" i="3"/>
  <c r="M485" i="3"/>
  <c r="Y485" i="3"/>
  <c r="AB485" i="3"/>
  <c r="AB480" i="3"/>
  <c r="Y480" i="3"/>
  <c r="M480" i="3"/>
  <c r="M479" i="3"/>
  <c r="Y479" i="3"/>
  <c r="AB479" i="3"/>
  <c r="AB478" i="3"/>
  <c r="Y478" i="3"/>
  <c r="M478" i="3"/>
  <c r="AB476" i="3"/>
  <c r="Y476" i="3"/>
  <c r="M476" i="3"/>
  <c r="M473" i="3"/>
  <c r="Y473" i="3"/>
  <c r="AB473" i="3"/>
  <c r="M474" i="3"/>
  <c r="Y474" i="3"/>
  <c r="AB474" i="3"/>
  <c r="M475" i="3"/>
  <c r="Y475" i="3"/>
  <c r="AB475" i="3"/>
  <c r="AB472" i="3"/>
  <c r="Y472" i="3"/>
  <c r="M472" i="3"/>
  <c r="AB471" i="3" l="1"/>
  <c r="Y471" i="3"/>
  <c r="M471" i="3"/>
  <c r="AB470" i="3"/>
  <c r="Y470" i="3"/>
  <c r="M470" i="3"/>
  <c r="AB469" i="3" l="1"/>
  <c r="Y469" i="3"/>
  <c r="M469" i="3"/>
  <c r="AB468" i="3" l="1"/>
  <c r="Y468" i="3"/>
  <c r="M468" i="3"/>
  <c r="M464" i="3" l="1"/>
  <c r="Y464" i="3"/>
  <c r="AB464" i="3"/>
  <c r="AB467" i="3"/>
  <c r="Y467" i="3"/>
  <c r="M467" i="3"/>
  <c r="AB466" i="3"/>
  <c r="Y466" i="3"/>
  <c r="M466" i="3"/>
  <c r="AB465" i="3"/>
  <c r="Y465" i="3"/>
  <c r="M465" i="3"/>
  <c r="AB463" i="3"/>
  <c r="Y463" i="3"/>
  <c r="M463" i="3"/>
  <c r="O136" i="2" l="1"/>
  <c r="Z136" i="2"/>
  <c r="AC136" i="2"/>
  <c r="AC135" i="2"/>
  <c r="Z135" i="2"/>
  <c r="O135" i="2"/>
  <c r="O134" i="2"/>
  <c r="Z134" i="2"/>
  <c r="AC134" i="2"/>
  <c r="AC133" i="2"/>
  <c r="Z133" i="2"/>
  <c r="O133" i="2"/>
  <c r="AB462" i="3" l="1"/>
  <c r="Y462" i="3"/>
  <c r="M462" i="3"/>
  <c r="AB461" i="3"/>
  <c r="Y461" i="3"/>
  <c r="M461" i="3"/>
  <c r="M338" i="3" l="1"/>
  <c r="Y338" i="3"/>
  <c r="AB338" i="3"/>
  <c r="H2" i="4"/>
  <c r="E2" i="4"/>
  <c r="M458" i="3" l="1"/>
  <c r="M457" i="3"/>
  <c r="M456" i="3"/>
  <c r="Y456" i="3"/>
  <c r="AB456" i="3"/>
  <c r="Y457" i="3"/>
  <c r="AB457" i="3"/>
  <c r="Y458" i="3"/>
  <c r="AB458" i="3"/>
  <c r="AB460" i="3"/>
  <c r="Y460" i="3"/>
  <c r="M460" i="3"/>
  <c r="Y459" i="3"/>
  <c r="AB459" i="3"/>
  <c r="M459" i="3"/>
  <c r="AB455" i="3"/>
  <c r="Y455" i="3"/>
  <c r="M455" i="3"/>
  <c r="AB454" i="3"/>
  <c r="Y454" i="3"/>
  <c r="M454" i="3"/>
  <c r="M445" i="3" l="1"/>
  <c r="Y445" i="3"/>
  <c r="AB445" i="3"/>
  <c r="M453" i="3"/>
  <c r="Y453" i="3"/>
  <c r="AB453" i="3"/>
  <c r="AB452" i="3"/>
  <c r="Y452" i="3"/>
  <c r="M452" i="3"/>
  <c r="Y451" i="3"/>
  <c r="AB451" i="3"/>
  <c r="M451" i="3"/>
  <c r="AB450" i="3"/>
  <c r="Y450" i="3"/>
  <c r="M450" i="3"/>
  <c r="AB449" i="3"/>
  <c r="Y449" i="3"/>
  <c r="M449" i="3"/>
  <c r="AB448" i="3"/>
  <c r="Y448" i="3"/>
  <c r="M448" i="3"/>
  <c r="AB447" i="3"/>
  <c r="Y447" i="3"/>
  <c r="M447" i="3"/>
  <c r="AB446" i="3"/>
  <c r="Y446" i="3"/>
  <c r="M446" i="3"/>
  <c r="AB444" i="3"/>
  <c r="Y444" i="3"/>
  <c r="M444" i="3"/>
  <c r="AB443" i="3"/>
  <c r="Y443" i="3"/>
  <c r="M443" i="3"/>
  <c r="AB442" i="3"/>
  <c r="Y442" i="3"/>
  <c r="M442" i="3"/>
  <c r="J38" i="1"/>
  <c r="J37" i="1"/>
  <c r="M38" i="1"/>
  <c r="M37" i="1"/>
  <c r="Z132" i="2"/>
  <c r="AC132" i="2"/>
  <c r="AC131" i="2"/>
  <c r="Z131" i="2"/>
  <c r="AC130" i="2"/>
  <c r="Z130" i="2"/>
  <c r="Z128" i="2"/>
  <c r="AC128" i="2"/>
  <c r="Z129" i="2"/>
  <c r="AC129" i="2"/>
  <c r="AC127" i="2"/>
  <c r="Z127" i="2"/>
  <c r="AC126" i="2"/>
  <c r="Z126" i="2"/>
  <c r="O131" i="2" l="1"/>
  <c r="O132" i="2"/>
  <c r="O130" i="2"/>
  <c r="O129" i="2"/>
  <c r="O128" i="2"/>
  <c r="O127" i="2"/>
  <c r="O126" i="2"/>
  <c r="AB441" i="3" l="1"/>
  <c r="Y441" i="3"/>
  <c r="M441" i="3"/>
  <c r="M432" i="3"/>
  <c r="Y432" i="3"/>
  <c r="AB432" i="3"/>
  <c r="M424" i="3"/>
  <c r="M423" i="3"/>
  <c r="Y424" i="3"/>
  <c r="AB424" i="3"/>
  <c r="M421" i="3"/>
  <c r="Y421" i="3"/>
  <c r="AB421" i="3"/>
  <c r="M435" i="3"/>
  <c r="Y435" i="3"/>
  <c r="AB435" i="3"/>
  <c r="M436" i="3"/>
  <c r="Y436" i="3"/>
  <c r="AB436" i="3"/>
  <c r="M437" i="3"/>
  <c r="Y437" i="3"/>
  <c r="AB437" i="3"/>
  <c r="M438" i="3"/>
  <c r="Y438" i="3"/>
  <c r="AB438" i="3"/>
  <c r="M440" i="3"/>
  <c r="Y440" i="3"/>
  <c r="AB440" i="3"/>
  <c r="M427" i="3"/>
  <c r="Y427" i="3"/>
  <c r="AB427" i="3"/>
  <c r="M439" i="3"/>
  <c r="Y439" i="3"/>
  <c r="AB439" i="3"/>
  <c r="AB434" i="3"/>
  <c r="Y434" i="3"/>
  <c r="M434" i="3"/>
  <c r="AB433" i="3"/>
  <c r="Y433" i="3"/>
  <c r="I433" i="3"/>
  <c r="M429" i="3"/>
  <c r="Y429" i="3"/>
  <c r="AB429" i="3"/>
  <c r="M430" i="3"/>
  <c r="Y430" i="3"/>
  <c r="AB430" i="3"/>
  <c r="M431" i="3"/>
  <c r="Y431" i="3"/>
  <c r="AB431" i="3"/>
  <c r="AB428" i="3"/>
  <c r="Y428" i="3"/>
  <c r="M428" i="3"/>
  <c r="AB426" i="3"/>
  <c r="Y426" i="3"/>
  <c r="M426" i="3"/>
  <c r="AB425" i="3"/>
  <c r="Y425" i="3"/>
  <c r="M425" i="3"/>
  <c r="Y423" i="3"/>
  <c r="AB423" i="3"/>
  <c r="M420" i="3"/>
  <c r="Y420" i="3"/>
  <c r="AB420" i="3"/>
  <c r="M422" i="3"/>
  <c r="Y422" i="3"/>
  <c r="AB422" i="3"/>
  <c r="AB419" i="3"/>
  <c r="Y419" i="3"/>
  <c r="M419" i="3"/>
  <c r="AB418" i="3"/>
  <c r="Y418" i="3"/>
  <c r="M418" i="3"/>
  <c r="M417" i="3" l="1"/>
  <c r="AB417" i="3"/>
  <c r="Y417" i="3"/>
  <c r="AB416" i="3"/>
  <c r="Y416" i="3"/>
  <c r="M36" i="1" l="1"/>
  <c r="M35" i="1"/>
  <c r="J36" i="1"/>
  <c r="J35" i="1"/>
  <c r="AC125" i="2" l="1"/>
  <c r="Z125" i="2"/>
  <c r="O125" i="2"/>
  <c r="AC124" i="2"/>
  <c r="Z124" i="2"/>
  <c r="O124" i="2"/>
  <c r="M415" i="3"/>
  <c r="Y415" i="3"/>
  <c r="AB415" i="3"/>
  <c r="M416" i="3"/>
  <c r="AB414" i="3"/>
  <c r="Y414" i="3"/>
  <c r="M414" i="3"/>
  <c r="M411" i="3" l="1"/>
  <c r="Y411" i="3"/>
  <c r="AB411" i="3"/>
  <c r="M412" i="3"/>
  <c r="Y412" i="3"/>
  <c r="AB412" i="3"/>
  <c r="M413" i="3"/>
  <c r="Y413" i="3"/>
  <c r="AB413" i="3"/>
  <c r="AB410" i="3"/>
  <c r="Y410" i="3"/>
  <c r="M410" i="3"/>
  <c r="AB409" i="3"/>
  <c r="Y409" i="3"/>
  <c r="M409" i="3"/>
  <c r="M406" i="3"/>
  <c r="M407" i="3"/>
  <c r="Y407" i="3"/>
  <c r="AB407" i="3"/>
  <c r="AB408" i="3"/>
  <c r="AB406" i="3"/>
  <c r="Y408" i="3"/>
  <c r="Y406" i="3"/>
  <c r="M408" i="3"/>
  <c r="AB405" i="3"/>
  <c r="Y405" i="3"/>
  <c r="M405" i="3"/>
  <c r="M403" i="3" l="1"/>
  <c r="Y403" i="3"/>
  <c r="AB403" i="3"/>
  <c r="M404" i="3"/>
  <c r="Y404" i="3"/>
  <c r="AB404" i="3"/>
  <c r="AB402" i="3"/>
  <c r="Y402" i="3"/>
  <c r="Y400" i="3"/>
  <c r="AB400" i="3"/>
  <c r="Y401" i="3"/>
  <c r="AB401" i="3"/>
  <c r="M402" i="3"/>
  <c r="M401" i="3"/>
  <c r="M400" i="3"/>
  <c r="AB399" i="3"/>
  <c r="Y399" i="3"/>
  <c r="M399" i="3"/>
  <c r="Y398" i="3"/>
  <c r="AB398" i="3"/>
  <c r="M398" i="3"/>
  <c r="Y396" i="3"/>
  <c r="AB396" i="3"/>
  <c r="Y397" i="3"/>
  <c r="AB397" i="3"/>
  <c r="M397" i="3"/>
  <c r="AB395" i="3"/>
  <c r="Y395" i="3"/>
  <c r="M396" i="3"/>
  <c r="M395" i="3"/>
  <c r="AB394" i="3"/>
  <c r="Y394" i="3"/>
  <c r="M394" i="3"/>
  <c r="AB393" i="3"/>
  <c r="Y393" i="3"/>
  <c r="M393" i="3"/>
  <c r="AB392" i="3"/>
  <c r="Y392" i="3"/>
  <c r="M392" i="3"/>
  <c r="Y389" i="3" l="1"/>
  <c r="AB389" i="3"/>
  <c r="Y390" i="3"/>
  <c r="AB390" i="3"/>
  <c r="Y391" i="3"/>
  <c r="AB391" i="3"/>
  <c r="AB388" i="3"/>
  <c r="Y388" i="3"/>
  <c r="M385" i="3" l="1"/>
  <c r="M386" i="3"/>
  <c r="Y386" i="3"/>
  <c r="AB386" i="3"/>
  <c r="M383" i="3"/>
  <c r="Y383" i="3"/>
  <c r="AB383" i="3"/>
  <c r="M384" i="3"/>
  <c r="Y384" i="3"/>
  <c r="AB384" i="3"/>
  <c r="Y385" i="3"/>
  <c r="AB385" i="3"/>
  <c r="M382" i="3"/>
  <c r="M389" i="3"/>
  <c r="M390" i="3"/>
  <c r="M391" i="3"/>
  <c r="M388" i="3"/>
  <c r="AB387" i="3"/>
  <c r="Y387" i="3"/>
  <c r="M387" i="3"/>
  <c r="AB382" i="3"/>
  <c r="Y382" i="3"/>
  <c r="M381" i="3"/>
  <c r="Y381" i="3"/>
  <c r="AB381" i="3"/>
  <c r="AB380" i="3"/>
  <c r="Y380" i="3"/>
  <c r="M380" i="3"/>
  <c r="AB379" i="3"/>
  <c r="Y379" i="3"/>
  <c r="M379" i="3"/>
  <c r="J34" i="1"/>
  <c r="M34" i="1"/>
  <c r="O123" i="2"/>
  <c r="Z123" i="2"/>
  <c r="AC123" i="2"/>
  <c r="AC122" i="2"/>
  <c r="Z122" i="2"/>
  <c r="O122" i="2"/>
  <c r="O121" i="2"/>
  <c r="Z121" i="2"/>
  <c r="AC121" i="2"/>
  <c r="AC120" i="2"/>
  <c r="Z120" i="2"/>
  <c r="O120" i="2"/>
  <c r="O119" i="2"/>
  <c r="Z119" i="2"/>
  <c r="AC119" i="2"/>
  <c r="AC118" i="2"/>
  <c r="Z118" i="2"/>
  <c r="O118" i="2"/>
  <c r="M375" i="3"/>
  <c r="Y375" i="3"/>
  <c r="AB375" i="3"/>
  <c r="M377" i="3"/>
  <c r="Y377" i="3"/>
  <c r="AB377" i="3"/>
  <c r="M378" i="3"/>
  <c r="Y378" i="3"/>
  <c r="AB378" i="3"/>
  <c r="M368" i="3"/>
  <c r="M369" i="3"/>
  <c r="M370" i="3"/>
  <c r="M371" i="3"/>
  <c r="AB376" i="3"/>
  <c r="Y376" i="3"/>
  <c r="M376" i="3"/>
  <c r="AB374" i="3"/>
  <c r="Y374" i="3"/>
  <c r="M374" i="3"/>
  <c r="Y371" i="3"/>
  <c r="AB371" i="3"/>
  <c r="M372" i="3"/>
  <c r="Y372" i="3"/>
  <c r="AB372" i="3"/>
  <c r="M373" i="3"/>
  <c r="Y373" i="3"/>
  <c r="AB373" i="3"/>
  <c r="AB370" i="3"/>
  <c r="Y370" i="3"/>
  <c r="Y369" i="3"/>
  <c r="AB369" i="3"/>
  <c r="AB368" i="3"/>
  <c r="Y368" i="3"/>
  <c r="AB367" i="3"/>
  <c r="Y367" i="3"/>
  <c r="M367" i="3"/>
  <c r="AB366" i="3" l="1"/>
  <c r="Y366" i="3"/>
  <c r="M366" i="3"/>
  <c r="AC117" i="2"/>
  <c r="Z117" i="2"/>
  <c r="O117" i="2"/>
  <c r="AC116" i="2"/>
  <c r="Z116" i="2"/>
  <c r="O116" i="2"/>
  <c r="AC115" i="2"/>
  <c r="Z115" i="2"/>
  <c r="O115" i="2"/>
  <c r="AC114" i="2"/>
  <c r="Z114" i="2"/>
  <c r="O114" i="2"/>
  <c r="M362" i="3"/>
  <c r="Y362" i="3"/>
  <c r="AB362" i="3"/>
  <c r="M363" i="3"/>
  <c r="Y363" i="3"/>
  <c r="AB363" i="3"/>
  <c r="M354" i="3"/>
  <c r="Y354" i="3"/>
  <c r="AB354" i="3"/>
  <c r="M359" i="3"/>
  <c r="Y359" i="3"/>
  <c r="AB359" i="3"/>
  <c r="M364" i="3"/>
  <c r="Y364" i="3"/>
  <c r="AB364" i="3"/>
  <c r="M365" i="3"/>
  <c r="Y365" i="3"/>
  <c r="AB365" i="3"/>
  <c r="AB361" i="3"/>
  <c r="Y361" i="3"/>
  <c r="M361" i="3"/>
  <c r="M358" i="3"/>
  <c r="Y358" i="3"/>
  <c r="AB358" i="3"/>
  <c r="M360" i="3"/>
  <c r="Y360" i="3"/>
  <c r="AB360" i="3"/>
  <c r="AB357" i="3"/>
  <c r="Y357" i="3"/>
  <c r="M357" i="3"/>
  <c r="AB356" i="3"/>
  <c r="Y356" i="3"/>
  <c r="M356" i="3"/>
  <c r="M355" i="3"/>
  <c r="Y355" i="3"/>
  <c r="AB355" i="3"/>
  <c r="AB353" i="3"/>
  <c r="Y353" i="3"/>
  <c r="M353" i="3"/>
  <c r="J31" i="1" l="1"/>
  <c r="J32" i="1"/>
  <c r="J33" i="1"/>
  <c r="M33" i="1"/>
  <c r="M32" i="1"/>
  <c r="M31" i="1"/>
  <c r="AC113" i="2"/>
  <c r="Z113" i="2"/>
  <c r="O113" i="2"/>
  <c r="AC112" i="2"/>
  <c r="Z112" i="2"/>
  <c r="O112" i="2"/>
  <c r="AC111" i="2"/>
  <c r="Z111" i="2"/>
  <c r="O111" i="2"/>
  <c r="AC110" i="2"/>
  <c r="Z110" i="2"/>
  <c r="O110" i="2"/>
  <c r="AC109" i="2"/>
  <c r="Z109" i="2"/>
  <c r="O109" i="2"/>
  <c r="M345" i="3" l="1"/>
  <c r="Y345" i="3"/>
  <c r="AB345" i="3"/>
  <c r="M352" i="3"/>
  <c r="Y352" i="3"/>
  <c r="AB352" i="3"/>
  <c r="Y351" i="3"/>
  <c r="AB351" i="3"/>
  <c r="M351" i="3"/>
  <c r="AB350" i="3"/>
  <c r="Y350" i="3"/>
  <c r="M350" i="3"/>
  <c r="AB349" i="3"/>
  <c r="Y349" i="3"/>
  <c r="M349" i="3"/>
  <c r="M348" i="3"/>
  <c r="Y348" i="3"/>
  <c r="AB348" i="3"/>
  <c r="AB347" i="3"/>
  <c r="Y347" i="3"/>
  <c r="M347" i="3"/>
  <c r="AB346" i="3"/>
  <c r="Y346" i="3"/>
  <c r="M346" i="3"/>
  <c r="AB344" i="3"/>
  <c r="Y344" i="3"/>
  <c r="M344" i="3"/>
  <c r="Y341" i="3" l="1"/>
  <c r="AB341" i="3"/>
  <c r="Y342" i="3"/>
  <c r="AB342" i="3"/>
  <c r="Y343" i="3"/>
  <c r="AB343" i="3"/>
  <c r="M343" i="3"/>
  <c r="M342" i="3"/>
  <c r="M341" i="3"/>
  <c r="AB340" i="3"/>
  <c r="Y340" i="3"/>
  <c r="M340" i="3"/>
  <c r="AB339" i="3" l="1"/>
  <c r="Y339" i="3"/>
  <c r="M339" i="3"/>
  <c r="M337" i="3"/>
  <c r="Y337" i="3"/>
  <c r="AB337" i="3"/>
  <c r="AB336" i="3"/>
  <c r="Y336" i="3"/>
  <c r="M336" i="3"/>
  <c r="AB335" i="3"/>
  <c r="Y335" i="3"/>
  <c r="M335" i="3"/>
  <c r="AB334" i="3"/>
  <c r="Y334" i="3"/>
  <c r="M334" i="3"/>
  <c r="AC108" i="2"/>
  <c r="Z108" i="2"/>
  <c r="O108" i="2"/>
  <c r="M331" i="3"/>
  <c r="Y331" i="3"/>
  <c r="AB331" i="3"/>
  <c r="M332" i="3"/>
  <c r="Y332" i="3"/>
  <c r="AB332" i="3"/>
  <c r="M333" i="3"/>
  <c r="Y333" i="3"/>
  <c r="AB333" i="3"/>
  <c r="AB330" i="3"/>
  <c r="Y330" i="3"/>
  <c r="M330" i="3"/>
  <c r="Z107" i="2"/>
  <c r="AC107" i="2"/>
  <c r="AC106" i="2"/>
  <c r="Z106" i="2"/>
  <c r="O107" i="2"/>
  <c r="O106" i="2"/>
  <c r="Z103" i="2"/>
  <c r="AC103" i="2"/>
  <c r="Z104" i="2"/>
  <c r="AC104" i="2"/>
  <c r="Z105" i="2"/>
  <c r="AC105" i="2"/>
  <c r="AC102" i="2"/>
  <c r="Z102" i="2"/>
  <c r="O105" i="2"/>
  <c r="O104" i="2"/>
  <c r="O103" i="2"/>
  <c r="O102" i="2"/>
  <c r="M30" i="1" l="1"/>
  <c r="J30" i="1"/>
  <c r="AB329" i="3"/>
  <c r="Y329" i="3"/>
  <c r="M329" i="3"/>
  <c r="AB328" i="3"/>
  <c r="Y328" i="3"/>
  <c r="M328" i="3"/>
  <c r="AB327" i="3"/>
  <c r="Y327" i="3"/>
  <c r="M327" i="3"/>
  <c r="AC101" i="2"/>
  <c r="Z101" i="2"/>
  <c r="O101" i="2"/>
  <c r="M326" i="3" l="1"/>
  <c r="Y326" i="3"/>
  <c r="AB326" i="3"/>
  <c r="AB325" i="3"/>
  <c r="Y325" i="3"/>
  <c r="M325" i="3"/>
  <c r="AB324" i="3"/>
  <c r="Y324" i="3"/>
  <c r="M324" i="3"/>
  <c r="AB323" i="3"/>
  <c r="Y323" i="3"/>
  <c r="M323" i="3"/>
  <c r="AB322" i="3"/>
  <c r="Y322" i="3"/>
  <c r="M322" i="3"/>
  <c r="AB321" i="3"/>
  <c r="Y321" i="3"/>
  <c r="M321" i="3"/>
  <c r="O100" i="2"/>
  <c r="Z100" i="2"/>
  <c r="AC100" i="2"/>
  <c r="AC99" i="2"/>
  <c r="Z99" i="2"/>
  <c r="O99" i="2"/>
  <c r="AC98" i="2"/>
  <c r="Z98" i="2"/>
  <c r="O98" i="2"/>
  <c r="AB320" i="3"/>
  <c r="Y320" i="3"/>
  <c r="M320" i="3"/>
  <c r="AB319" i="3"/>
  <c r="Y319" i="3"/>
  <c r="M319" i="3"/>
  <c r="AB318" i="3"/>
  <c r="Y318" i="3"/>
  <c r="M318" i="3"/>
  <c r="M314" i="3" l="1"/>
  <c r="Y314" i="3"/>
  <c r="AB314" i="3"/>
  <c r="M315" i="3"/>
  <c r="Y315" i="3"/>
  <c r="AB315" i="3"/>
  <c r="M316" i="3"/>
  <c r="Y316" i="3"/>
  <c r="AB316" i="3"/>
  <c r="M317" i="3"/>
  <c r="Y317" i="3"/>
  <c r="AB317" i="3"/>
  <c r="AB313" i="3"/>
  <c r="Y313" i="3"/>
  <c r="M313" i="3"/>
  <c r="AB312" i="3" l="1"/>
  <c r="Y312" i="3"/>
  <c r="AC97" i="2"/>
  <c r="AC96" i="2"/>
  <c r="Z96" i="2"/>
  <c r="Z97" i="2"/>
  <c r="O97" i="2"/>
  <c r="O96" i="2"/>
  <c r="AC95" i="2"/>
  <c r="Z95" i="2"/>
  <c r="O95" i="2"/>
  <c r="M312" i="3" l="1"/>
  <c r="AB311" i="3"/>
  <c r="Y311" i="3"/>
  <c r="M311" i="3"/>
  <c r="M309" i="3" l="1"/>
  <c r="M307" i="3"/>
  <c r="Y307" i="3"/>
  <c r="AB307" i="3"/>
  <c r="M308" i="3"/>
  <c r="Y308" i="3"/>
  <c r="AB308" i="3"/>
  <c r="Y309" i="3"/>
  <c r="AB309" i="3"/>
  <c r="AB310" i="3"/>
  <c r="Y310" i="3"/>
  <c r="M310" i="3"/>
  <c r="AB306" i="3"/>
  <c r="Y306" i="3"/>
  <c r="M306" i="3"/>
  <c r="AB305" i="3"/>
  <c r="Y305" i="3"/>
  <c r="M305" i="3"/>
  <c r="AB304" i="3"/>
  <c r="Y304" i="3"/>
  <c r="M304" i="3"/>
  <c r="Y302" i="3"/>
  <c r="AB302" i="3"/>
  <c r="Y303" i="3"/>
  <c r="AB303" i="3"/>
  <c r="AB301" i="3"/>
  <c r="Y301" i="3"/>
  <c r="M303" i="3"/>
  <c r="M302" i="3"/>
  <c r="M301" i="3"/>
  <c r="AC94" i="2" l="1"/>
  <c r="Z94" i="2"/>
  <c r="O94" i="2"/>
  <c r="O93" i="2"/>
  <c r="Z93" i="2"/>
  <c r="AC93" i="2"/>
  <c r="AC92" i="2"/>
  <c r="Z92" i="2"/>
  <c r="O92" i="2"/>
  <c r="M297" i="3" l="1"/>
  <c r="M298" i="3"/>
  <c r="M299" i="3"/>
  <c r="M300" i="3"/>
  <c r="Y300" i="3"/>
  <c r="AB300" i="3"/>
  <c r="AB299" i="3"/>
  <c r="Y299" i="3"/>
  <c r="AB298" i="3"/>
  <c r="Y298" i="3"/>
  <c r="Y296" i="3"/>
  <c r="AB296" i="3"/>
  <c r="Y297" i="3"/>
  <c r="AB297" i="3"/>
  <c r="M296" i="3"/>
  <c r="M295" i="3"/>
  <c r="Y295" i="3"/>
  <c r="AB295" i="3"/>
  <c r="M294" i="3"/>
  <c r="Y294" i="3"/>
  <c r="AB294" i="3"/>
  <c r="AB293" i="3"/>
  <c r="Y293" i="3"/>
  <c r="M293" i="3"/>
  <c r="Z90" i="2" l="1"/>
  <c r="AC90" i="2"/>
  <c r="AC89" i="2"/>
  <c r="Z89" i="2"/>
  <c r="O90" i="2"/>
  <c r="O89" i="2"/>
  <c r="AC91" i="2"/>
  <c r="Z91" i="2"/>
  <c r="O91" i="2"/>
  <c r="Z87" i="2"/>
  <c r="AC87" i="2"/>
  <c r="Z88" i="2"/>
  <c r="AC88" i="2"/>
  <c r="AC86" i="2"/>
  <c r="Z86" i="2"/>
  <c r="O87" i="2"/>
  <c r="O88" i="2"/>
  <c r="O86" i="2"/>
  <c r="AC85" i="2"/>
  <c r="Z85" i="2"/>
  <c r="O85" i="2"/>
  <c r="L292" i="3"/>
  <c r="M292" i="3" s="1"/>
  <c r="Y292" i="3"/>
  <c r="AB292" i="3"/>
  <c r="AB291" i="3"/>
  <c r="Y291" i="3"/>
  <c r="M291" i="3"/>
  <c r="AB290" i="3"/>
  <c r="Y290" i="3"/>
  <c r="M290" i="3"/>
  <c r="AC84" i="2" l="1"/>
  <c r="Z84" i="2"/>
  <c r="O84" i="2"/>
  <c r="M289" i="3"/>
  <c r="M288" i="3"/>
  <c r="Y289" i="3"/>
  <c r="AB289" i="3"/>
  <c r="AB288" i="3"/>
  <c r="Y288" i="3"/>
  <c r="AB287" i="3"/>
  <c r="Y287" i="3"/>
  <c r="M287" i="3"/>
  <c r="I286" i="3" l="1"/>
  <c r="M286" i="3"/>
  <c r="I284" i="3"/>
  <c r="M284" i="3"/>
  <c r="I285" i="3"/>
  <c r="M285" i="3"/>
  <c r="I211" i="3"/>
  <c r="M211" i="3"/>
  <c r="Y211" i="3"/>
  <c r="AB211" i="3"/>
  <c r="M283" i="3"/>
  <c r="I283" i="3"/>
  <c r="AB282" i="3"/>
  <c r="Y282" i="3"/>
  <c r="M282" i="3"/>
  <c r="AB281" i="3" l="1"/>
  <c r="Y281" i="3"/>
  <c r="M281" i="3"/>
  <c r="AB280" i="3"/>
  <c r="Y280" i="3"/>
  <c r="M280" i="3"/>
  <c r="AB279" i="3"/>
  <c r="Y279" i="3"/>
  <c r="M279" i="3"/>
  <c r="AB278" i="3"/>
  <c r="Y278" i="3"/>
  <c r="M278" i="3"/>
  <c r="AB277" i="3"/>
  <c r="Y277" i="3"/>
  <c r="M277" i="3"/>
  <c r="AB276" i="3"/>
  <c r="Y276" i="3"/>
  <c r="M276" i="3"/>
  <c r="AB275" i="3" l="1"/>
  <c r="Y275" i="3"/>
  <c r="M275" i="3"/>
  <c r="M270" i="3" l="1"/>
  <c r="Y270" i="3"/>
  <c r="AB270" i="3"/>
  <c r="M272" i="3"/>
  <c r="M273" i="3"/>
  <c r="Y273" i="3"/>
  <c r="AB273" i="3"/>
  <c r="M274" i="3"/>
  <c r="Y274" i="3"/>
  <c r="AB274" i="3"/>
  <c r="M265" i="3"/>
  <c r="Y265" i="3"/>
  <c r="AB265" i="3"/>
  <c r="M266" i="3"/>
  <c r="Y266" i="3"/>
  <c r="AB266" i="3"/>
  <c r="AB272" i="3"/>
  <c r="Y272" i="3"/>
  <c r="Y271" i="3"/>
  <c r="AB271" i="3"/>
  <c r="M271" i="3"/>
  <c r="M268" i="3"/>
  <c r="Y268" i="3"/>
  <c r="AB268" i="3"/>
  <c r="M269" i="3"/>
  <c r="Y269" i="3"/>
  <c r="AB269" i="3"/>
  <c r="AB267" i="3"/>
  <c r="Y267" i="3"/>
  <c r="M267" i="3"/>
  <c r="AB264" i="3"/>
  <c r="Y264" i="3" l="1"/>
  <c r="M264" i="3"/>
  <c r="AB263" i="3"/>
  <c r="Y263" i="3"/>
  <c r="M263" i="3"/>
  <c r="M258" i="3"/>
  <c r="Y258" i="3"/>
  <c r="AB258" i="3"/>
  <c r="M253" i="3"/>
  <c r="Y253" i="3"/>
  <c r="AB253" i="3"/>
  <c r="AB262" i="3"/>
  <c r="Y262" i="3"/>
  <c r="M262" i="3"/>
  <c r="AB261" i="3"/>
  <c r="Y261" i="3"/>
  <c r="M261" i="3"/>
  <c r="AB260" i="3"/>
  <c r="Y260" i="3"/>
  <c r="M260" i="3"/>
  <c r="M259" i="3"/>
  <c r="Y259" i="3"/>
  <c r="AB259" i="3"/>
  <c r="M257" i="3"/>
  <c r="Y257" i="3"/>
  <c r="AB257" i="3"/>
  <c r="AB256" i="3"/>
  <c r="Y256" i="3"/>
  <c r="M256" i="3"/>
  <c r="AB255" i="3"/>
  <c r="Y255" i="3"/>
  <c r="M255" i="3"/>
  <c r="AB254" i="3"/>
  <c r="Y254" i="3"/>
  <c r="AB252" i="3"/>
  <c r="Y252" i="3"/>
  <c r="M252" i="3"/>
  <c r="M254" i="3"/>
  <c r="AB251" i="3" l="1"/>
  <c r="Y251" i="3"/>
  <c r="M251" i="3"/>
  <c r="AB250" i="3"/>
  <c r="Y250" i="3"/>
  <c r="M250" i="3"/>
  <c r="AB249" i="3"/>
  <c r="Y249" i="3"/>
  <c r="M249" i="3"/>
  <c r="AB248" i="3"/>
  <c r="Y248" i="3"/>
  <c r="M248" i="3"/>
  <c r="AB247" i="3"/>
  <c r="Y247" i="3"/>
  <c r="M247" i="3"/>
  <c r="M245" i="3" l="1"/>
  <c r="Y245" i="3"/>
  <c r="AB245" i="3"/>
  <c r="M243" i="3"/>
  <c r="Y243" i="3"/>
  <c r="AB243" i="3"/>
  <c r="M244" i="3"/>
  <c r="Y244" i="3"/>
  <c r="AB244" i="3"/>
  <c r="Y242" i="3"/>
  <c r="AB242" i="3"/>
  <c r="Y246" i="3"/>
  <c r="AB246" i="3"/>
  <c r="M246" i="3"/>
  <c r="M242" i="3"/>
  <c r="AB241" i="3"/>
  <c r="Y241" i="3"/>
  <c r="M241" i="3"/>
  <c r="AB240" i="3"/>
  <c r="Y240" i="3"/>
  <c r="M240" i="3"/>
  <c r="AB239" i="3"/>
  <c r="Y239" i="3"/>
  <c r="M239" i="3"/>
  <c r="M232" i="3" l="1"/>
  <c r="Y232" i="3"/>
  <c r="AB232" i="3"/>
  <c r="M233" i="3"/>
  <c r="Y233" i="3"/>
  <c r="AB233" i="3"/>
  <c r="M234" i="3"/>
  <c r="Y234" i="3"/>
  <c r="AB234" i="3"/>
  <c r="M228" i="3"/>
  <c r="Y228" i="3"/>
  <c r="AB228" i="3"/>
  <c r="M229" i="3"/>
  <c r="Y229" i="3"/>
  <c r="AB229" i="3"/>
  <c r="AB238" i="3"/>
  <c r="Y238" i="3"/>
  <c r="M238" i="3"/>
  <c r="I238" i="3"/>
  <c r="AB237" i="3"/>
  <c r="Y237" i="3"/>
  <c r="M237" i="3"/>
  <c r="AB236" i="3"/>
  <c r="Y236" i="3"/>
  <c r="M236" i="3"/>
  <c r="M231" i="3"/>
  <c r="Y231" i="3"/>
  <c r="AB231" i="3"/>
  <c r="M235" i="3"/>
  <c r="Y235" i="3"/>
  <c r="AB235" i="3"/>
  <c r="Y230" i="3"/>
  <c r="AB230" i="3"/>
  <c r="M230" i="3"/>
  <c r="M227" i="3"/>
  <c r="Y227" i="3"/>
  <c r="AB227" i="3"/>
  <c r="AB226" i="3"/>
  <c r="Y226" i="3"/>
  <c r="M226" i="3"/>
  <c r="M224" i="3"/>
  <c r="Y224" i="3"/>
  <c r="AB224" i="3"/>
  <c r="M225" i="3"/>
  <c r="Y225" i="3"/>
  <c r="AB225" i="3"/>
  <c r="AB223" i="3"/>
  <c r="Y223" i="3"/>
  <c r="M223" i="3"/>
  <c r="AB222" i="3"/>
  <c r="Y222" i="3"/>
  <c r="M222" i="3"/>
  <c r="AB221" i="3"/>
  <c r="Y221" i="3"/>
  <c r="M221" i="3"/>
  <c r="O83" i="2"/>
  <c r="Z83" i="2"/>
  <c r="AC83" i="2"/>
  <c r="AC82" i="2"/>
  <c r="Z82" i="2"/>
  <c r="O82" i="2"/>
  <c r="AC81" i="2"/>
  <c r="Z81" i="2"/>
  <c r="O81" i="2"/>
  <c r="AB220" i="3" l="1"/>
  <c r="Y220" i="3"/>
  <c r="AB219" i="3"/>
  <c r="Y219" i="3"/>
  <c r="AB218" i="3"/>
  <c r="Y218" i="3"/>
  <c r="AB217" i="3"/>
  <c r="Y217" i="3"/>
  <c r="AB216" i="3"/>
  <c r="Y216" i="3"/>
  <c r="M220" i="3" l="1"/>
  <c r="M219" i="3"/>
  <c r="M218" i="3"/>
  <c r="M217" i="3"/>
  <c r="M216" i="3"/>
  <c r="AB215" i="3"/>
  <c r="Y214" i="3"/>
  <c r="Y215" i="3"/>
  <c r="M215" i="3"/>
  <c r="I213" i="3" l="1"/>
  <c r="M213" i="3"/>
  <c r="Y213" i="3"/>
  <c r="AB213" i="3"/>
  <c r="I208" i="3"/>
  <c r="M208" i="3"/>
  <c r="Y208" i="3"/>
  <c r="AB208" i="3"/>
  <c r="AB214" i="3"/>
  <c r="M214" i="3"/>
  <c r="Y212" i="3"/>
  <c r="AB212" i="3"/>
  <c r="M212" i="3"/>
  <c r="I212" i="3"/>
  <c r="I210" i="3"/>
  <c r="M210" i="3"/>
  <c r="Y210" i="3"/>
  <c r="AB210" i="3"/>
  <c r="I209" i="3"/>
  <c r="M209" i="3"/>
  <c r="Y209" i="3"/>
  <c r="AB209" i="3"/>
  <c r="AB207" i="3"/>
  <c r="Y207" i="3"/>
  <c r="M207" i="3"/>
  <c r="I207" i="3"/>
  <c r="AB206" i="3"/>
  <c r="Y206" i="3"/>
  <c r="M206" i="3"/>
  <c r="Y205" i="3"/>
  <c r="AB205" i="3"/>
  <c r="M205" i="3"/>
  <c r="AB204" i="3"/>
  <c r="Y204" i="3"/>
  <c r="M204" i="3"/>
  <c r="AC80" i="2" l="1"/>
  <c r="Z80" i="2"/>
  <c r="O80" i="2"/>
  <c r="I202" i="3" l="1"/>
  <c r="M202" i="3"/>
  <c r="Y202" i="3"/>
  <c r="AB202" i="3"/>
  <c r="AB203" i="3"/>
  <c r="Y203" i="3"/>
  <c r="M203" i="3"/>
  <c r="I203" i="3"/>
  <c r="Y201" i="3"/>
  <c r="AB201" i="3"/>
  <c r="M201" i="3"/>
  <c r="I201" i="3"/>
  <c r="AB200" i="3"/>
  <c r="Y200" i="3"/>
  <c r="M200" i="3"/>
  <c r="AB199" i="3"/>
  <c r="Y199" i="3"/>
  <c r="M199" i="3"/>
  <c r="M196" i="3" l="1"/>
  <c r="Y196" i="3"/>
  <c r="AB196" i="3"/>
  <c r="M197" i="3"/>
  <c r="Y197" i="3"/>
  <c r="AB197" i="3"/>
  <c r="M198" i="3"/>
  <c r="Y198" i="3"/>
  <c r="AB198" i="3"/>
  <c r="AB195" i="3"/>
  <c r="Y195" i="3"/>
  <c r="M195" i="3"/>
  <c r="AB194" i="3"/>
  <c r="Y194" i="3"/>
  <c r="M194" i="3"/>
  <c r="J28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2" i="1"/>
  <c r="J11" i="1"/>
  <c r="J10" i="1"/>
  <c r="O78" i="2"/>
  <c r="Z78" i="2"/>
  <c r="AC78" i="2"/>
  <c r="Z79" i="2"/>
  <c r="AC79" i="2"/>
  <c r="AC77" i="2"/>
  <c r="Z77" i="2"/>
  <c r="O79" i="2"/>
  <c r="O77" i="2"/>
  <c r="AC76" i="2"/>
  <c r="Z76" i="2"/>
  <c r="O76" i="2"/>
  <c r="M193" i="3"/>
  <c r="Y193" i="3"/>
  <c r="AB193" i="3"/>
  <c r="AB192" i="3"/>
  <c r="Y192" i="3"/>
  <c r="M192" i="3"/>
  <c r="M191" i="3" l="1"/>
  <c r="Y191" i="3"/>
  <c r="AB191" i="3"/>
  <c r="M186" i="3"/>
  <c r="Y186" i="3"/>
  <c r="AB186" i="3"/>
  <c r="M187" i="3"/>
  <c r="Y187" i="3"/>
  <c r="AB187" i="3"/>
  <c r="M184" i="3"/>
  <c r="M183" i="3"/>
  <c r="Y184" i="3"/>
  <c r="AB184" i="3"/>
  <c r="I180" i="3"/>
  <c r="M180" i="3"/>
  <c r="Y180" i="3"/>
  <c r="AB180" i="3"/>
  <c r="I181" i="3"/>
  <c r="M181" i="3"/>
  <c r="Y181" i="3"/>
  <c r="AB181" i="3"/>
  <c r="Y190" i="3"/>
  <c r="AB190" i="3"/>
  <c r="M190" i="3"/>
  <c r="M189" i="3"/>
  <c r="Y189" i="3"/>
  <c r="AB189" i="3"/>
  <c r="AB188" i="3"/>
  <c r="Y188" i="3"/>
  <c r="M188" i="3"/>
  <c r="AB185" i="3"/>
  <c r="Y185" i="3"/>
  <c r="M185" i="3"/>
  <c r="AB183" i="3"/>
  <c r="Y183" i="3"/>
  <c r="AB182" i="3"/>
  <c r="Y182" i="3"/>
  <c r="M182" i="3"/>
  <c r="I178" i="3"/>
  <c r="M178" i="3"/>
  <c r="Y178" i="3"/>
  <c r="AB178" i="3"/>
  <c r="AB179" i="3"/>
  <c r="Y179" i="3"/>
  <c r="M179" i="3"/>
  <c r="M177" i="3"/>
  <c r="I179" i="3"/>
  <c r="AB177" i="3"/>
  <c r="Y177" i="3"/>
  <c r="M29" i="1"/>
  <c r="AB176" i="3" l="1"/>
  <c r="Y176" i="3"/>
  <c r="AB175" i="3"/>
  <c r="Y175" i="3"/>
  <c r="Y173" i="3"/>
  <c r="AB173" i="3"/>
  <c r="Y174" i="3"/>
  <c r="AB174" i="3"/>
  <c r="AB172" i="3"/>
  <c r="Y172" i="3"/>
  <c r="Y171" i="3"/>
  <c r="AB171" i="3"/>
  <c r="AB170" i="3"/>
  <c r="Y170" i="3"/>
  <c r="Y168" i="3"/>
  <c r="AB168" i="3"/>
  <c r="Y169" i="3"/>
  <c r="AB169" i="3"/>
  <c r="AB167" i="3"/>
  <c r="Y167" i="3"/>
  <c r="M171" i="3"/>
  <c r="I171" i="3"/>
  <c r="M168" i="3"/>
  <c r="M176" i="3"/>
  <c r="M175" i="3"/>
  <c r="M174" i="3"/>
  <c r="M173" i="3"/>
  <c r="M172" i="3"/>
  <c r="M170" i="3"/>
  <c r="I170" i="3"/>
  <c r="M169" i="3"/>
  <c r="M167" i="3"/>
  <c r="M162" i="3"/>
  <c r="Y162" i="3"/>
  <c r="AB162" i="3"/>
  <c r="M163" i="3"/>
  <c r="Y163" i="3"/>
  <c r="AB163" i="3"/>
  <c r="M164" i="3"/>
  <c r="Y164" i="3"/>
  <c r="AB164" i="3"/>
  <c r="AB166" i="3"/>
  <c r="Y166" i="3"/>
  <c r="M166" i="3"/>
  <c r="AB165" i="3"/>
  <c r="Y165" i="3"/>
  <c r="M165" i="3"/>
  <c r="AB161" i="3"/>
  <c r="Y161" i="3"/>
  <c r="M161" i="3"/>
  <c r="M160" i="3" l="1"/>
  <c r="Y160" i="3"/>
  <c r="AB160" i="3"/>
  <c r="AB159" i="3"/>
  <c r="Y159" i="3"/>
  <c r="M159" i="3"/>
  <c r="AB158" i="3"/>
  <c r="Y158" i="3"/>
  <c r="M158" i="3"/>
  <c r="Y157" i="3"/>
  <c r="AB157" i="3"/>
  <c r="M157" i="3"/>
  <c r="M152" i="3" l="1"/>
  <c r="Y152" i="3"/>
  <c r="AB152" i="3"/>
  <c r="M156" i="3"/>
  <c r="Y156" i="3"/>
  <c r="AB156" i="3"/>
  <c r="AB155" i="3"/>
  <c r="Y155" i="3"/>
  <c r="M155" i="3"/>
  <c r="AB154" i="3"/>
  <c r="Y154" i="3"/>
  <c r="M154" i="3"/>
  <c r="AB153" i="3"/>
  <c r="Y153" i="3"/>
  <c r="M153" i="3"/>
  <c r="Y151" i="3"/>
  <c r="AB151" i="3"/>
  <c r="AB150" i="3"/>
  <c r="Y150" i="3"/>
  <c r="M150" i="3"/>
  <c r="I147" i="3" l="1"/>
  <c r="M147" i="3"/>
  <c r="Y147" i="3"/>
  <c r="AB147" i="3"/>
  <c r="I148" i="3"/>
  <c r="M148" i="3"/>
  <c r="Y148" i="3"/>
  <c r="AB148" i="3"/>
  <c r="M142" i="3"/>
  <c r="Y142" i="3"/>
  <c r="AB142" i="3"/>
  <c r="M143" i="3"/>
  <c r="Y143" i="3"/>
  <c r="AB143" i="3"/>
  <c r="I149" i="3"/>
  <c r="M149" i="3"/>
  <c r="Y149" i="3"/>
  <c r="AB149" i="3"/>
  <c r="AB146" i="3"/>
  <c r="Y146" i="3"/>
  <c r="M146" i="3"/>
  <c r="I146" i="3"/>
  <c r="AB145" i="3"/>
  <c r="Y145" i="3"/>
  <c r="M145" i="3"/>
  <c r="M144" i="3"/>
  <c r="Y144" i="3"/>
  <c r="AB144" i="3"/>
  <c r="AB141" i="3"/>
  <c r="Y141" i="3"/>
  <c r="M141" i="3"/>
  <c r="O71" i="2" l="1"/>
  <c r="Z71" i="2"/>
  <c r="AC71" i="2"/>
  <c r="O69" i="2"/>
  <c r="Z69" i="2"/>
  <c r="AC69" i="2"/>
  <c r="AB135" i="3" l="1"/>
  <c r="Y135" i="3"/>
  <c r="M135" i="3"/>
  <c r="M140" i="3"/>
  <c r="Y140" i="3"/>
  <c r="AB140" i="3"/>
  <c r="AB139" i="3"/>
  <c r="Y139" i="3"/>
  <c r="M139" i="3"/>
  <c r="AB138" i="3"/>
  <c r="Y138" i="3"/>
  <c r="M138" i="3"/>
  <c r="AB137" i="3"/>
  <c r="Y137" i="3"/>
  <c r="M137" i="3"/>
  <c r="AB136" i="3"/>
  <c r="Y136" i="3"/>
  <c r="M136" i="3"/>
  <c r="M28" i="1" l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343" i="1" l="1"/>
  <c r="AC75" i="2"/>
  <c r="Z75" i="2"/>
  <c r="O75" i="2"/>
  <c r="Z73" i="2"/>
  <c r="AC73" i="2"/>
  <c r="Z74" i="2"/>
  <c r="AC74" i="2"/>
  <c r="O74" i="2"/>
  <c r="O73" i="2"/>
  <c r="AC72" i="2"/>
  <c r="Z72" i="2"/>
  <c r="O72" i="2"/>
  <c r="AB134" i="3"/>
  <c r="Y134" i="3"/>
  <c r="Y132" i="3"/>
  <c r="AB132" i="3"/>
  <c r="Y133" i="3"/>
  <c r="AB133" i="3"/>
  <c r="AB131" i="3"/>
  <c r="Y131" i="3"/>
  <c r="Y130" i="3"/>
  <c r="AB130" i="3"/>
  <c r="AB129" i="3"/>
  <c r="Y129" i="3"/>
  <c r="AB128" i="3"/>
  <c r="Y128" i="3"/>
  <c r="Y127" i="3"/>
  <c r="AB127" i="3"/>
  <c r="AB126" i="3"/>
  <c r="Y126" i="3"/>
  <c r="AB125" i="3"/>
  <c r="Y125" i="3"/>
  <c r="Y124" i="3"/>
  <c r="AB124" i="3"/>
  <c r="AB123" i="3"/>
  <c r="Y123" i="3"/>
  <c r="I132" i="3" l="1"/>
  <c r="M132" i="3"/>
  <c r="M127" i="3"/>
  <c r="M134" i="3" l="1"/>
  <c r="L133" i="3"/>
  <c r="M133" i="3" s="1"/>
  <c r="I133" i="3"/>
  <c r="M131" i="3"/>
  <c r="I131" i="3"/>
  <c r="M130" i="3"/>
  <c r="M129" i="3"/>
  <c r="M128" i="3"/>
  <c r="M126" i="3"/>
  <c r="M125" i="3"/>
  <c r="M124" i="3"/>
  <c r="M123" i="3"/>
  <c r="AB122" i="3"/>
  <c r="Y122" i="3"/>
  <c r="M122" i="3"/>
  <c r="AB121" i="3"/>
  <c r="Y121" i="3"/>
  <c r="M121" i="3"/>
  <c r="AB120" i="3"/>
  <c r="Y120" i="3"/>
  <c r="M120" i="3"/>
  <c r="AC70" i="2"/>
  <c r="Z70" i="2"/>
  <c r="O70" i="2"/>
  <c r="AC68" i="2"/>
  <c r="Z68" i="2"/>
  <c r="O68" i="2"/>
  <c r="M118" i="3" l="1"/>
  <c r="Y118" i="3"/>
  <c r="AB118" i="3"/>
  <c r="M115" i="3"/>
  <c r="Y115" i="3"/>
  <c r="AB115" i="3"/>
  <c r="M116" i="3"/>
  <c r="Y116" i="3"/>
  <c r="AB116" i="3"/>
  <c r="M117" i="3"/>
  <c r="Y117" i="3"/>
  <c r="AB117" i="3"/>
  <c r="M119" i="3"/>
  <c r="Y119" i="3"/>
  <c r="AB119" i="3"/>
  <c r="AB114" i="3"/>
  <c r="Y114" i="3"/>
  <c r="M114" i="3"/>
  <c r="AB113" i="3"/>
  <c r="Y113" i="3"/>
  <c r="M113" i="3"/>
  <c r="Z67" i="2"/>
  <c r="AC67" i="2"/>
  <c r="AC66" i="2"/>
  <c r="Z66" i="2"/>
  <c r="O67" i="2"/>
  <c r="O66" i="2"/>
  <c r="O65" i="2"/>
  <c r="Z65" i="2"/>
  <c r="AC65" i="2"/>
  <c r="AC64" i="2"/>
  <c r="Z64" i="2"/>
  <c r="O64" i="2"/>
  <c r="AC63" i="2"/>
  <c r="Z63" i="2"/>
  <c r="O63" i="2"/>
  <c r="O62" i="2"/>
  <c r="Z62" i="2"/>
  <c r="AC62" i="2"/>
  <c r="AC61" i="2"/>
  <c r="Z61" i="2"/>
  <c r="O61" i="2"/>
  <c r="Y112" i="3" l="1"/>
  <c r="AB112" i="3"/>
  <c r="AB111" i="3"/>
  <c r="Y111" i="3"/>
  <c r="M112" i="3"/>
  <c r="Y107" i="3"/>
  <c r="AB107" i="3"/>
  <c r="Y108" i="3"/>
  <c r="AB108" i="3"/>
  <c r="Y109" i="3"/>
  <c r="AB109" i="3"/>
  <c r="Y110" i="3"/>
  <c r="AB110" i="3"/>
  <c r="AB106" i="3"/>
  <c r="Y106" i="3"/>
  <c r="AB105" i="3"/>
  <c r="Y105" i="3"/>
  <c r="M107" i="3" l="1"/>
  <c r="M106" i="3"/>
  <c r="M108" i="3"/>
  <c r="M109" i="3"/>
  <c r="M110" i="3"/>
  <c r="M105" i="3"/>
  <c r="M111" i="3"/>
  <c r="O59" i="2" l="1"/>
  <c r="Z59" i="2"/>
  <c r="AC59" i="2"/>
  <c r="O60" i="2"/>
  <c r="Z60" i="2"/>
  <c r="AC60" i="2"/>
  <c r="AC58" i="2"/>
  <c r="Z58" i="2"/>
  <c r="O58" i="2"/>
  <c r="AC57" i="2"/>
  <c r="Z57" i="2"/>
  <c r="O57" i="2"/>
  <c r="AB104" i="3"/>
  <c r="Y104" i="3"/>
  <c r="M104" i="3"/>
  <c r="AB103" i="3"/>
  <c r="Y103" i="3"/>
  <c r="M103" i="3"/>
  <c r="AB102" i="3"/>
  <c r="Y102" i="3"/>
  <c r="M102" i="3"/>
  <c r="Y101" i="3" l="1"/>
  <c r="AB101" i="3"/>
  <c r="AB100" i="3"/>
  <c r="Y100" i="3"/>
  <c r="M101" i="3"/>
  <c r="M99" i="3"/>
  <c r="Y99" i="3"/>
  <c r="AB99" i="3"/>
  <c r="M92" i="3"/>
  <c r="Y92" i="3"/>
  <c r="AB92" i="3"/>
  <c r="M100" i="3"/>
  <c r="Y98" i="3"/>
  <c r="AB98" i="3"/>
  <c r="AB97" i="3"/>
  <c r="Y97" i="3"/>
  <c r="M98" i="3"/>
  <c r="M97" i="3"/>
  <c r="AB96" i="3"/>
  <c r="Y96" i="3"/>
  <c r="M96" i="3"/>
  <c r="AB95" i="3"/>
  <c r="Y95" i="3"/>
  <c r="M95" i="3"/>
  <c r="Y94" i="3"/>
  <c r="AB94" i="3"/>
  <c r="M94" i="3"/>
  <c r="AB93" i="3"/>
  <c r="Y93" i="3"/>
  <c r="M93" i="3"/>
  <c r="AB91" i="3"/>
  <c r="Y91" i="3"/>
  <c r="M91" i="3"/>
  <c r="AB90" i="3" l="1"/>
  <c r="Y90" i="3"/>
  <c r="M90" i="3"/>
  <c r="AB89" i="3"/>
  <c r="Y89" i="3"/>
  <c r="M89" i="3"/>
  <c r="AB88" i="3"/>
  <c r="Y88" i="3"/>
  <c r="M88" i="3"/>
  <c r="AC56" i="2"/>
  <c r="Z56" i="2"/>
  <c r="O56" i="2"/>
  <c r="AC55" i="2"/>
  <c r="Z55" i="2"/>
  <c r="O55" i="2"/>
  <c r="O53" i="2"/>
  <c r="Z53" i="2"/>
  <c r="AC53" i="2"/>
  <c r="O54" i="2"/>
  <c r="Z54" i="2"/>
  <c r="AC54" i="2"/>
  <c r="AC52" i="2"/>
  <c r="Z52" i="2"/>
  <c r="O52" i="2"/>
  <c r="AC51" i="2"/>
  <c r="Z51" i="2"/>
  <c r="O51" i="2"/>
  <c r="O49" i="2"/>
  <c r="Z49" i="2"/>
  <c r="AC49" i="2"/>
  <c r="O50" i="2"/>
  <c r="Z50" i="2"/>
  <c r="AC50" i="2"/>
  <c r="Z48" i="2"/>
  <c r="AC48" i="2"/>
  <c r="O48" i="2"/>
  <c r="O47" i="2"/>
  <c r="Z47" i="2"/>
  <c r="AC47" i="2"/>
  <c r="AC46" i="2"/>
  <c r="Z46" i="2"/>
  <c r="O46" i="2"/>
  <c r="AC45" i="2"/>
  <c r="Z45" i="2"/>
  <c r="O45" i="2"/>
  <c r="AB87" i="3" l="1"/>
  <c r="Y87" i="3"/>
  <c r="M87" i="3"/>
  <c r="AB86" i="3"/>
  <c r="Y86" i="3"/>
  <c r="Y85" i="3"/>
  <c r="AB85" i="3"/>
  <c r="M85" i="3"/>
  <c r="M86" i="3"/>
  <c r="AB84" i="3" l="1"/>
  <c r="Y84" i="3"/>
  <c r="AB83" i="3" l="1"/>
  <c r="Y83" i="3"/>
  <c r="M84" i="3"/>
  <c r="M83" i="3"/>
  <c r="AB82" i="3"/>
  <c r="Y82" i="3"/>
  <c r="M82" i="3"/>
  <c r="AB81" i="3"/>
  <c r="Y81" i="3"/>
  <c r="M81" i="3"/>
  <c r="AB80" i="3"/>
  <c r="Y80" i="3"/>
  <c r="M80" i="3"/>
  <c r="AB79" i="3"/>
  <c r="Y79" i="3"/>
  <c r="M79" i="3"/>
  <c r="AB78" i="3" l="1"/>
  <c r="Y78" i="3"/>
  <c r="M78" i="3"/>
  <c r="O44" i="2" l="1"/>
  <c r="Z44" i="2"/>
  <c r="AC44" i="2"/>
  <c r="AC43" i="2"/>
  <c r="Z43" i="2"/>
  <c r="O43" i="2"/>
  <c r="AB77" i="3"/>
  <c r="Y77" i="3"/>
  <c r="M77" i="3"/>
  <c r="AB76" i="3"/>
  <c r="Y76" i="3"/>
  <c r="M76" i="3"/>
  <c r="I76" i="3"/>
  <c r="M75" i="3" l="1"/>
  <c r="Y75" i="3"/>
  <c r="AB75" i="3"/>
  <c r="AB74" i="3"/>
  <c r="Y74" i="3"/>
  <c r="M74" i="3"/>
  <c r="AB73" i="3"/>
  <c r="Y73" i="3"/>
  <c r="M73" i="3"/>
  <c r="AB72" i="3" l="1"/>
  <c r="Y72" i="3"/>
  <c r="M72" i="3"/>
  <c r="M71" i="3" l="1"/>
  <c r="Y71" i="3"/>
  <c r="AB71" i="3"/>
  <c r="AB70" i="3"/>
  <c r="Y70" i="3"/>
  <c r="M70" i="3"/>
  <c r="AB69" i="3"/>
  <c r="Y69" i="3"/>
  <c r="M69" i="3"/>
  <c r="AC42" i="2"/>
  <c r="AC41" i="2"/>
  <c r="Z41" i="2"/>
  <c r="Z42" i="2"/>
  <c r="O42" i="2"/>
  <c r="O41" i="2"/>
  <c r="AC40" i="2"/>
  <c r="Z40" i="2"/>
  <c r="O40" i="2"/>
  <c r="Z39" i="2"/>
  <c r="AC39" i="2"/>
  <c r="AC38" i="2"/>
  <c r="Z38" i="2"/>
  <c r="O39" i="2"/>
  <c r="O38" i="2"/>
  <c r="AC37" i="2"/>
  <c r="AC36" i="2"/>
  <c r="Z37" i="2"/>
  <c r="Z36" i="2"/>
  <c r="O37" i="2"/>
  <c r="O36" i="2"/>
  <c r="Z35" i="2"/>
  <c r="AC35" i="2"/>
  <c r="AC34" i="2"/>
  <c r="Z34" i="2"/>
  <c r="O35" i="2"/>
  <c r="O34" i="2"/>
  <c r="AC33" i="2"/>
  <c r="Z33" i="2"/>
  <c r="O33" i="2"/>
  <c r="Z32" i="2"/>
  <c r="AC32" i="2"/>
  <c r="AC31" i="2"/>
  <c r="Z31" i="2"/>
  <c r="O32" i="2"/>
  <c r="O31" i="2"/>
  <c r="O30" i="2"/>
  <c r="Z30" i="2"/>
  <c r="AC30" i="2"/>
  <c r="AC29" i="2"/>
  <c r="Z29" i="2"/>
  <c r="O29" i="2"/>
  <c r="AB68" i="3" l="1"/>
  <c r="Y68" i="3"/>
  <c r="M65" i="3" l="1"/>
  <c r="M66" i="3"/>
  <c r="M67" i="3"/>
  <c r="M68" i="3"/>
  <c r="AC28" i="2"/>
  <c r="Z28" i="2"/>
  <c r="Z27" i="2"/>
  <c r="AC27" i="2"/>
  <c r="O28" i="2"/>
  <c r="L28" i="2" s="1"/>
  <c r="O27" i="2"/>
  <c r="L27" i="2" s="1"/>
  <c r="Z26" i="2"/>
  <c r="AC26" i="2"/>
  <c r="O26" i="2"/>
  <c r="L26" i="2" s="1"/>
  <c r="AB67" i="3"/>
  <c r="Y67" i="3"/>
  <c r="AB66" i="3"/>
  <c r="Y66" i="3"/>
  <c r="AB65" i="3"/>
  <c r="Y65" i="3"/>
  <c r="M64" i="3" l="1"/>
  <c r="Y64" i="3"/>
  <c r="AB64" i="3"/>
  <c r="AB63" i="3"/>
  <c r="Y63" i="3"/>
  <c r="M63" i="3"/>
  <c r="M61" i="3" l="1"/>
  <c r="Y61" i="3"/>
  <c r="AB61" i="3"/>
  <c r="M57" i="3"/>
  <c r="Y57" i="3"/>
  <c r="AB57" i="3"/>
  <c r="AB62" i="3"/>
  <c r="Y62" i="3"/>
  <c r="M62" i="3"/>
  <c r="Y59" i="3"/>
  <c r="AB59" i="3"/>
  <c r="Y60" i="3"/>
  <c r="AB60" i="3"/>
  <c r="AB58" i="3"/>
  <c r="Y58" i="3"/>
  <c r="M60" i="3"/>
  <c r="M59" i="3"/>
  <c r="M58" i="3"/>
  <c r="AB56" i="3"/>
  <c r="Y56" i="3"/>
  <c r="M56" i="3"/>
  <c r="AB55" i="3"/>
  <c r="Y55" i="3"/>
  <c r="M55" i="3"/>
  <c r="AB54" i="3" l="1"/>
  <c r="Y54" i="3"/>
  <c r="M54" i="3"/>
  <c r="Y53" i="3"/>
  <c r="AB53" i="3"/>
  <c r="M53" i="3"/>
  <c r="AB52" i="3"/>
  <c r="Y52" i="3"/>
  <c r="M52" i="3"/>
  <c r="AB51" i="3" l="1"/>
  <c r="Y51" i="3"/>
  <c r="M51" i="3"/>
  <c r="AB50" i="3"/>
  <c r="Y50" i="3"/>
  <c r="M50" i="3"/>
  <c r="Y49" i="3"/>
  <c r="AB49" i="3"/>
  <c r="M49" i="3"/>
  <c r="AB48" i="3"/>
  <c r="Y48" i="3"/>
  <c r="M48" i="3"/>
  <c r="Z25" i="2"/>
  <c r="AC25" i="2"/>
  <c r="O25" i="2"/>
  <c r="L25" i="2" s="1"/>
  <c r="AC24" i="2"/>
  <c r="Z24" i="2"/>
  <c r="O24" i="2"/>
  <c r="L24" i="2" s="1"/>
  <c r="M44" i="3" l="1"/>
  <c r="Y44" i="3"/>
  <c r="AB44" i="3"/>
  <c r="AB45" i="3"/>
  <c r="AB46" i="3"/>
  <c r="AB47" i="3"/>
  <c r="Y45" i="3"/>
  <c r="Y46" i="3"/>
  <c r="Y47" i="3"/>
  <c r="M47" i="3"/>
  <c r="M46" i="3"/>
  <c r="M45" i="3"/>
  <c r="AB42" i="3"/>
  <c r="AB43" i="3"/>
  <c r="Y43" i="3"/>
  <c r="M43" i="3"/>
  <c r="Y42" i="3"/>
  <c r="M42" i="3"/>
  <c r="AB41" i="3"/>
  <c r="Y41" i="3"/>
  <c r="M41" i="3" l="1"/>
  <c r="AB40" i="3"/>
  <c r="Y40" i="3"/>
  <c r="M40" i="3"/>
  <c r="AB39" i="3"/>
  <c r="Y39" i="3"/>
  <c r="M39" i="3"/>
  <c r="AB38" i="3"/>
  <c r="Y38" i="3"/>
  <c r="M38" i="3"/>
  <c r="O17" i="2" l="1"/>
  <c r="L17" i="2" s="1"/>
  <c r="Z17" i="2"/>
  <c r="AC17" i="2"/>
  <c r="O20" i="2"/>
  <c r="L20" i="2" s="1"/>
  <c r="Z20" i="2"/>
  <c r="AC20" i="2"/>
  <c r="O21" i="2"/>
  <c r="L21" i="2" s="1"/>
  <c r="O22" i="2"/>
  <c r="L22" i="2" s="1"/>
  <c r="Z22" i="2"/>
  <c r="AC22" i="2"/>
  <c r="O16" i="2"/>
  <c r="L16" i="2" s="1"/>
  <c r="Z16" i="2"/>
  <c r="AC16" i="2"/>
  <c r="O18" i="2"/>
  <c r="L18" i="2" s="1"/>
  <c r="Z18" i="2"/>
  <c r="AC18" i="2"/>
  <c r="O19" i="2"/>
  <c r="L19" i="2" s="1"/>
  <c r="Z19" i="2"/>
  <c r="AC19" i="2"/>
  <c r="Z21" i="2"/>
  <c r="AC21" i="2"/>
  <c r="O23" i="2"/>
  <c r="L23" i="2" s="1"/>
  <c r="Z23" i="2"/>
  <c r="AC23" i="2"/>
  <c r="AC15" i="2"/>
  <c r="Z15" i="2"/>
  <c r="O15" i="2"/>
  <c r="L15" i="2" s="1"/>
  <c r="M37" i="3" l="1"/>
  <c r="Y37" i="3"/>
  <c r="AB37" i="3"/>
  <c r="AB36" i="3"/>
  <c r="Y36" i="3"/>
  <c r="M36" i="3"/>
  <c r="AB35" i="3"/>
  <c r="Y35" i="3"/>
  <c r="M35" i="3"/>
  <c r="AB34" i="3"/>
  <c r="Y34" i="3"/>
  <c r="M34" i="3"/>
  <c r="AB33" i="3" l="1"/>
  <c r="Y33" i="3"/>
  <c r="M33" i="3"/>
  <c r="AB22" i="3" l="1"/>
  <c r="Y22" i="3"/>
  <c r="M22" i="3"/>
  <c r="AB32" i="3"/>
  <c r="Y32" i="3"/>
  <c r="M32" i="3"/>
  <c r="AB31" i="3"/>
  <c r="Y31" i="3"/>
  <c r="M31" i="3"/>
  <c r="AB30" i="3"/>
  <c r="Y30" i="3"/>
  <c r="M30" i="3"/>
  <c r="AB29" i="3"/>
  <c r="Y29" i="3"/>
  <c r="M29" i="3"/>
  <c r="AB28" i="3" l="1"/>
  <c r="Y28" i="3"/>
  <c r="M28" i="3"/>
  <c r="AB27" i="3"/>
  <c r="Y27" i="3"/>
  <c r="M27" i="3"/>
  <c r="AB26" i="3"/>
  <c r="Y26" i="3"/>
  <c r="M26" i="3"/>
  <c r="AB25" i="3"/>
  <c r="Y25" i="3"/>
  <c r="M25" i="3"/>
  <c r="O13" i="2"/>
  <c r="L13" i="2" s="1"/>
  <c r="Z13" i="2"/>
  <c r="AC13" i="2"/>
  <c r="AC14" i="2"/>
  <c r="Z14" i="2"/>
  <c r="O14" i="2"/>
  <c r="L14" i="2" s="1"/>
  <c r="AC12" i="2"/>
  <c r="Z12" i="2"/>
  <c r="O12" i="2"/>
  <c r="L12" i="2" s="1"/>
  <c r="M24" i="3" l="1"/>
  <c r="Y24" i="3"/>
  <c r="AB24" i="3"/>
  <c r="M19" i="3"/>
  <c r="Y19" i="3"/>
  <c r="AB19" i="3"/>
  <c r="M10" i="3"/>
  <c r="Y10" i="3"/>
  <c r="AB10" i="3"/>
  <c r="AB23" i="3"/>
  <c r="Y23" i="3"/>
  <c r="M23" i="3"/>
  <c r="M20" i="3"/>
  <c r="Y20" i="3"/>
  <c r="AB20" i="3"/>
  <c r="M21" i="3"/>
  <c r="Y21" i="3"/>
  <c r="AB21" i="3"/>
  <c r="AB18" i="3"/>
  <c r="Y18" i="3"/>
  <c r="M18" i="3"/>
  <c r="M14" i="3"/>
  <c r="Y14" i="3"/>
  <c r="AB14" i="3"/>
  <c r="M15" i="3"/>
  <c r="Y15" i="3"/>
  <c r="AB15" i="3"/>
  <c r="AB17" i="3"/>
  <c r="Y17" i="3"/>
  <c r="M17" i="3"/>
  <c r="AB16" i="3"/>
  <c r="Y16" i="3"/>
  <c r="M16" i="3"/>
  <c r="AB13" i="3"/>
  <c r="Y13" i="3"/>
  <c r="M13" i="3"/>
  <c r="AB12" i="3"/>
  <c r="Y12" i="3"/>
  <c r="M12" i="3"/>
  <c r="AB11" i="3"/>
  <c r="Y11" i="3"/>
  <c r="M11" i="3"/>
  <c r="AB9" i="3"/>
  <c r="Y9" i="3"/>
  <c r="M9" i="3"/>
  <c r="AB8" i="3"/>
  <c r="Y8" i="3"/>
  <c r="M8" i="3"/>
  <c r="M7" i="3" l="1"/>
  <c r="Y7" i="3"/>
  <c r="AB7" i="3"/>
  <c r="M5" i="3"/>
  <c r="Y5" i="3"/>
  <c r="AB5" i="3"/>
  <c r="AB4" i="3"/>
  <c r="AB6" i="3"/>
  <c r="Y4" i="3"/>
  <c r="Y6" i="3"/>
  <c r="M4" i="3"/>
  <c r="M6" i="3"/>
  <c r="AC11" i="2"/>
  <c r="Z11" i="2"/>
  <c r="O11" i="2"/>
  <c r="L11" i="2" s="1"/>
  <c r="AC10" i="2"/>
  <c r="Z10" i="2"/>
  <c r="O10" i="2"/>
  <c r="L10" i="2" s="1"/>
  <c r="AC9" i="2"/>
  <c r="Z9" i="2"/>
  <c r="O9" i="2"/>
  <c r="L9" i="2" s="1"/>
  <c r="AC8" i="2"/>
  <c r="Z8" i="2"/>
  <c r="O8" i="2"/>
  <c r="L8" i="2" s="1"/>
  <c r="AC7" i="2"/>
  <c r="Z7" i="2"/>
  <c r="O7" i="2"/>
  <c r="L7" i="2" s="1"/>
  <c r="AC6" i="2"/>
  <c r="Z6" i="2"/>
  <c r="O6" i="2"/>
  <c r="L6" i="2" s="1"/>
  <c r="AC5" i="2"/>
  <c r="Z5" i="2"/>
  <c r="O5" i="2"/>
  <c r="L5" i="2" s="1"/>
  <c r="AC4" i="2"/>
  <c r="Z4" i="2"/>
  <c r="O4" i="2"/>
  <c r="L4" i="2" s="1"/>
  <c r="AC3" i="2"/>
  <c r="Z3" i="2"/>
  <c r="O3" i="2"/>
  <c r="L3" i="2" s="1"/>
  <c r="AC2" i="2"/>
  <c r="Z2" i="2"/>
  <c r="O2" i="2"/>
  <c r="L2" i="2" s="1"/>
  <c r="AB3" i="3"/>
  <c r="Y3" i="3"/>
  <c r="M3" i="3"/>
  <c r="AB2" i="3"/>
  <c r="Y2" i="3"/>
  <c r="M2" i="3"/>
  <c r="M151" i="3"/>
  <c r="L580" i="3"/>
  <c r="L575" i="3"/>
  <c r="L582" i="3"/>
  <c r="L585" i="3"/>
  <c r="L581" i="3"/>
  <c r="L579" i="3"/>
  <c r="M667" i="3" l="1"/>
</calcChain>
</file>

<file path=xl/sharedStrings.xml><?xml version="1.0" encoding="utf-8"?>
<sst xmlns="http://schemas.openxmlformats.org/spreadsheetml/2006/main" count="14248" uniqueCount="1831">
  <si>
    <t>SPECIAL NOTE: DATA SHOULD BE STRICTLY ACCURATE, NO MISTAKE SHOULD BE FOUND.</t>
  </si>
  <si>
    <t xml:space="preserve">            2. DATE FORMAT SHOULD BE MENTIONED AS DD/MM/YYYY</t>
  </si>
  <si>
    <t xml:space="preserve">           3.  NO FIELD SHOULD BE LEFT BLANK</t>
  </si>
  <si>
    <t xml:space="preserve">           4.  PRODUCT NAME SHOULD BE SELECTED FROM DROP DOWN LIST ONLY. IF PRODUCT NOT AVAILABLE IN DROP DOWN LIST, PLEASE INFORM US FOR ADDITION.</t>
  </si>
  <si>
    <t>MATERIAL CODE</t>
  </si>
  <si>
    <t>PRODUCT NAME</t>
  </si>
  <si>
    <t>PI NO.</t>
  </si>
  <si>
    <t>BUYING PRICE     (USD/TON)</t>
  </si>
  <si>
    <t>TOTAL VALUE (USD)</t>
  </si>
  <si>
    <t>BOE</t>
  </si>
  <si>
    <t>PACK SIZE</t>
  </si>
  <si>
    <t>INWARD DATE</t>
  </si>
  <si>
    <t>MFD DATE</t>
  </si>
  <si>
    <t>EXPIRY DATE</t>
  </si>
  <si>
    <t>INWARD
 QTY IN NOS.</t>
  </si>
  <si>
    <t>LOT NO.</t>
  </si>
  <si>
    <t>INWARD
 QTY IN KGS.</t>
  </si>
  <si>
    <t>Opening QTY</t>
  </si>
  <si>
    <t>CLOSING STOCK KGS.</t>
  </si>
  <si>
    <t>REMARK FOR PENDING QTY</t>
  </si>
  <si>
    <t>COA not available</t>
  </si>
  <si>
    <t>WANTHANE-WHT-3390-Bag-25KG</t>
  </si>
  <si>
    <t>WANTHANE-WHT-3395U1-Bag-25KG</t>
  </si>
  <si>
    <t>WANTHANE-WHT-3390U1-Bag-25KG</t>
  </si>
  <si>
    <t>WANTHANE-WHT-1198E-Bag-25KG</t>
  </si>
  <si>
    <t>WANTHANE-WHT-3398-Bag-25KG</t>
  </si>
  <si>
    <t>WANTHANE-WHT-3385-Bag-25KG</t>
  </si>
  <si>
    <t>WANTHANE-WHT-1190-Bag-25KG-55LB</t>
  </si>
  <si>
    <t>WANTHANE-WHT-3380-Bag-25KG</t>
  </si>
  <si>
    <t>WANTHANE-WHT-1180-Bag-25KG</t>
  </si>
  <si>
    <t>-</t>
  </si>
  <si>
    <t>WANTHANE-WHT-1570IC-Bag-25KG</t>
  </si>
  <si>
    <t>SG2312034IN</t>
  </si>
  <si>
    <t>21-10-2022</t>
  </si>
  <si>
    <t>WANTHANE-WHT-6232-Bag-25KG</t>
  </si>
  <si>
    <t>WANNATE-8018-17RedCDr-240KG</t>
  </si>
  <si>
    <t>WANOL-F3150-17GrnDr-210KG</t>
  </si>
  <si>
    <t>PX22091941</t>
  </si>
  <si>
    <t>WANTHANE-WHT-1185EC-Bag-25KG</t>
  </si>
  <si>
    <t>PVC-WH1000F-Premium-Bag-25KG</t>
  </si>
  <si>
    <t>0922002801</t>
  </si>
  <si>
    <t>WANNATE-PM-2010-17 RedDr-250KG</t>
  </si>
  <si>
    <t>0322008200</t>
  </si>
  <si>
    <t>WANEFOAM-RH1099-203-17GrnDr-210KG</t>
  </si>
  <si>
    <t>WANTHANE-WHT-3395-Bag-25KG</t>
  </si>
  <si>
    <t>210439D803</t>
  </si>
  <si>
    <t>210477D608</t>
  </si>
  <si>
    <t>210613D713</t>
  </si>
  <si>
    <t>111025D412</t>
  </si>
  <si>
    <t>0523001901</t>
  </si>
  <si>
    <t>0523001301</t>
  </si>
  <si>
    <t>SG2462664IN</t>
  </si>
  <si>
    <t>WANNATE-PM-8214-17RedCDr-250KG</t>
  </si>
  <si>
    <t>0523000301</t>
  </si>
  <si>
    <t>WANNATE-PM-8223-17RedCDr-250KG</t>
  </si>
  <si>
    <t>WANEFLEX-511F-17GreCDr-200KG</t>
  </si>
  <si>
    <t>SG2459116IN</t>
  </si>
  <si>
    <t>0423900301</t>
  </si>
  <si>
    <t>0423900401</t>
  </si>
  <si>
    <t>0523002801</t>
  </si>
  <si>
    <t>117006D643</t>
  </si>
  <si>
    <t>123008D221</t>
  </si>
  <si>
    <t>SG2467724IN</t>
  </si>
  <si>
    <t>ZA23021106</t>
  </si>
  <si>
    <t>WANEFLEX-524-17GreCDr-200KG</t>
  </si>
  <si>
    <t>0422902501</t>
  </si>
  <si>
    <t>WANNATE-HT-100-17 RedDr-220KG-485LB</t>
  </si>
  <si>
    <t>0123001101</t>
  </si>
  <si>
    <t>0123001201</t>
  </si>
  <si>
    <t>102019D121</t>
  </si>
  <si>
    <t>0523003201</t>
  </si>
  <si>
    <t>0523003401</t>
  </si>
  <si>
    <t>102022D314</t>
  </si>
  <si>
    <t>212256D616</t>
  </si>
  <si>
    <t>210288D314</t>
  </si>
  <si>
    <t>210236D616</t>
  </si>
  <si>
    <t>112001D265</t>
  </si>
  <si>
    <t>108001B308</t>
  </si>
  <si>
    <t>SG2518605IN</t>
  </si>
  <si>
    <t>109001D188</t>
  </si>
  <si>
    <t>109002D914</t>
  </si>
  <si>
    <t>210359D201</t>
  </si>
  <si>
    <t>120005D330</t>
  </si>
  <si>
    <t>117010D265</t>
  </si>
  <si>
    <t>117011D918</t>
  </si>
  <si>
    <t>111016D813</t>
  </si>
  <si>
    <t>210335D384</t>
  </si>
  <si>
    <t>210373D578</t>
  </si>
  <si>
    <t>102025D265</t>
  </si>
  <si>
    <t>0523004001</t>
  </si>
  <si>
    <t>223254D437</t>
  </si>
  <si>
    <t>124017D018</t>
  </si>
  <si>
    <t>210273D461</t>
  </si>
  <si>
    <t>SG2542379IN</t>
  </si>
  <si>
    <t>102030D947</t>
  </si>
  <si>
    <t>102033D711</t>
  </si>
  <si>
    <t>123017D298</t>
  </si>
  <si>
    <t>111005D861</t>
  </si>
  <si>
    <t>124021D298</t>
  </si>
  <si>
    <t>SG2550390IN</t>
  </si>
  <si>
    <t>111015D984</t>
  </si>
  <si>
    <t>0523003901</t>
  </si>
  <si>
    <t>210374D914</t>
  </si>
  <si>
    <t>124019D623</t>
  </si>
  <si>
    <t>210284D859</t>
  </si>
  <si>
    <t>ONGRONAT-TDI-1080-Dr-250KG</t>
  </si>
  <si>
    <t>2304T0197</t>
  </si>
  <si>
    <t>2304T0186</t>
  </si>
  <si>
    <t>MONTH</t>
  </si>
  <si>
    <t>INVOICE NO.</t>
  </si>
  <si>
    <t>INVOICE DATE</t>
  </si>
  <si>
    <t>BOE NO.</t>
  </si>
  <si>
    <t>CUSTOMER NAME</t>
  </si>
  <si>
    <t>DESTINATION</t>
  </si>
  <si>
    <t>PACKAGE TYPE</t>
  </si>
  <si>
    <t>NO. OF DRUMS/BAGS</t>
  </si>
  <si>
    <t>TOTAL WEIGHT IN KGS</t>
  </si>
  <si>
    <t>ACTUAL DISPATCH DATE</t>
  </si>
  <si>
    <t>VEHICLE TYPE</t>
  </si>
  <si>
    <t>TRANSPORTER NAME</t>
  </si>
  <si>
    <t>LR NO.</t>
  </si>
  <si>
    <t>VEHICLE NO.</t>
  </si>
  <si>
    <t>E-WAY
BILL NO.</t>
  </si>
  <si>
    <t>E-WAY BILL DATE</t>
  </si>
  <si>
    <t>REMARKS</t>
  </si>
  <si>
    <t>GATE ENTRY</t>
  </si>
  <si>
    <t>Vehicle In Date &amp; Time</t>
  </si>
  <si>
    <t>Vehicle Out Date &amp; Time</t>
  </si>
  <si>
    <t>Vehicle TAT Efficiency</t>
  </si>
  <si>
    <t>Loading Start Date &amp; Time</t>
  </si>
  <si>
    <t>Loading End Date &amp; Time</t>
  </si>
  <si>
    <t>Loading TAT Efficiency</t>
  </si>
  <si>
    <t>Drums</t>
  </si>
  <si>
    <t>12 MT</t>
  </si>
  <si>
    <t>BE Logistics</t>
  </si>
  <si>
    <t>BHIWANDI</t>
  </si>
  <si>
    <t>10 MT</t>
  </si>
  <si>
    <t>DAHEJ</t>
  </si>
  <si>
    <t>IM2324100003</t>
  </si>
  <si>
    <t>TOYO INK INDIA PRIVATE LIMITED (Gujarat)</t>
  </si>
  <si>
    <t>DD01C9915</t>
  </si>
  <si>
    <t>IM2324100016</t>
  </si>
  <si>
    <t>IM2324100004</t>
  </si>
  <si>
    <t>BRITAS POLYMERS PRIVATE LIMITED (Maharashtra)- 1</t>
  </si>
  <si>
    <t>Customer Pickup</t>
  </si>
  <si>
    <t>NH14KA6923</t>
  </si>
  <si>
    <t>QTY IN NOS.</t>
  </si>
  <si>
    <t>Total KG's</t>
  </si>
  <si>
    <t xml:space="preserve">VENDOR NAME </t>
  </si>
  <si>
    <t>TRANSPOTER</t>
  </si>
  <si>
    <t>VEHICLE NUMBER</t>
  </si>
  <si>
    <t>LR NO</t>
  </si>
  <si>
    <t>LR DATE</t>
  </si>
  <si>
    <t>GATE ENTRY NO</t>
  </si>
  <si>
    <t>Unloading Start Date &amp; Time</t>
  </si>
  <si>
    <t>Unloading End Date &amp; Time</t>
  </si>
  <si>
    <t>Unloading TAT Efficiency</t>
  </si>
  <si>
    <t>WANHUA CHEMICAL (SINGAPORE) PTE. LTD</t>
  </si>
  <si>
    <t>20" Container</t>
  </si>
  <si>
    <t>Ocean Transworld Clearing Pvt. Ltd.</t>
  </si>
  <si>
    <t>MH46AF6465</t>
  </si>
  <si>
    <t>MH43CA5697</t>
  </si>
  <si>
    <t>MH46BB6259</t>
  </si>
  <si>
    <t>MH46BF4545</t>
  </si>
  <si>
    <t>MH04FU8262</t>
  </si>
  <si>
    <t>MH04EY0805</t>
  </si>
  <si>
    <t>MH46BF2524</t>
  </si>
  <si>
    <t>MH46AF7895</t>
  </si>
  <si>
    <t>MH23AU1058</t>
  </si>
  <si>
    <t>IM2324100021</t>
  </si>
  <si>
    <t>MH46BM9893</t>
  </si>
  <si>
    <t>MH03DV7623</t>
  </si>
  <si>
    <t>IM2324100023</t>
  </si>
  <si>
    <t>IM2324100025</t>
  </si>
  <si>
    <t>IM2324100012</t>
  </si>
  <si>
    <t>RECAZ CHEMICALS (INDIA) PRIVATE LIMITED</t>
  </si>
  <si>
    <t>Telangana</t>
  </si>
  <si>
    <t>9 MT</t>
  </si>
  <si>
    <t>MH04HY5489</t>
  </si>
  <si>
    <t>IM2324100011</t>
  </si>
  <si>
    <t>MH04EY7285</t>
  </si>
  <si>
    <t>IM2324100013</t>
  </si>
  <si>
    <t>MH04HD8416</t>
  </si>
  <si>
    <t>IM2324100020</t>
  </si>
  <si>
    <t>SOLVAX AND CO (Tamil Nadu)</t>
  </si>
  <si>
    <t>Coimbatore</t>
  </si>
  <si>
    <t>1 MT</t>
  </si>
  <si>
    <t>V TRANS</t>
  </si>
  <si>
    <t>MH04LE0728</t>
  </si>
  <si>
    <t>271601177495 </t>
  </si>
  <si>
    <t>IM2324100034</t>
  </si>
  <si>
    <t>MAHESHWARI SPINTEX LLP (Maharashtra)</t>
  </si>
  <si>
    <t>Bags</t>
  </si>
  <si>
    <t>2 MT</t>
  </si>
  <si>
    <t>MH04HY8647</t>
  </si>
  <si>
    <t>IM2324100027</t>
  </si>
  <si>
    <t>EXPANDED POLYMER SYSTEMS PVT. LTD. (Maharashtra)</t>
  </si>
  <si>
    <t>NAVI MUMBAI</t>
  </si>
  <si>
    <t>MH43U2789</t>
  </si>
  <si>
    <t>IM2324100026</t>
  </si>
  <si>
    <t>VEELINE INDUSTRIES LIMITED(Veeline Media) (Gujarat)</t>
  </si>
  <si>
    <t>SURAT</t>
  </si>
  <si>
    <t>GJ19X8419</t>
  </si>
  <si>
    <t>IM2324100038</t>
  </si>
  <si>
    <t>35 MT</t>
  </si>
  <si>
    <t>RJ27GE2033</t>
  </si>
  <si>
    <t>IM2324100037</t>
  </si>
  <si>
    <t>SG2571335IN</t>
  </si>
  <si>
    <t>210512D907</t>
  </si>
  <si>
    <t>40" Container</t>
  </si>
  <si>
    <t>MH04HS1405</t>
  </si>
  <si>
    <t>210516D011</t>
  </si>
  <si>
    <t>MH46AR1239</t>
  </si>
  <si>
    <t>IM2324100041</t>
  </si>
  <si>
    <t>SPACK AUTOMOTIVES PRIVATE LIMITED (Maharashtra)</t>
  </si>
  <si>
    <t>PUNE</t>
  </si>
  <si>
    <t>MH14KA6923</t>
  </si>
  <si>
    <t>IM2324100040</t>
  </si>
  <si>
    <t>KANSAI NEROLAC PAINTS LIMITED (Maharashtra)</t>
  </si>
  <si>
    <t>Raigad</t>
  </si>
  <si>
    <t>11 MT</t>
  </si>
  <si>
    <t>MH14EM5739</t>
  </si>
  <si>
    <t>IM2324100039</t>
  </si>
  <si>
    <t>MH46F1222</t>
  </si>
  <si>
    <t>IM2324100050</t>
  </si>
  <si>
    <t>IM2324100057</t>
  </si>
  <si>
    <t>MH43U8036</t>
  </si>
  <si>
    <t>IM2324100056</t>
  </si>
  <si>
    <t>MH46BM6786</t>
  </si>
  <si>
    <t>IM2324100046</t>
  </si>
  <si>
    <t>M/S TIRUBALA INTERNATIONAL PRIVATE LIMITED (Uttar Pradesh)</t>
  </si>
  <si>
    <t>KANPUR</t>
  </si>
  <si>
    <t>2.5 MT</t>
  </si>
  <si>
    <t>MH04DK0813</t>
  </si>
  <si>
    <t>IM2324100054</t>
  </si>
  <si>
    <t>MH48T7167</t>
  </si>
  <si>
    <t>251602300531 </t>
  </si>
  <si>
    <t>IM2324100075</t>
  </si>
  <si>
    <t>MH03DV9163</t>
  </si>
  <si>
    <t>IM2324100064</t>
  </si>
  <si>
    <t>GUJARAT</t>
  </si>
  <si>
    <t>UP63BT1516</t>
  </si>
  <si>
    <t>IM2324100070</t>
  </si>
  <si>
    <t>IM2324100065</t>
  </si>
  <si>
    <t>KAYGEE FOAM PVT LTD (Maharashtra)</t>
  </si>
  <si>
    <t>MH16AY2529</t>
  </si>
  <si>
    <t>SG2579133IN</t>
  </si>
  <si>
    <t>Vedant Global Logistics</t>
  </si>
  <si>
    <t>MH43BX7029</t>
  </si>
  <si>
    <t>MH43CE2718</t>
  </si>
  <si>
    <t>MH46AF0832</t>
  </si>
  <si>
    <t>MH46AF0831</t>
  </si>
  <si>
    <t>MH43CE9090</t>
  </si>
  <si>
    <t>ASK CHEMICALS INDIA PRIVATE LIMITED(Maharashtra)</t>
  </si>
  <si>
    <t>IM2324100079</t>
  </si>
  <si>
    <t>MH14JL8692</t>
  </si>
  <si>
    <t>IM2324100078</t>
  </si>
  <si>
    <t>MH12UM3713</t>
  </si>
  <si>
    <t>IM2324100081</t>
  </si>
  <si>
    <t>5 MT</t>
  </si>
  <si>
    <t>MH04LE9428</t>
  </si>
  <si>
    <t>IM2324100083</t>
  </si>
  <si>
    <t>BRITAS POLYMERS PRIVATE LIMITED (Maharas htra)</t>
  </si>
  <si>
    <t>MH46BB3092</t>
  </si>
  <si>
    <t>IM2324100091</t>
  </si>
  <si>
    <t>MH04F5586</t>
  </si>
  <si>
    <t>IM2324100088</t>
  </si>
  <si>
    <t>AMBICA ENGINEERS (Gujarat)</t>
  </si>
  <si>
    <t>AHEMDABAD</t>
  </si>
  <si>
    <t>GJ01FT7018</t>
  </si>
  <si>
    <t>IM2324100089</t>
  </si>
  <si>
    <t>25 MT</t>
  </si>
  <si>
    <t>GJ07YY5005</t>
  </si>
  <si>
    <t>SG2584766IN</t>
  </si>
  <si>
    <t>111020D362</t>
  </si>
  <si>
    <t>MH06AQ6155</t>
  </si>
  <si>
    <t>IM2324100093</t>
  </si>
  <si>
    <t>MH46AF1497</t>
  </si>
  <si>
    <t>IM2324100095</t>
  </si>
  <si>
    <t>IM2324100090</t>
  </si>
  <si>
    <t>OYSTER MEDISAFE PRIVATE LIMITED(Telangana)</t>
  </si>
  <si>
    <t>IM2324100106</t>
  </si>
  <si>
    <t>BRITAS POLYMERS PRIVATE LIMITED</t>
  </si>
  <si>
    <t>201604915677 </t>
  </si>
  <si>
    <t>IM2324100097</t>
  </si>
  <si>
    <t>MH16CD4670</t>
  </si>
  <si>
    <t>IM2324100094</t>
  </si>
  <si>
    <t>IM2324100101</t>
  </si>
  <si>
    <t>PRONTO INTERNATIONAL (Rajasthan)</t>
  </si>
  <si>
    <t>JAIPUR</t>
  </si>
  <si>
    <t>GJ31T5662</t>
  </si>
  <si>
    <t>IM2324100117</t>
  </si>
  <si>
    <t>IM2324100110</t>
  </si>
  <si>
    <t>DN09V9434</t>
  </si>
  <si>
    <t>IM2324100116</t>
  </si>
  <si>
    <t>RJ02GB8145</t>
  </si>
  <si>
    <t>IM2324100115</t>
  </si>
  <si>
    <t>SONI ENTERPRISE (Gujarat)</t>
  </si>
  <si>
    <t>6 MT</t>
  </si>
  <si>
    <t>MH04KU6541</t>
  </si>
  <si>
    <t>IM2324100125</t>
  </si>
  <si>
    <t>IM2324100126</t>
  </si>
  <si>
    <t>SG2579185IN</t>
  </si>
  <si>
    <t>MH46AF9522</t>
  </si>
  <si>
    <t>IM2324100137</t>
  </si>
  <si>
    <t>MH12LT9464</t>
  </si>
  <si>
    <t>SG2579132IN</t>
  </si>
  <si>
    <t>MH46BU2533</t>
  </si>
  <si>
    <t>MH43BX9640</t>
  </si>
  <si>
    <t>MH43CE5454</t>
  </si>
  <si>
    <t>MH43Y8759</t>
  </si>
  <si>
    <t>SG2584733IN</t>
  </si>
  <si>
    <t>210635D101</t>
  </si>
  <si>
    <t>210605D604</t>
  </si>
  <si>
    <t>MH04JU1865</t>
  </si>
  <si>
    <t>MH43Y3944</t>
  </si>
  <si>
    <t>MH46AF6481</t>
  </si>
  <si>
    <t>IM2324100145</t>
  </si>
  <si>
    <t>R. R. POLYMERS (Gujarat)</t>
  </si>
  <si>
    <t>Vadodara</t>
  </si>
  <si>
    <t>UP70MT0047</t>
  </si>
  <si>
    <t>IM2324100142</t>
  </si>
  <si>
    <t>ELAVIN CHEMTECH PRIVATE LIMITED (Gujarat)</t>
  </si>
  <si>
    <t>Khatraj</t>
  </si>
  <si>
    <t>MH04KU3542</t>
  </si>
  <si>
    <t>IM2324100144</t>
  </si>
  <si>
    <t>DUROFLEX PRIVATE LIMITED (Tamil Nadu)</t>
  </si>
  <si>
    <t>Tamil Nadu</t>
  </si>
  <si>
    <t>MP03HG6550</t>
  </si>
  <si>
    <t>IM2324100156</t>
  </si>
  <si>
    <t>MH04LE6413</t>
  </si>
  <si>
    <t>IM2324100155</t>
  </si>
  <si>
    <t>RJ27GC5488</t>
  </si>
  <si>
    <t>IM2324100157</t>
  </si>
  <si>
    <t>Thakarshy associates (Gujarat)</t>
  </si>
  <si>
    <t>MH42AQ4192</t>
  </si>
  <si>
    <t>IM2324100158</t>
  </si>
  <si>
    <t>SG2584755IN</t>
  </si>
  <si>
    <t>102040D178</t>
  </si>
  <si>
    <t>123024D604</t>
  </si>
  <si>
    <t>MH16AS2799</t>
  </si>
  <si>
    <t>IM2324100153</t>
  </si>
  <si>
    <t>CERAFLUX INDIA PVT LTD(Maharashtra)</t>
  </si>
  <si>
    <t>Kolhapur</t>
  </si>
  <si>
    <t>MH10CR8385</t>
  </si>
  <si>
    <t>IM2324100162</t>
  </si>
  <si>
    <t>MH10DT7514</t>
  </si>
  <si>
    <t>IM2324100168</t>
  </si>
  <si>
    <t>VINTEK CHEMICAL PRODUCTS PRIVATE LIMITED</t>
  </si>
  <si>
    <t>MH04KU5731</t>
  </si>
  <si>
    <t>IM2324100173</t>
  </si>
  <si>
    <t>IM2324100176</t>
  </si>
  <si>
    <t>MH14KA9747</t>
  </si>
  <si>
    <t>IM2324100172</t>
  </si>
  <si>
    <t>GJ24U4259</t>
  </si>
  <si>
    <t>IM2324100165</t>
  </si>
  <si>
    <t>DUROFLEX PRIVATE LIMITED(Tamil Nadu)</t>
  </si>
  <si>
    <t>MP09HJ9255</t>
  </si>
  <si>
    <t>IM2324100189</t>
  </si>
  <si>
    <t>IM2324100193</t>
  </si>
  <si>
    <t>IM2324100190</t>
  </si>
  <si>
    <t>MH03DV7622</t>
  </si>
  <si>
    <t>SG2595636IN</t>
  </si>
  <si>
    <t>210630D381</t>
  </si>
  <si>
    <t>SG2593682IN</t>
  </si>
  <si>
    <t>210638D915</t>
  </si>
  <si>
    <t>MH43CF2718</t>
  </si>
  <si>
    <t>124033D641</t>
  </si>
  <si>
    <t>210647D748</t>
  </si>
  <si>
    <t>124036D677</t>
  </si>
  <si>
    <t>124034D886</t>
  </si>
  <si>
    <t>SG2571339IN</t>
  </si>
  <si>
    <t>210541D540</t>
  </si>
  <si>
    <t>210265D780</t>
  </si>
  <si>
    <t>MH43CE1422</t>
  </si>
  <si>
    <t>SG2589631IN</t>
  </si>
  <si>
    <t>108002B101</t>
  </si>
  <si>
    <t>MH04FP7181</t>
  </si>
  <si>
    <t>IM2324100200</t>
  </si>
  <si>
    <t>IM2324100202</t>
  </si>
  <si>
    <t>ASAWA INSULATION PRIVATE LIMITED (Maharashtra)</t>
  </si>
  <si>
    <t>MH04LE8117</t>
  </si>
  <si>
    <t>IM2324100201</t>
  </si>
  <si>
    <t>MH11M6030</t>
  </si>
  <si>
    <t>IM2324100204</t>
  </si>
  <si>
    <t>Anoopam India PVT LTD (Delhi)</t>
  </si>
  <si>
    <t>DELHI</t>
  </si>
  <si>
    <t>MH04GF5877</t>
  </si>
  <si>
    <t>IM2324100211</t>
  </si>
  <si>
    <t>IM2324100196</t>
  </si>
  <si>
    <t>IM2324100180</t>
  </si>
  <si>
    <t>MH18AA9418</t>
  </si>
  <si>
    <t>IM2324100209</t>
  </si>
  <si>
    <t>MH10AW7259</t>
  </si>
  <si>
    <t>IM2324100207</t>
  </si>
  <si>
    <t>R A IMPEX (Gujarat)</t>
  </si>
  <si>
    <t>RAJKOT</t>
  </si>
  <si>
    <t>GJ03BY9435</t>
  </si>
  <si>
    <t>IM2324100215</t>
  </si>
  <si>
    <t>30 MT</t>
  </si>
  <si>
    <t>RJ14GP6861</t>
  </si>
  <si>
    <t>IM2324100210</t>
  </si>
  <si>
    <t>MH11CH9721</t>
  </si>
  <si>
    <t>IM2324100225</t>
  </si>
  <si>
    <t>MH06K7669</t>
  </si>
  <si>
    <t>IM2324100222</t>
  </si>
  <si>
    <t>Gajanan polyfoam (Haryana)</t>
  </si>
  <si>
    <t>GURUGRAM</t>
  </si>
  <si>
    <t>MH04GF9771</t>
  </si>
  <si>
    <t>271611813013 </t>
  </si>
  <si>
    <t>SG2608228IN</t>
  </si>
  <si>
    <t>210653D638</t>
  </si>
  <si>
    <t>MH43Y9553</t>
  </si>
  <si>
    <t>210649D300</t>
  </si>
  <si>
    <t>IM2324100151</t>
  </si>
  <si>
    <t>IM2324100212</t>
  </si>
  <si>
    <t>IM2324100217</t>
  </si>
  <si>
    <t>IM2324100226</t>
  </si>
  <si>
    <t>VASBROS TECHNOLOGY (Delhi)</t>
  </si>
  <si>
    <t>LFC AUTO PRIVATE LIMITED (Delhi)</t>
  </si>
  <si>
    <t>G R INDUSTRIES(Madhya Pradesh)</t>
  </si>
  <si>
    <t>Delhi</t>
  </si>
  <si>
    <t>Narela</t>
  </si>
  <si>
    <t>RATLAM</t>
  </si>
  <si>
    <t>18 MT</t>
  </si>
  <si>
    <t>20 MT</t>
  </si>
  <si>
    <t>MP09HH2819</t>
  </si>
  <si>
    <t>RJ52GA9167</t>
  </si>
  <si>
    <t>MH04FD0811</t>
  </si>
  <si>
    <t>IM2324100229</t>
  </si>
  <si>
    <t>SG2608324IN</t>
  </si>
  <si>
    <t>MH46H5116</t>
  </si>
  <si>
    <t>108001D477</t>
  </si>
  <si>
    <t>SG2589282IN</t>
  </si>
  <si>
    <t>WANTHANE-WHT-58185-Bag-25KG</t>
  </si>
  <si>
    <t>MH43U7836</t>
  </si>
  <si>
    <t>MH43Y1737</t>
  </si>
  <si>
    <t>SG2589293IN</t>
  </si>
  <si>
    <t>210594D477</t>
  </si>
  <si>
    <t>MH46AR5722</t>
  </si>
  <si>
    <t>IM2324100240</t>
  </si>
  <si>
    <t>MH04GF9140</t>
  </si>
  <si>
    <t>IM2324100239</t>
  </si>
  <si>
    <t>RJ09GB6701</t>
  </si>
  <si>
    <t>SG2608232IN</t>
  </si>
  <si>
    <t>210626D031</t>
  </si>
  <si>
    <t>MH46AF8169</t>
  </si>
  <si>
    <t>210590D774</t>
  </si>
  <si>
    <t>MH46BB0229</t>
  </si>
  <si>
    <t>IT2324200156</t>
  </si>
  <si>
    <t>0322013201</t>
  </si>
  <si>
    <t>IM2324100250</t>
  </si>
  <si>
    <t>BRITAS INTERNATIONAL (maharashtra)</t>
  </si>
  <si>
    <t>MUMBAI</t>
  </si>
  <si>
    <t>MH04JK9220</t>
  </si>
  <si>
    <t>IM2324100245</t>
  </si>
  <si>
    <t>Panvel</t>
  </si>
  <si>
    <t>MH45T8528</t>
  </si>
  <si>
    <t>IM2324100246</t>
  </si>
  <si>
    <t>MH46F1438</t>
  </si>
  <si>
    <t>IM2324100244</t>
  </si>
  <si>
    <t>MH03CP5396</t>
  </si>
  <si>
    <t>IM2324100259</t>
  </si>
  <si>
    <t>IM2324100253</t>
  </si>
  <si>
    <t>GJ17XX8092</t>
  </si>
  <si>
    <t>IM2324100258</t>
  </si>
  <si>
    <t>MH14KQ7737</t>
  </si>
  <si>
    <t>IM2324100247</t>
  </si>
  <si>
    <t>IM2324100248</t>
  </si>
  <si>
    <t>IM2324100249</t>
  </si>
  <si>
    <t>IM2324100256</t>
  </si>
  <si>
    <t>SHREE HARDEO INDUSTRIES (Chattisgarh)</t>
  </si>
  <si>
    <t>Raipur</t>
  </si>
  <si>
    <t>MH04HS1526</t>
  </si>
  <si>
    <t>IM2324100255</t>
  </si>
  <si>
    <t>IM2324100257</t>
  </si>
  <si>
    <t>MH04JU3293</t>
  </si>
  <si>
    <t>Wanhua International (India) Private Limited</t>
  </si>
  <si>
    <t>BELOGISTICS</t>
  </si>
  <si>
    <t>GJ15AT5549</t>
  </si>
  <si>
    <t>IT2324200155</t>
  </si>
  <si>
    <t>WANOL-F3160-17GrnDr-210KG</t>
  </si>
  <si>
    <t>IT2324200147</t>
  </si>
  <si>
    <t>104221101Y</t>
  </si>
  <si>
    <t>MH32AJ8073</t>
  </si>
  <si>
    <t>IM2324100268</t>
  </si>
  <si>
    <t>MH43E7075</t>
  </si>
  <si>
    <t>IM2324100261</t>
  </si>
  <si>
    <t>MH14GD1718</t>
  </si>
  <si>
    <t>IM2324100267</t>
  </si>
  <si>
    <t>IM2324100251</t>
  </si>
  <si>
    <t>IM2324100265</t>
  </si>
  <si>
    <t>IM2324100266</t>
  </si>
  <si>
    <t>IM2324100276</t>
  </si>
  <si>
    <t>RJ27GE0060</t>
  </si>
  <si>
    <t>IM2324100277</t>
  </si>
  <si>
    <t>IM2324100264</t>
  </si>
  <si>
    <t>MH12NX8121</t>
  </si>
  <si>
    <t>IM2324100275</t>
  </si>
  <si>
    <t>CG07AZ8789</t>
  </si>
  <si>
    <t>IM2324100282</t>
  </si>
  <si>
    <t>IM2324100286</t>
  </si>
  <si>
    <t>RJ27GE0057</t>
  </si>
  <si>
    <t>IM2324100285</t>
  </si>
  <si>
    <t>IM2324100273</t>
  </si>
  <si>
    <t>UKAY METAL INDUSTRIES PVT.LTD. (Maharashtra)</t>
  </si>
  <si>
    <t>NASHIK</t>
  </si>
  <si>
    <t>SHREE NASIK GOODS TRANSPORT CO PVT LTD</t>
  </si>
  <si>
    <t>211615000767 </t>
  </si>
  <si>
    <t>IM2324100288</t>
  </si>
  <si>
    <t>IM2324100287</t>
  </si>
  <si>
    <t>IM2324100306</t>
  </si>
  <si>
    <t>GJ03BW3710</t>
  </si>
  <si>
    <t>IM2324100304</t>
  </si>
  <si>
    <t>MH10CR2751</t>
  </si>
  <si>
    <t>IM2324100300</t>
  </si>
  <si>
    <t>261615551385 </t>
  </si>
  <si>
    <t>SAP GRN NO.</t>
  </si>
  <si>
    <t>IM2324100310</t>
  </si>
  <si>
    <t>MP09HH4586</t>
  </si>
  <si>
    <t>IM2324100298</t>
  </si>
  <si>
    <t>MH16Q6573</t>
  </si>
  <si>
    <t>IM2324100297</t>
  </si>
  <si>
    <t>YTL MANUFACTURING PRIVATE LIMITED (Uttar Pradesh)</t>
  </si>
  <si>
    <t>NOIDA</t>
  </si>
  <si>
    <t>MH04LE2350</t>
  </si>
  <si>
    <t>IM2324100322</t>
  </si>
  <si>
    <t>MH12VE6797</t>
  </si>
  <si>
    <t>IM2324100323</t>
  </si>
  <si>
    <t>IM2324100299</t>
  </si>
  <si>
    <t>MH04HD6825</t>
  </si>
  <si>
    <t>IM2324100320</t>
  </si>
  <si>
    <t>NL01AB0313</t>
  </si>
  <si>
    <t>IM2324100321</t>
  </si>
  <si>
    <t>IM2324100325</t>
  </si>
  <si>
    <t>IM2324100316</t>
  </si>
  <si>
    <t>MH12EQ8899</t>
  </si>
  <si>
    <t>IM2324100317</t>
  </si>
  <si>
    <t>MH14JL4147</t>
  </si>
  <si>
    <t>WANTHANE-WHT-3690-Bag-25KG</t>
  </si>
  <si>
    <t>IM2324100331</t>
  </si>
  <si>
    <t>IM2324100346</t>
  </si>
  <si>
    <t>RAIPUR</t>
  </si>
  <si>
    <t>CG07CM2082</t>
  </si>
  <si>
    <t>IM2324100345</t>
  </si>
  <si>
    <t>IM2324100335</t>
  </si>
  <si>
    <t>WHIRLPOOL OF INDIA LIMITED (Maharashtra)</t>
  </si>
  <si>
    <t>MH43U3366</t>
  </si>
  <si>
    <t>IM2324100307</t>
  </si>
  <si>
    <t>IM2324100327</t>
  </si>
  <si>
    <t>RJ09GV6706</t>
  </si>
  <si>
    <t>IM2324100326</t>
  </si>
  <si>
    <t>RJ27GE0062</t>
  </si>
  <si>
    <t>IM2324100340</t>
  </si>
  <si>
    <t>IM2324100336</t>
  </si>
  <si>
    <t>3 MT</t>
  </si>
  <si>
    <t>GUJRAT TRANSPORT SERVICES</t>
  </si>
  <si>
    <t>MH04LE4117</t>
  </si>
  <si>
    <t>SG2613828IN</t>
  </si>
  <si>
    <t>210689D570</t>
  </si>
  <si>
    <t>210691D781</t>
  </si>
  <si>
    <t>MH01CV5722</t>
  </si>
  <si>
    <t>210543D362</t>
  </si>
  <si>
    <t>IM2324100357</t>
  </si>
  <si>
    <t>MH14EM9791</t>
  </si>
  <si>
    <t>IM2324100359</t>
  </si>
  <si>
    <t>RJ14GP9327</t>
  </si>
  <si>
    <t>IM2324100360</t>
  </si>
  <si>
    <t>IM2324100358</t>
  </si>
  <si>
    <t>IM2324100373</t>
  </si>
  <si>
    <t>IM2324100374</t>
  </si>
  <si>
    <t>CG07CK9776</t>
  </si>
  <si>
    <t>IM2324100372</t>
  </si>
  <si>
    <t>CG07CE5754</t>
  </si>
  <si>
    <t>SG2613837IN</t>
  </si>
  <si>
    <t>119001B992</t>
  </si>
  <si>
    <t>IM2324100353</t>
  </si>
  <si>
    <t>IM2324100355</t>
  </si>
  <si>
    <t>IM2324100371</t>
  </si>
  <si>
    <t>HARITA FEHRER LIMITED (Maharashtra)</t>
  </si>
  <si>
    <t>MH12HD4621</t>
  </si>
  <si>
    <t>IM2324100378</t>
  </si>
  <si>
    <t>CG07CL8867</t>
  </si>
  <si>
    <t>IM2324100380</t>
  </si>
  <si>
    <t>IM2324100377</t>
  </si>
  <si>
    <t>IM2324100379</t>
  </si>
  <si>
    <t>IM2324100375</t>
  </si>
  <si>
    <t>GJ16AU3976</t>
  </si>
  <si>
    <t>IM2324100400</t>
  </si>
  <si>
    <t>8 MT</t>
  </si>
  <si>
    <t>MH04EY5489</t>
  </si>
  <si>
    <t>IM2324100397</t>
  </si>
  <si>
    <t>GJ16V6321</t>
  </si>
  <si>
    <t>IM2324100398</t>
  </si>
  <si>
    <t>MH04CA4973</t>
  </si>
  <si>
    <t>IM2324100396</t>
  </si>
  <si>
    <t>MH14JL5817</t>
  </si>
  <si>
    <t>IM2324100401</t>
  </si>
  <si>
    <t>IM2324100410</t>
  </si>
  <si>
    <t>KHOPOLI</t>
  </si>
  <si>
    <t>SG2629678IN</t>
  </si>
  <si>
    <t>210708D423</t>
  </si>
  <si>
    <t>MH43BG5048</t>
  </si>
  <si>
    <t>Date</t>
  </si>
  <si>
    <t>WH</t>
  </si>
  <si>
    <t>Name</t>
  </si>
  <si>
    <t>Qty (Kg's)</t>
  </si>
  <si>
    <t>MT</t>
  </si>
  <si>
    <t>Agreement 
PP</t>
  </si>
  <si>
    <t>Current Pallet 
Position</t>
  </si>
  <si>
    <t>Excess PP</t>
  </si>
  <si>
    <t>Prime Bhiwandi</t>
  </si>
  <si>
    <t>Wanhua India</t>
  </si>
  <si>
    <t>SUNDAY</t>
  </si>
  <si>
    <t>IM2324100413</t>
  </si>
  <si>
    <t>KA567014</t>
  </si>
  <si>
    <t>IM2324100402</t>
  </si>
  <si>
    <t>IM2324100414</t>
  </si>
  <si>
    <t>KA567357</t>
  </si>
  <si>
    <t>IM2324100428</t>
  </si>
  <si>
    <t>IM2324100361</t>
  </si>
  <si>
    <t>RJ27GE2045</t>
  </si>
  <si>
    <t>IM2324100412</t>
  </si>
  <si>
    <t>IM2324100427</t>
  </si>
  <si>
    <t>VARROC POLYMERS LIMITED (Maharashtra)</t>
  </si>
  <si>
    <t>Aurangabad</t>
  </si>
  <si>
    <t>MH04EL6737</t>
  </si>
  <si>
    <t>IM2324100408</t>
  </si>
  <si>
    <t>SUPREME NONWOVEN INDUSTRIES PVT LTD (Tamil Nadu)</t>
  </si>
  <si>
    <t>CHENNAI</t>
  </si>
  <si>
    <t>IM2324100419</t>
  </si>
  <si>
    <t>251620422523 </t>
  </si>
  <si>
    <t>IM2324100421</t>
  </si>
  <si>
    <t>KURULI</t>
  </si>
  <si>
    <t>MH28AB7712</t>
  </si>
  <si>
    <t>IM2324100425</t>
  </si>
  <si>
    <t>MH12QW9414</t>
  </si>
  <si>
    <t>IM2324100432</t>
  </si>
  <si>
    <t>HR38AC8899</t>
  </si>
  <si>
    <t>IM2324100431</t>
  </si>
  <si>
    <t>IM2324100430</t>
  </si>
  <si>
    <t>IM2324100453</t>
  </si>
  <si>
    <t>MH05AM2989</t>
  </si>
  <si>
    <t>IM2324100411</t>
  </si>
  <si>
    <t>MH04EB3329</t>
  </si>
  <si>
    <t>IM2324100426</t>
  </si>
  <si>
    <t>MH43BG9546</t>
  </si>
  <si>
    <t>IM2324100459</t>
  </si>
  <si>
    <t>SHREEJI SEATING SYSTEMS INDIA PRIVATE LIMITED</t>
  </si>
  <si>
    <t>MH15GV5837</t>
  </si>
  <si>
    <t>IM2324100451</t>
  </si>
  <si>
    <t>HENKEL ADHESIVES TECHNOLOGIES INDIA PVT LTD</t>
  </si>
  <si>
    <t>MH43BP3609</t>
  </si>
  <si>
    <t>IM2324100457</t>
  </si>
  <si>
    <t>IM2324100461</t>
  </si>
  <si>
    <t>KA32C3911</t>
  </si>
  <si>
    <t>IM2324100455</t>
  </si>
  <si>
    <t>IM2324100458</t>
  </si>
  <si>
    <t>HR38AC1279</t>
  </si>
  <si>
    <t>IM2324100466</t>
  </si>
  <si>
    <t>MH46F9194</t>
  </si>
  <si>
    <t>IM2324100423</t>
  </si>
  <si>
    <t>R&amp;D IMPEX INTERNATIONAL (Punjab)</t>
  </si>
  <si>
    <t>Ludhiana</t>
  </si>
  <si>
    <t>MH04FJ4941</t>
  </si>
  <si>
    <t>IM2324100467</t>
  </si>
  <si>
    <t>MH04JU2329</t>
  </si>
  <si>
    <t>IM2324100456</t>
  </si>
  <si>
    <t>IM2324100470</t>
  </si>
  <si>
    <t>RJ52GA9667</t>
  </si>
  <si>
    <t>IM2324100476</t>
  </si>
  <si>
    <t>RJ40GA6342</t>
  </si>
  <si>
    <t>IM2324100468</t>
  </si>
  <si>
    <t>M/S LAMINAR TECHNOLOGIES (Uttar Pradesh)</t>
  </si>
  <si>
    <t>IM2324100486</t>
  </si>
  <si>
    <t>GJ03BY4993</t>
  </si>
  <si>
    <t>IM2324100496</t>
  </si>
  <si>
    <t>MH04KU3151</t>
  </si>
  <si>
    <t>IM2324100500</t>
  </si>
  <si>
    <t>SAM ENTERPRISES (Maharashtra)</t>
  </si>
  <si>
    <t>Thane</t>
  </si>
  <si>
    <t>MH25AJ6081</t>
  </si>
  <si>
    <t>IM2324100501</t>
  </si>
  <si>
    <t>MH12HD7318</t>
  </si>
  <si>
    <t>IM2324100515</t>
  </si>
  <si>
    <t>MH04JK4725</t>
  </si>
  <si>
    <t>IM2324100511</t>
  </si>
  <si>
    <t>IM2324100502</t>
  </si>
  <si>
    <t>DN09Q9765</t>
  </si>
  <si>
    <t>IM2324100510</t>
  </si>
  <si>
    <t>MH14BJ0755</t>
  </si>
  <si>
    <t>IM2324100514</t>
  </si>
  <si>
    <t>RJ polymers India (Delhi)</t>
  </si>
  <si>
    <t>MH04LE3089</t>
  </si>
  <si>
    <t>IM2324100530</t>
  </si>
  <si>
    <t>Virtual Invoice against Invoice No. IM2324100419</t>
  </si>
  <si>
    <t>Virtual Invoice against Invoice No. IM2324100377</t>
  </si>
  <si>
    <t>Delivery</t>
  </si>
  <si>
    <t>IM2324100522</t>
  </si>
  <si>
    <t>4 MT</t>
  </si>
  <si>
    <t>IM2324100521</t>
  </si>
  <si>
    <t>MH04LQ9616</t>
  </si>
  <si>
    <t>SG2629684IN</t>
  </si>
  <si>
    <t>210619D178</t>
  </si>
  <si>
    <t>MH04GC0891</t>
  </si>
  <si>
    <t>IM2324100545</t>
  </si>
  <si>
    <t>IM2324100550</t>
  </si>
  <si>
    <t>MP09HH7663</t>
  </si>
  <si>
    <t>SG2641463IN</t>
  </si>
  <si>
    <t>210759D733</t>
  </si>
  <si>
    <t>SG2629673IN</t>
  </si>
  <si>
    <t>108003B296</t>
  </si>
  <si>
    <t>MH46BU4519</t>
  </si>
  <si>
    <t>SG2653492IN</t>
  </si>
  <si>
    <t>124053D088</t>
  </si>
  <si>
    <t>MH46BU4518</t>
  </si>
  <si>
    <t>124052D416</t>
  </si>
  <si>
    <t>2 Bags Damage Received</t>
  </si>
  <si>
    <t>IM2324100540</t>
  </si>
  <si>
    <t>7 MT</t>
  </si>
  <si>
    <t>IM2324100551</t>
  </si>
  <si>
    <t>IM2324100523</t>
  </si>
  <si>
    <t>MH09HH4984</t>
  </si>
  <si>
    <t>IM2324100536</t>
  </si>
  <si>
    <t>SK PuCore India Pvt Ltd</t>
  </si>
  <si>
    <t>ANDHRA PRADESH</t>
  </si>
  <si>
    <t>IM2324100557</t>
  </si>
  <si>
    <t>FESTO INDIA PRIVATE LIMITED (Karnataka)</t>
  </si>
  <si>
    <t>BENGALURU</t>
  </si>
  <si>
    <t>210834D279</t>
  </si>
  <si>
    <t>210859D549</t>
  </si>
  <si>
    <t>SG2653491IN</t>
  </si>
  <si>
    <t>4 Bags Damage Received</t>
  </si>
  <si>
    <t>1 Bags Damage Received</t>
  </si>
  <si>
    <t>IM2324100554</t>
  </si>
  <si>
    <t>RJ14GJ6943</t>
  </si>
  <si>
    <t>GJ01HT4693</t>
  </si>
  <si>
    <t>IM2324100573</t>
  </si>
  <si>
    <t>IM2324100578</t>
  </si>
  <si>
    <t>15 MT</t>
  </si>
  <si>
    <t>PB08FC7033</t>
  </si>
  <si>
    <t>IM2324100571</t>
  </si>
  <si>
    <t>IM2324100547</t>
  </si>
  <si>
    <t>MH46BU6821</t>
  </si>
  <si>
    <t>IM2324100572</t>
  </si>
  <si>
    <t>SG2623856IN</t>
  </si>
  <si>
    <t>WANOL-F3145P-17GrnDr-210KG</t>
  </si>
  <si>
    <t>371230511Y</t>
  </si>
  <si>
    <t>372230503Y</t>
  </si>
  <si>
    <t>IM2324100576</t>
  </si>
  <si>
    <t>RJ09BG6704</t>
  </si>
  <si>
    <t>IM2324100591</t>
  </si>
  <si>
    <t>DN09Q9283</t>
  </si>
  <si>
    <t>IM2324100594</t>
  </si>
  <si>
    <t>DN09R9249</t>
  </si>
  <si>
    <t>IM2324100603</t>
  </si>
  <si>
    <t>SG2656752IN</t>
  </si>
  <si>
    <t>210833D628</t>
  </si>
  <si>
    <t>3 Bags Damage Received</t>
  </si>
  <si>
    <t>IM2324100608</t>
  </si>
  <si>
    <t>DN09N9418</t>
  </si>
  <si>
    <t>IM2324100607</t>
  </si>
  <si>
    <t>DD01K9927</t>
  </si>
  <si>
    <t>IM2324100609</t>
  </si>
  <si>
    <t>MH16AE9320</t>
  </si>
  <si>
    <t>IM2324100611</t>
  </si>
  <si>
    <t>MH04JU8795</t>
  </si>
  <si>
    <t>IM2324100587</t>
  </si>
  <si>
    <t>DD01M9092</t>
  </si>
  <si>
    <t>SG2658642IN</t>
  </si>
  <si>
    <t>108004B283</t>
  </si>
  <si>
    <t>CARGO ONE LOGISTICS</t>
  </si>
  <si>
    <t>MH46BM6957</t>
  </si>
  <si>
    <t>IM2324100619</t>
  </si>
  <si>
    <t>HR55U2630</t>
  </si>
  <si>
    <t>IM2324100628</t>
  </si>
  <si>
    <t>IM2324100630</t>
  </si>
  <si>
    <t>SG2658656IN</t>
  </si>
  <si>
    <t>210931D131</t>
  </si>
  <si>
    <t>IM2324100646</t>
  </si>
  <si>
    <t>SAAN GLOBAL LIMITED (MAHARASHTRA)</t>
  </si>
  <si>
    <t>IM2324100648</t>
  </si>
  <si>
    <t>IM2324100647</t>
  </si>
  <si>
    <t>MH04LE7950</t>
  </si>
  <si>
    <t>MH04KU5945</t>
  </si>
  <si>
    <t>SG2658635IN</t>
  </si>
  <si>
    <t>123043D964</t>
  </si>
  <si>
    <t>IM2324100644</t>
  </si>
  <si>
    <t>IM2324100606</t>
  </si>
  <si>
    <t>MH04JF3258</t>
  </si>
  <si>
    <t>IM2324100671</t>
  </si>
  <si>
    <t>IM2324100672</t>
  </si>
  <si>
    <t>MH06AQ9163</t>
  </si>
  <si>
    <t>IM2324100677</t>
  </si>
  <si>
    <t>IM2324100681</t>
  </si>
  <si>
    <t>PLASTICENT MARKETING PRIVATE LIMITED (Haryana)</t>
  </si>
  <si>
    <t>RJ14GJ6863</t>
  </si>
  <si>
    <t>IM2324100634</t>
  </si>
  <si>
    <t>AVG Polymers India Pvt. Ltd. (Delhi)</t>
  </si>
  <si>
    <t>14 MT</t>
  </si>
  <si>
    <t>IM2324100680</t>
  </si>
  <si>
    <t>GJ03BW6619</t>
  </si>
  <si>
    <t>IM2324100688</t>
  </si>
  <si>
    <t>MH48CB4146</t>
  </si>
  <si>
    <t>IM2324100689</t>
  </si>
  <si>
    <t>MH03CP7733</t>
  </si>
  <si>
    <t>IM2324100696</t>
  </si>
  <si>
    <t>IM2324100605</t>
  </si>
  <si>
    <t>RJ52GA9660</t>
  </si>
  <si>
    <t>IM2324100690</t>
  </si>
  <si>
    <t>PX23051225</t>
  </si>
  <si>
    <t>2306T0356</t>
  </si>
  <si>
    <t>MH46F5207</t>
  </si>
  <si>
    <t>MH43Y4445</t>
  </si>
  <si>
    <t>MH04FD8146</t>
  </si>
  <si>
    <t>IM2324100714</t>
  </si>
  <si>
    <t>IM2324100717</t>
  </si>
  <si>
    <t>MH16AY2527</t>
  </si>
  <si>
    <t>IM2324100719</t>
  </si>
  <si>
    <t>MH43BG8143</t>
  </si>
  <si>
    <t>IM2324100713</t>
  </si>
  <si>
    <t>RJ52GA9662</t>
  </si>
  <si>
    <t>SG2678060IN</t>
  </si>
  <si>
    <t>123046D549</t>
  </si>
  <si>
    <t>124050D964</t>
  </si>
  <si>
    <t>MH46BU4263</t>
  </si>
  <si>
    <t>IM2324100724</t>
  </si>
  <si>
    <t>MH12TV3429</t>
  </si>
  <si>
    <t>124054D274</t>
  </si>
  <si>
    <t>IM2324100735</t>
  </si>
  <si>
    <t>IM2324100751</t>
  </si>
  <si>
    <t>JBLD INTERNATIONAL PVT LTD (Haryana)</t>
  </si>
  <si>
    <t>HARYANA</t>
  </si>
  <si>
    <t>16 MT</t>
  </si>
  <si>
    <t>MH46CL0470</t>
  </si>
  <si>
    <t>IM2324100752</t>
  </si>
  <si>
    <t>IM2324100743</t>
  </si>
  <si>
    <t>POOJA PLASTO COLOUR PVT. LTD.(Delhi)</t>
  </si>
  <si>
    <t>MH04LQ2292</t>
  </si>
  <si>
    <t>IM2324100749</t>
  </si>
  <si>
    <t>RJ14GJ2683</t>
  </si>
  <si>
    <t>IM2324100742</t>
  </si>
  <si>
    <t>MH48AG5277</t>
  </si>
  <si>
    <t>SG2684722IN</t>
  </si>
  <si>
    <t>210965D075</t>
  </si>
  <si>
    <t>210957D028</t>
  </si>
  <si>
    <t>SG2684720IN</t>
  </si>
  <si>
    <t>210997D922</t>
  </si>
  <si>
    <t>123051D469</t>
  </si>
  <si>
    <t>SG2684726IN</t>
  </si>
  <si>
    <t>IM2324100748</t>
  </si>
  <si>
    <t>MH04KF5509</t>
  </si>
  <si>
    <t>IM2324100718</t>
  </si>
  <si>
    <t>RJ14GK7494</t>
  </si>
  <si>
    <t>IM2324100756</t>
  </si>
  <si>
    <t>MH04EL0495</t>
  </si>
  <si>
    <t>IM2324100775</t>
  </si>
  <si>
    <t>MH20DE6127</t>
  </si>
  <si>
    <t>IM2324100750</t>
  </si>
  <si>
    <t>AARTI ENTERPRISES(Rajasthan)</t>
  </si>
  <si>
    <t>RJ06GB3418</t>
  </si>
  <si>
    <t>IM2324100741</t>
  </si>
  <si>
    <t>RAPID ENGINEERING COMPANY PRIVATE LIMITED (Uttar Pradesh)</t>
  </si>
  <si>
    <t>MH04FD6294</t>
  </si>
  <si>
    <t>211634835450 </t>
  </si>
  <si>
    <t>IM2324100797</t>
  </si>
  <si>
    <t>IM2324100794</t>
  </si>
  <si>
    <t>MH20DE7192</t>
  </si>
  <si>
    <t>IM2324100792</t>
  </si>
  <si>
    <t>MH15EG8786</t>
  </si>
  <si>
    <t>IM2324100795</t>
  </si>
  <si>
    <t>IM2324100796</t>
  </si>
  <si>
    <t>IM2324100802</t>
  </si>
  <si>
    <t>IM2324100800</t>
  </si>
  <si>
    <t>IM2324100801</t>
  </si>
  <si>
    <t>PB05AB1221</t>
  </si>
  <si>
    <t>IM2324100821</t>
  </si>
  <si>
    <t>IM2324100823</t>
  </si>
  <si>
    <t>HR38AC3687</t>
  </si>
  <si>
    <t>IM2324100822</t>
  </si>
  <si>
    <t>SHAYA POLYMERS PRIVATE LIMITED (Tamil Nadu)</t>
  </si>
  <si>
    <t>MH04LE8057</t>
  </si>
  <si>
    <t>261637069499 </t>
  </si>
  <si>
    <t>IM2324100824</t>
  </si>
  <si>
    <t>MH04GR8412</t>
  </si>
  <si>
    <t>IM2324100832</t>
  </si>
  <si>
    <t>RJ11GC9719</t>
  </si>
  <si>
    <t>IM2324100857</t>
  </si>
  <si>
    <t>MH10CR5036</t>
  </si>
  <si>
    <t>2306H00117</t>
  </si>
  <si>
    <t>Jumbo Bags</t>
  </si>
  <si>
    <t>WHT-8898 BORSODCHEM 1000 KG OCTABIN</t>
  </si>
  <si>
    <t>1 Ourter packing received in the damaged condition</t>
  </si>
  <si>
    <t>IM2324100866</t>
  </si>
  <si>
    <t>PADMINI INNOVATIVE MARKETING SOLUTIONS PRIVATE LIMITED</t>
  </si>
  <si>
    <t>MH04FD9333</t>
  </si>
  <si>
    <t>IM2324100893</t>
  </si>
  <si>
    <t>HIMALAYA POLYURETHANE P LTD (Gujarat)</t>
  </si>
  <si>
    <t>DD01A9117</t>
  </si>
  <si>
    <t>IM2324100886</t>
  </si>
  <si>
    <t>NL01Q6834</t>
  </si>
  <si>
    <t>IM2324100871</t>
  </si>
  <si>
    <t>IM2324100903</t>
  </si>
  <si>
    <t>MH46BF1159</t>
  </si>
  <si>
    <t>IM2324100899</t>
  </si>
  <si>
    <t>IM2324100885</t>
  </si>
  <si>
    <t>RJ27GE2040</t>
  </si>
  <si>
    <t>IM2324100900</t>
  </si>
  <si>
    <t>Meghmani Finechem Limited (GUJARAT)</t>
  </si>
  <si>
    <t>BHARUCH</t>
  </si>
  <si>
    <t>BY HAND</t>
  </si>
  <si>
    <t>DTDC EXPRESS LIMITED</t>
  </si>
  <si>
    <t>D76149032</t>
  </si>
  <si>
    <t>231639536059 </t>
  </si>
  <si>
    <t>IM2324100894</t>
  </si>
  <si>
    <t>IM2324100895</t>
  </si>
  <si>
    <t>IM2324100896</t>
  </si>
  <si>
    <t>SAM ENTERPRISES (Uttar Pradesh)</t>
  </si>
  <si>
    <t>RJ11GB3393</t>
  </si>
  <si>
    <t>SG2692276IN</t>
  </si>
  <si>
    <t>210019D573</t>
  </si>
  <si>
    <t>210028D719</t>
  </si>
  <si>
    <t>SG2678054IN</t>
  </si>
  <si>
    <t>210945D075</t>
  </si>
  <si>
    <t>MH46BF2021</t>
  </si>
  <si>
    <t>MH46H3800</t>
  </si>
  <si>
    <t>IM2324100881</t>
  </si>
  <si>
    <t>IM2324100922</t>
  </si>
  <si>
    <t>MH50N0374</t>
  </si>
  <si>
    <t>IM2324100872</t>
  </si>
  <si>
    <t>MH04KF6091</t>
  </si>
  <si>
    <t>IM2324100923</t>
  </si>
  <si>
    <t>IM2324100921</t>
  </si>
  <si>
    <t>IM2324100918</t>
  </si>
  <si>
    <t>MH04KF8117</t>
  </si>
  <si>
    <t>IM2324100947</t>
  </si>
  <si>
    <t>MH04DD1956</t>
  </si>
  <si>
    <t>IM2324100946</t>
  </si>
  <si>
    <t>MH48AG8100</t>
  </si>
  <si>
    <t>IM2324100949</t>
  </si>
  <si>
    <t>IM2324100917</t>
  </si>
  <si>
    <t>MP09HJ0886</t>
  </si>
  <si>
    <t>IM2324100870</t>
  </si>
  <si>
    <t>IM2324100948</t>
  </si>
  <si>
    <t>MH04GR0658</t>
  </si>
  <si>
    <t>IM2324100892</t>
  </si>
  <si>
    <t>MP09HH9242</t>
  </si>
  <si>
    <t>IM2324100924</t>
  </si>
  <si>
    <t>IM2324100891</t>
  </si>
  <si>
    <t>221641348829 </t>
  </si>
  <si>
    <t>IM2324100975</t>
  </si>
  <si>
    <t>MH43BG3223</t>
  </si>
  <si>
    <t>IM2324100987</t>
  </si>
  <si>
    <t>MH04KU7976</t>
  </si>
  <si>
    <t>SG2697867IN</t>
  </si>
  <si>
    <t>210030D469</t>
  </si>
  <si>
    <t>MH04AF6481</t>
  </si>
  <si>
    <t>IM2324100963</t>
  </si>
  <si>
    <t>RJ09GB6704</t>
  </si>
  <si>
    <t>IM2324100970</t>
  </si>
  <si>
    <t>RJ27GE7277</t>
  </si>
  <si>
    <t>IM2324100969</t>
  </si>
  <si>
    <t>IM2324100977</t>
  </si>
  <si>
    <t>BAWANA</t>
  </si>
  <si>
    <t>MH04LE6603</t>
  </si>
  <si>
    <t>IM2324101015</t>
  </si>
  <si>
    <t>IM2324100973</t>
  </si>
  <si>
    <t>IM2324101076</t>
  </si>
  <si>
    <t>GJ15AT8941</t>
  </si>
  <si>
    <t>IM2324101092</t>
  </si>
  <si>
    <t>MH04HY7285</t>
  </si>
  <si>
    <t>IM2324101075</t>
  </si>
  <si>
    <t>HR55AL7558</t>
  </si>
  <si>
    <t>IM2324101108</t>
  </si>
  <si>
    <t>IM2324101110</t>
  </si>
  <si>
    <t>MH04JU9616</t>
  </si>
  <si>
    <t>IM2324101109</t>
  </si>
  <si>
    <t>HR38AC0907</t>
  </si>
  <si>
    <t>IM2324101143</t>
  </si>
  <si>
    <t>MH04CU7828</t>
  </si>
  <si>
    <t>IM2324101142</t>
  </si>
  <si>
    <t>MH04HY8428</t>
  </si>
  <si>
    <t>SG2705950IN</t>
  </si>
  <si>
    <t>0123000801</t>
  </si>
  <si>
    <t>WANNATE PM-9054</t>
  </si>
  <si>
    <t>MH46BM1112</t>
  </si>
  <si>
    <t>IM2324101134</t>
  </si>
  <si>
    <t>MH04KU8490</t>
  </si>
  <si>
    <t>IM2324101168</t>
  </si>
  <si>
    <t>MH48BM9447</t>
  </si>
  <si>
    <t>IM2324101080</t>
  </si>
  <si>
    <t>HISUN ADHESIVES(GUJARAT)</t>
  </si>
  <si>
    <t>MH04KU4502</t>
  </si>
  <si>
    <t>IM2324101120</t>
  </si>
  <si>
    <t>IM2324101167</t>
  </si>
  <si>
    <t>SG2720647IN</t>
  </si>
  <si>
    <t>0423901201</t>
  </si>
  <si>
    <t>20'' Container</t>
  </si>
  <si>
    <t>0423901101</t>
  </si>
  <si>
    <t>SG2720659IN</t>
  </si>
  <si>
    <t>0423906601</t>
  </si>
  <si>
    <t>WANEFLEX-693G-19 GrnDr-200KG</t>
  </si>
  <si>
    <t>0423906501</t>
  </si>
  <si>
    <t>SG2720657IN</t>
  </si>
  <si>
    <t>0123005900</t>
  </si>
  <si>
    <t>WANNATE-PM-8215-17RedCDr-250KG</t>
  </si>
  <si>
    <t>IM2324101189</t>
  </si>
  <si>
    <t>MH14GN7128</t>
  </si>
  <si>
    <t>IM2324101199</t>
  </si>
  <si>
    <t>SG2705951IN</t>
  </si>
  <si>
    <t>0523004401</t>
  </si>
  <si>
    <t>WANNATE-PM-8219-17RedCDr-250KG</t>
  </si>
  <si>
    <t>MH46F7747</t>
  </si>
  <si>
    <t>0523004301</t>
  </si>
  <si>
    <t>IM2324101215</t>
  </si>
  <si>
    <t>HR74A8592</t>
  </si>
  <si>
    <t>IM2324101219</t>
  </si>
  <si>
    <t>VALSAD</t>
  </si>
  <si>
    <t>IM2324101207</t>
  </si>
  <si>
    <t>IM2324101204</t>
  </si>
  <si>
    <t>HR55AB4268</t>
  </si>
  <si>
    <t>SG2705686IN</t>
  </si>
  <si>
    <t>202109D718</t>
  </si>
  <si>
    <t>202134D284</t>
  </si>
  <si>
    <t>IM2324101223</t>
  </si>
  <si>
    <t>K RASIKLAL EXIM PVT LTD(Maharashtra)</t>
  </si>
  <si>
    <t>MH04KU8115</t>
  </si>
  <si>
    <t>IM2324101228</t>
  </si>
  <si>
    <t>IM2324101214</t>
  </si>
  <si>
    <t>MH46BM3662</t>
  </si>
  <si>
    <t>IM2324101233</t>
  </si>
  <si>
    <t>GJ02XX3922</t>
  </si>
  <si>
    <t>IM2324101246</t>
  </si>
  <si>
    <t>IM2324101237</t>
  </si>
  <si>
    <t>MP37ZB0747</t>
  </si>
  <si>
    <t>IM2324101238</t>
  </si>
  <si>
    <t>MH18BG1716</t>
  </si>
  <si>
    <t>SG273861IN</t>
  </si>
  <si>
    <t>0523007801</t>
  </si>
  <si>
    <t>MH06BD2757</t>
  </si>
  <si>
    <t>MH46AR6864</t>
  </si>
  <si>
    <t>IM2324101270</t>
  </si>
  <si>
    <t>MH09CU3434</t>
  </si>
  <si>
    <t>IM2324101269</t>
  </si>
  <si>
    <t>IM2324101265</t>
  </si>
  <si>
    <t>DN09U9255</t>
  </si>
  <si>
    <t>IM2324101241</t>
  </si>
  <si>
    <t>GJ03AT3346</t>
  </si>
  <si>
    <t>IM2324101242</t>
  </si>
  <si>
    <t>MH46BB7956</t>
  </si>
  <si>
    <t>IM2324101240</t>
  </si>
  <si>
    <t>RJ09GV3941</t>
  </si>
  <si>
    <t>IM2324101276</t>
  </si>
  <si>
    <t>MH04LE8115</t>
  </si>
  <si>
    <t>IM2324101288</t>
  </si>
  <si>
    <t>IM2324101272</t>
  </si>
  <si>
    <t xml:space="preserve">BAKUKA POLYMER (GUJRAT) </t>
  </si>
  <si>
    <t>MH04KF3568</t>
  </si>
  <si>
    <t>IM2324101271</t>
  </si>
  <si>
    <t>IM2324101293</t>
  </si>
  <si>
    <t>SG2720650IN</t>
  </si>
  <si>
    <t>0423901501</t>
  </si>
  <si>
    <t>MH23W4737</t>
  </si>
  <si>
    <t>0423901601</t>
  </si>
  <si>
    <t>0423901701</t>
  </si>
  <si>
    <t>SG2731010IN</t>
  </si>
  <si>
    <t>202147D528</t>
  </si>
  <si>
    <t>IM2324101298</t>
  </si>
  <si>
    <t>IM2324101301</t>
  </si>
  <si>
    <t>MH20GC3404</t>
  </si>
  <si>
    <t>IM2324101299</t>
  </si>
  <si>
    <t>MH15HH5416</t>
  </si>
  <si>
    <t>IM2324101307</t>
  </si>
  <si>
    <t>IM2324101308</t>
  </si>
  <si>
    <t>IM2324101321</t>
  </si>
  <si>
    <t>HINDUSTAN PETRO FOAMS (Maharashtra)</t>
  </si>
  <si>
    <t>Palghar</t>
  </si>
  <si>
    <t>11MT</t>
  </si>
  <si>
    <t>MH04HD1793</t>
  </si>
  <si>
    <t>IM2324101320</t>
  </si>
  <si>
    <t>0523007101</t>
  </si>
  <si>
    <t>AMBICA WAREHOUSE</t>
  </si>
  <si>
    <t>2303T0135</t>
  </si>
  <si>
    <t>IM2324101309</t>
  </si>
  <si>
    <t>MH04LE4227</t>
  </si>
  <si>
    <t>IM2324101310</t>
  </si>
  <si>
    <t>RJ27GE7377</t>
  </si>
  <si>
    <t>IM2324101311</t>
  </si>
  <si>
    <t>IM2324101323</t>
  </si>
  <si>
    <t>Uno Minda Limited (Maharashtra)</t>
  </si>
  <si>
    <t>MH14CP2089</t>
  </si>
  <si>
    <t>IM2324101316</t>
  </si>
  <si>
    <t>DN09H9530</t>
  </si>
  <si>
    <t>IM2324101358</t>
  </si>
  <si>
    <t>MH20CT9429</t>
  </si>
  <si>
    <t>HOLIDAY</t>
  </si>
  <si>
    <t>SG2738359IN</t>
  </si>
  <si>
    <t>0523008001</t>
  </si>
  <si>
    <t>MH46BM4041</t>
  </si>
  <si>
    <t>MH46BM8182</t>
  </si>
  <si>
    <t>SG2714875IN</t>
  </si>
  <si>
    <t>0123004901</t>
  </si>
  <si>
    <t>DD01K9985</t>
  </si>
  <si>
    <t>MH46BM3031</t>
  </si>
  <si>
    <t>MH46BM2021</t>
  </si>
  <si>
    <t>0123004701</t>
  </si>
  <si>
    <t>SG2744880IN</t>
  </si>
  <si>
    <t>202185D303</t>
  </si>
  <si>
    <t>IM2324101365</t>
  </si>
  <si>
    <t>MH14V5161</t>
  </si>
  <si>
    <t>IM2324101366</t>
  </si>
  <si>
    <t>IM2324101361</t>
  </si>
  <si>
    <t>RONCH POLYMERS PRIVATE LIMITED</t>
  </si>
  <si>
    <t>VAPI</t>
  </si>
  <si>
    <t>MH48AY3973</t>
  </si>
  <si>
    <t>GJ15AV0630</t>
  </si>
  <si>
    <t>202164D709</t>
  </si>
  <si>
    <t>MH46H5915</t>
  </si>
  <si>
    <t>SG2734268IN</t>
  </si>
  <si>
    <t>123062D982</t>
  </si>
  <si>
    <t>MH06AR8583</t>
  </si>
  <si>
    <t>MH43U5925</t>
  </si>
  <si>
    <t>IM2324101367</t>
  </si>
  <si>
    <t>GJ07YY1118</t>
  </si>
  <si>
    <t>IM2324101387</t>
  </si>
  <si>
    <t>PB01DS8191</t>
  </si>
  <si>
    <t>IM2324101388</t>
  </si>
  <si>
    <t xml:space="preserve">RJ09GB3944 </t>
  </si>
  <si>
    <t>IM2324101389</t>
  </si>
  <si>
    <t>MH48CQ1059</t>
  </si>
  <si>
    <t>IM2324101391</t>
  </si>
  <si>
    <t>KAYGEE FOAM PVT LTD(Maharashtra)</t>
  </si>
  <si>
    <t>SG2697868IN</t>
  </si>
  <si>
    <t>MH06AQ8583</t>
  </si>
  <si>
    <t>210215D255</t>
  </si>
  <si>
    <t>210183D646</t>
  </si>
  <si>
    <t>SG2744881IN</t>
  </si>
  <si>
    <t>MH43CF3330</t>
  </si>
  <si>
    <t>202155D214</t>
  </si>
  <si>
    <t>202230D502</t>
  </si>
  <si>
    <t>MH43Y0630</t>
  </si>
  <si>
    <t>IM2324101380</t>
  </si>
  <si>
    <t>MH15GV7767</t>
  </si>
  <si>
    <t>IM2324101384</t>
  </si>
  <si>
    <t>MH46AR2579</t>
  </si>
  <si>
    <t>123063D493</t>
  </si>
  <si>
    <t>123064D493</t>
  </si>
  <si>
    <t>SG2738358IN</t>
  </si>
  <si>
    <t>SG2751121IN</t>
  </si>
  <si>
    <t>123067D554</t>
  </si>
  <si>
    <t>MH43VF3330</t>
  </si>
  <si>
    <t>124074D554</t>
  </si>
  <si>
    <t>124073D255</t>
  </si>
  <si>
    <t>123065D255</t>
  </si>
  <si>
    <t>SG2720660IN</t>
  </si>
  <si>
    <t>MH46AF6010</t>
  </si>
  <si>
    <t>0523008601</t>
  </si>
  <si>
    <t>SG2738371IN</t>
  </si>
  <si>
    <t>0123030101</t>
  </si>
  <si>
    <t>WANNATE-TDI-80-17UNM CDr-250KG</t>
  </si>
  <si>
    <t>SG2744887IN</t>
  </si>
  <si>
    <t>123066D255</t>
  </si>
  <si>
    <t>MH43BP1347</t>
  </si>
  <si>
    <t>SG2744882IN</t>
  </si>
  <si>
    <t>202238D476</t>
  </si>
  <si>
    <t>MH40AK0468</t>
  </si>
  <si>
    <t>202263D717</t>
  </si>
  <si>
    <t>SG744887IN</t>
  </si>
  <si>
    <t>MH43BP1346</t>
  </si>
  <si>
    <t>124065D255</t>
  </si>
  <si>
    <t>SG2738370IN</t>
  </si>
  <si>
    <t>MH43Y3406</t>
  </si>
  <si>
    <t>IM2324101424</t>
  </si>
  <si>
    <t>IM2324101428</t>
  </si>
  <si>
    <t>MH46AF7817</t>
  </si>
  <si>
    <t>IM2324101410</t>
  </si>
  <si>
    <t>IM2324101427</t>
  </si>
  <si>
    <t>RJ14GN7313</t>
  </si>
  <si>
    <t>IM2324101429</t>
  </si>
  <si>
    <t>RJ27GE2036</t>
  </si>
  <si>
    <t>IM2324101438</t>
  </si>
  <si>
    <t>MH04HD7644</t>
  </si>
  <si>
    <t>SG2751120IN</t>
  </si>
  <si>
    <t>123058D755</t>
  </si>
  <si>
    <t>SG2734264IN</t>
  </si>
  <si>
    <t>MH48BU4519</t>
  </si>
  <si>
    <t>SG2738360IN</t>
  </si>
  <si>
    <t>0523008801</t>
  </si>
  <si>
    <t>MH46AR6788</t>
  </si>
  <si>
    <t>MH43U3207</t>
  </si>
  <si>
    <t>SG2742390IN</t>
  </si>
  <si>
    <t>103016D418</t>
  </si>
  <si>
    <t>MH04GE2261</t>
  </si>
  <si>
    <t>IM2324101450</t>
  </si>
  <si>
    <t>RJ14GL1787</t>
  </si>
  <si>
    <t>IM2324101451</t>
  </si>
  <si>
    <t>RJ27GC5489</t>
  </si>
  <si>
    <t>IM2324101446</t>
  </si>
  <si>
    <t>IM2324101447</t>
  </si>
  <si>
    <t>IM2324101437</t>
  </si>
  <si>
    <t>HR45C1953</t>
  </si>
  <si>
    <t>IM2324101464</t>
  </si>
  <si>
    <t>GJ10TX1414</t>
  </si>
  <si>
    <t>210168D108</t>
  </si>
  <si>
    <t>2308T0422</t>
  </si>
  <si>
    <t>MH46F4824</t>
  </si>
  <si>
    <t>MH23W2881</t>
  </si>
  <si>
    <t>MH16CC8559</t>
  </si>
  <si>
    <t>MH46BB4745</t>
  </si>
  <si>
    <t>MH46BB7128</t>
  </si>
  <si>
    <t>2308T0425</t>
  </si>
  <si>
    <t>PVC-WH800-Premium-Bag-25KG</t>
  </si>
  <si>
    <t>2306T0351</t>
  </si>
  <si>
    <t>2304T0427</t>
  </si>
  <si>
    <t>MH04EB8634</t>
  </si>
  <si>
    <t>IM2324101468</t>
  </si>
  <si>
    <t>GJ03BT8448</t>
  </si>
  <si>
    <t>IM2324101472</t>
  </si>
  <si>
    <t>SG2744883IN</t>
  </si>
  <si>
    <t>202249D656</t>
  </si>
  <si>
    <t>MH43U7876</t>
  </si>
  <si>
    <t>MH43CE2727</t>
  </si>
  <si>
    <t>SG2738372IN</t>
  </si>
  <si>
    <t>IM2324101471</t>
  </si>
  <si>
    <t>NL01AB5640</t>
  </si>
  <si>
    <t>IM2324101469</t>
  </si>
  <si>
    <t>MH43E6121</t>
  </si>
  <si>
    <t>IM2324101482</t>
  </si>
  <si>
    <t>IM2324101491</t>
  </si>
  <si>
    <t>RJ09GB6703</t>
  </si>
  <si>
    <t>IM2324101495</t>
  </si>
  <si>
    <t>SG2754954IN</t>
  </si>
  <si>
    <t>0523009901</t>
  </si>
  <si>
    <t>MH46BU6364</t>
  </si>
  <si>
    <t>MH46BU3031</t>
  </si>
  <si>
    <t>IM2324101500</t>
  </si>
  <si>
    <t>IM2324101511</t>
  </si>
  <si>
    <t>MH43Y1343</t>
  </si>
  <si>
    <t>IM2324101515</t>
  </si>
  <si>
    <t>KAIZEN ENGINEERS(MAHARASHTRA)</t>
  </si>
  <si>
    <t>MH14KA9372</t>
  </si>
  <si>
    <t>IM2324101508</t>
  </si>
  <si>
    <t>KURKUMBH</t>
  </si>
  <si>
    <t>MH43BP5261</t>
  </si>
  <si>
    <t>IM2324101512</t>
  </si>
  <si>
    <t>MH04DD5747</t>
  </si>
  <si>
    <t>IM2324101507</t>
  </si>
  <si>
    <t>IM2324101518</t>
  </si>
  <si>
    <t>GJ12Y6116</t>
  </si>
  <si>
    <t>IM2324101510</t>
  </si>
  <si>
    <t>MH16AE7761</t>
  </si>
  <si>
    <t>SG2720658IN</t>
  </si>
  <si>
    <t>0123006700</t>
  </si>
  <si>
    <t>IM2324101517</t>
  </si>
  <si>
    <t>IM2324101516</t>
  </si>
  <si>
    <t>RJ27GC5272</t>
  </si>
  <si>
    <t>IM2324101490</t>
  </si>
  <si>
    <t>HR67B9465</t>
  </si>
  <si>
    <t>SG2754953IN</t>
  </si>
  <si>
    <t>0523009501</t>
  </si>
  <si>
    <t>MH43Y1929</t>
  </si>
  <si>
    <t>MH04FD7886</t>
  </si>
  <si>
    <t>IM2324101501</t>
  </si>
  <si>
    <t>JUMBO</t>
  </si>
  <si>
    <t>RRW LOGISTICS PVT. LTD.</t>
  </si>
  <si>
    <t>NH14EM6149</t>
  </si>
  <si>
    <t>MH04GC4656</t>
  </si>
  <si>
    <t>IM2324101519</t>
  </si>
  <si>
    <t>MH04FD0516</t>
  </si>
  <si>
    <t>IM2324101531</t>
  </si>
  <si>
    <t>IM2324101537</t>
  </si>
  <si>
    <t>ZR23091304</t>
  </si>
  <si>
    <t>ZR23091303</t>
  </si>
  <si>
    <t>IBC</t>
  </si>
  <si>
    <t>WANEFOAM-RCP6051-301-BVIBC-1000KG</t>
  </si>
  <si>
    <t>MH46AR5684</t>
  </si>
  <si>
    <t>IM2324101530</t>
  </si>
  <si>
    <t>GJ01FT8555</t>
  </si>
  <si>
    <t>IM2324101529</t>
  </si>
  <si>
    <t>RJ40GA3531</t>
  </si>
  <si>
    <t>SIKANDARABAD</t>
  </si>
  <si>
    <t>IM2324101564</t>
  </si>
  <si>
    <t>IM2324101565</t>
  </si>
  <si>
    <t>CG07CH8814</t>
  </si>
  <si>
    <t>WANAMINE-IPDA-17UNM BuDr-180KG-397LB</t>
  </si>
  <si>
    <t>MH14EM6149</t>
  </si>
  <si>
    <t>SG2738365IN</t>
  </si>
  <si>
    <t>0423012801</t>
  </si>
  <si>
    <t>MH43Y4443</t>
  </si>
  <si>
    <t>0423012601</t>
  </si>
  <si>
    <t>0423012401</t>
  </si>
  <si>
    <t>SG2738367IN</t>
  </si>
  <si>
    <t>0423013001</t>
  </si>
  <si>
    <t>MH46F1590</t>
  </si>
  <si>
    <t>MH46F1591</t>
  </si>
  <si>
    <t>0423013201</t>
  </si>
  <si>
    <t>0423012901</t>
  </si>
  <si>
    <t>SALES RETURN</t>
  </si>
  <si>
    <t>SG2744885IN</t>
  </si>
  <si>
    <t>202308D680</t>
  </si>
  <si>
    <t>202296D332</t>
  </si>
  <si>
    <t>202324D184</t>
  </si>
  <si>
    <t>SG2744884IN</t>
  </si>
  <si>
    <t>MH46AF6486</t>
  </si>
  <si>
    <t>MH04GC4379</t>
  </si>
  <si>
    <t>202271D333</t>
  </si>
  <si>
    <t>202288D741</t>
  </si>
  <si>
    <t>0423010901</t>
  </si>
  <si>
    <t>IM2324101572</t>
  </si>
  <si>
    <t>IM2324101569</t>
  </si>
  <si>
    <t>MH04JU0314</t>
  </si>
  <si>
    <t>IM2324101570</t>
  </si>
  <si>
    <t>MH04FJ3480</t>
  </si>
  <si>
    <t>IM2324101571</t>
  </si>
  <si>
    <t>MH04JK5020</t>
  </si>
  <si>
    <t>SG2785072IN</t>
  </si>
  <si>
    <t>WANNATE-7080-17UNM CDr-250KG</t>
  </si>
  <si>
    <t>IM2324101589</t>
  </si>
  <si>
    <t>IM2324101592</t>
  </si>
  <si>
    <t>RJ09GB6709</t>
  </si>
  <si>
    <t>IM2324101578</t>
  </si>
  <si>
    <t>IM2324101590</t>
  </si>
  <si>
    <t>MH15FV9856</t>
  </si>
  <si>
    <t>SG2751119IN</t>
  </si>
  <si>
    <t>SG2751118IN</t>
  </si>
  <si>
    <t>210293D422</t>
  </si>
  <si>
    <t>210298D717</t>
  </si>
  <si>
    <t>224063D701</t>
  </si>
  <si>
    <t>SG2760968IN</t>
  </si>
  <si>
    <t>202330D790</t>
  </si>
  <si>
    <t>MH46AR2679</t>
  </si>
  <si>
    <t>SG2745288IN</t>
  </si>
  <si>
    <t>WANOL-F3156D-17GrnDr-210KG</t>
  </si>
  <si>
    <t>202230906Y</t>
  </si>
  <si>
    <t>210298D422</t>
  </si>
  <si>
    <t>IM2324101581</t>
  </si>
  <si>
    <t>RJ09GB3945</t>
  </si>
  <si>
    <t>IM2324101594</t>
  </si>
  <si>
    <t>MH45T6057</t>
  </si>
  <si>
    <t>IM2324101601</t>
  </si>
  <si>
    <t>RJ18BT5198</t>
  </si>
  <si>
    <t>IM2324101579</t>
  </si>
  <si>
    <t>RJ40GA5831</t>
  </si>
  <si>
    <t>IM2324101603</t>
  </si>
  <si>
    <t>MH43DP1347</t>
  </si>
  <si>
    <t>202230809Y</t>
  </si>
  <si>
    <t>202230811Y</t>
  </si>
  <si>
    <t>MH43Y7970</t>
  </si>
  <si>
    <t>SG2738366IN</t>
  </si>
  <si>
    <t>MH46AR6988</t>
  </si>
  <si>
    <t>IM2324101616</t>
  </si>
  <si>
    <t>MH18BG1940</t>
  </si>
  <si>
    <t>SG2760977IN</t>
  </si>
  <si>
    <t>121004D238</t>
  </si>
  <si>
    <t>MH04FJ9770</t>
  </si>
  <si>
    <t>121003D680</t>
  </si>
  <si>
    <t>IM2324101607</t>
  </si>
  <si>
    <t>GJ31T6966</t>
  </si>
  <si>
    <t>IM2324101619</t>
  </si>
  <si>
    <t>4908647466 </t>
  </si>
  <si>
    <t>WANAMINE-2111-17UNM BuDr-180KG</t>
  </si>
  <si>
    <t>IM2324101624</t>
  </si>
  <si>
    <t>IM2324101623</t>
  </si>
  <si>
    <t>MH14BL6953</t>
  </si>
  <si>
    <t>SG2760969IN</t>
  </si>
  <si>
    <t>202366D601</t>
  </si>
  <si>
    <t>MH46AR6882</t>
  </si>
  <si>
    <t>SG2775647IN</t>
  </si>
  <si>
    <t>0523010601</t>
  </si>
  <si>
    <t>SG2768048IN</t>
  </si>
  <si>
    <t>202230803Y</t>
  </si>
  <si>
    <t>202230806Y</t>
  </si>
  <si>
    <t>PX23070565</t>
  </si>
  <si>
    <t>202230721Y</t>
  </si>
  <si>
    <t>SG2744886IN</t>
  </si>
  <si>
    <t>20221D333</t>
  </si>
  <si>
    <t>SG2767010IN</t>
  </si>
  <si>
    <t>202345D744</t>
  </si>
  <si>
    <t>MH46BU8996</t>
  </si>
  <si>
    <t>06</t>
  </si>
  <si>
    <t>MH46BF9441</t>
  </si>
  <si>
    <t>04</t>
  </si>
  <si>
    <t>IM2324101650</t>
  </si>
  <si>
    <t>MH04HY0043</t>
  </si>
  <si>
    <t>IM2324101648</t>
  </si>
  <si>
    <t>MH04JK7057</t>
  </si>
  <si>
    <t>IM2324101647</t>
  </si>
  <si>
    <t>IM2324101638</t>
  </si>
  <si>
    <t>MH12QW1066</t>
  </si>
  <si>
    <t>MH43Y0601</t>
  </si>
  <si>
    <t>WANTHANE-WHT-4065AU-Bag-25KG</t>
  </si>
  <si>
    <t>WANTHANE-WHT-4075AU-Bag-25KG</t>
  </si>
  <si>
    <t>208087D358</t>
  </si>
  <si>
    <t>208283D741</t>
  </si>
  <si>
    <t>IM2324101632</t>
  </si>
  <si>
    <t>IM2324101661</t>
  </si>
  <si>
    <t>IM2324101667</t>
  </si>
  <si>
    <t>IM2324101660</t>
  </si>
  <si>
    <t>IM2324101649</t>
  </si>
  <si>
    <t>RJ14GP7509</t>
  </si>
  <si>
    <t>IM2324101634</t>
  </si>
  <si>
    <t>IM2324101673</t>
  </si>
  <si>
    <t>MH04GF4938</t>
  </si>
  <si>
    <t>MH16Q6513</t>
  </si>
  <si>
    <t>GJ31T5618</t>
  </si>
  <si>
    <t>IM2324101666</t>
  </si>
  <si>
    <t>IM2324101668</t>
  </si>
  <si>
    <t>RJ14GP7508</t>
  </si>
  <si>
    <t>GJ27TD4127</t>
  </si>
  <si>
    <t>IM2324101662</t>
  </si>
  <si>
    <t>WOODBRIDGE FOAM PRIVATE LIMITED</t>
  </si>
  <si>
    <t>AHMEDABAD</t>
  </si>
  <si>
    <t>SG2745289IN</t>
  </si>
  <si>
    <t>202730914Y</t>
  </si>
  <si>
    <t>1 DRUM damaged received</t>
  </si>
  <si>
    <t>MH46BU9668</t>
  </si>
  <si>
    <t>SG2760975IN</t>
  </si>
  <si>
    <t>123072D717</t>
  </si>
  <si>
    <t>BAGS</t>
  </si>
  <si>
    <t>MH46AR3971</t>
  </si>
  <si>
    <t>124077D418</t>
  </si>
  <si>
    <t>GJ21T7080</t>
  </si>
  <si>
    <t>IM2324101672</t>
  </si>
  <si>
    <t>FOSROC CHEMICALS INDIA PRIVATE LIMITED</t>
  </si>
  <si>
    <t>WANHUA GRN NO:</t>
  </si>
  <si>
    <t>SL  NO</t>
  </si>
  <si>
    <t>Material Code</t>
  </si>
  <si>
    <t>Material Description</t>
  </si>
  <si>
    <t>BOE No.</t>
  </si>
  <si>
    <t>BATCH</t>
  </si>
  <si>
    <t>MFG DATE</t>
  </si>
  <si>
    <t>Qty</t>
  </si>
  <si>
    <t>PACKING (DR/BAG/etc…)</t>
  </si>
  <si>
    <t>PACK SIZE (KG)</t>
  </si>
  <si>
    <t>Qty Received (KG)</t>
  </si>
  <si>
    <t>Remarks 1</t>
  </si>
  <si>
    <t>IM2324101695</t>
  </si>
  <si>
    <t>AHMDNAGAR</t>
  </si>
  <si>
    <t>MH16AE5106</t>
  </si>
  <si>
    <t>IM2324101697</t>
  </si>
  <si>
    <t>202330D601</t>
  </si>
  <si>
    <t>202330D333</t>
  </si>
  <si>
    <t>202345D790</t>
  </si>
  <si>
    <t>202376D840</t>
  </si>
  <si>
    <t>RJ14GP7604</t>
  </si>
  <si>
    <t>IM2324101698</t>
  </si>
  <si>
    <t>IM2324101708</t>
  </si>
  <si>
    <t>RJ14GN7042</t>
  </si>
  <si>
    <t>IM2324101709</t>
  </si>
  <si>
    <t>MH04KU8715</t>
  </si>
  <si>
    <t>IM2324101712</t>
  </si>
  <si>
    <t>MH12MV2595</t>
  </si>
  <si>
    <t>IM2324101707</t>
  </si>
  <si>
    <t>RJ14GP6374</t>
  </si>
  <si>
    <t>IM2324101718</t>
  </si>
  <si>
    <t>GJ03BW7566</t>
  </si>
  <si>
    <t>IM2324101719</t>
  </si>
  <si>
    <t>MH43CE8922</t>
  </si>
  <si>
    <t>MH43BP1790</t>
  </si>
  <si>
    <t>IM2324101722</t>
  </si>
  <si>
    <t>Uflow Automation (Gujarat)</t>
  </si>
  <si>
    <t>MH05DK9347</t>
  </si>
  <si>
    <t>IM2324101726</t>
  </si>
  <si>
    <t>MH12TV5938</t>
  </si>
  <si>
    <t>IM2324101736</t>
  </si>
  <si>
    <t>MH20DE5191</t>
  </si>
  <si>
    <t>IM2324101723</t>
  </si>
  <si>
    <t>PRIME COMFORT PRODUCTS PRIVATE LIMITED (Gujarat)</t>
  </si>
  <si>
    <t>MH48AG4448</t>
  </si>
  <si>
    <t>IM2324101742</t>
  </si>
  <si>
    <t>IM2324101738</t>
  </si>
  <si>
    <t>IM2324101739</t>
  </si>
  <si>
    <t>MH20DE9486</t>
  </si>
  <si>
    <t>IM2324101724</t>
  </si>
  <si>
    <t>GJ03BY8082</t>
  </si>
  <si>
    <t>IM2324101747</t>
  </si>
  <si>
    <t>SG2787280IN</t>
  </si>
  <si>
    <t>223933D347</t>
  </si>
  <si>
    <t>SG2779937IN</t>
  </si>
  <si>
    <t>IM2324101762</t>
  </si>
  <si>
    <t>GJ18BT7485</t>
  </si>
  <si>
    <t>IM2324101757</t>
  </si>
  <si>
    <t>IM2324101753</t>
  </si>
  <si>
    <t>MH15FV9019</t>
  </si>
  <si>
    <t>IM2324101741</t>
  </si>
  <si>
    <t>MH12RN5829</t>
  </si>
  <si>
    <t>IM2324101756</t>
  </si>
  <si>
    <t>IM2324101748</t>
  </si>
  <si>
    <t>0523011001</t>
  </si>
  <si>
    <t>SG2760970IN</t>
  </si>
  <si>
    <t>202382D193</t>
  </si>
  <si>
    <t>202386D867</t>
  </si>
  <si>
    <t>SG2785070IN</t>
  </si>
  <si>
    <t>MH46BB9423</t>
  </si>
  <si>
    <t>SG2720653IN</t>
  </si>
  <si>
    <t>MH46H5614</t>
  </si>
  <si>
    <t>IM2324101767</t>
  </si>
  <si>
    <t>MH04JK6885</t>
  </si>
  <si>
    <t>IM2324101771</t>
  </si>
  <si>
    <t>MH04LE6885</t>
  </si>
  <si>
    <t>IM2324101769</t>
  </si>
  <si>
    <t>DD01R9367</t>
  </si>
  <si>
    <t>0423902301</t>
  </si>
  <si>
    <t>0423902201</t>
  </si>
  <si>
    <t>0423902501</t>
  </si>
  <si>
    <t>0423902401</t>
  </si>
  <si>
    <t>IM2324101765</t>
  </si>
  <si>
    <t>RJ14GK5587</t>
  </si>
  <si>
    <t>IM2324101766</t>
  </si>
  <si>
    <t>SG2768024IN</t>
  </si>
  <si>
    <t>SG2768025IN</t>
  </si>
  <si>
    <t>MH04FU3501</t>
  </si>
  <si>
    <t>0423013801</t>
  </si>
  <si>
    <t>0423013901</t>
  </si>
  <si>
    <t>0423014001</t>
  </si>
  <si>
    <t>SG2787283IN</t>
  </si>
  <si>
    <t>122078D472</t>
  </si>
  <si>
    <t>202456D595</t>
  </si>
  <si>
    <t>202465D472</t>
  </si>
  <si>
    <t>THERMOPLASTIC POLYURETHANE WHT-1295</t>
  </si>
  <si>
    <t>SG2760971IN</t>
  </si>
  <si>
    <t>202396D688</t>
  </si>
  <si>
    <t>DD03M9753</t>
  </si>
  <si>
    <t>GJ12BW1528</t>
  </si>
  <si>
    <t>IM2324101779</t>
  </si>
  <si>
    <t>MH04KU7866</t>
  </si>
  <si>
    <t>IM2324101782</t>
  </si>
  <si>
    <t>IM2324101795</t>
  </si>
  <si>
    <t>MH43Y6712</t>
  </si>
  <si>
    <t>IM2324101799</t>
  </si>
  <si>
    <t>RJ14GP4552</t>
  </si>
  <si>
    <t>SG2760972IN</t>
  </si>
  <si>
    <t>SG2760973IN</t>
  </si>
  <si>
    <t>202448D725</t>
  </si>
  <si>
    <t>202439D164</t>
  </si>
  <si>
    <t>MH46BV4518</t>
  </si>
  <si>
    <t>2309T0479</t>
  </si>
  <si>
    <t>SG2793453IN</t>
  </si>
  <si>
    <t>0423014201</t>
  </si>
  <si>
    <t>MH46BG4519</t>
  </si>
  <si>
    <t>DD03M9573</t>
  </si>
  <si>
    <t>MH12SX7808</t>
  </si>
  <si>
    <t>IM2324101800</t>
  </si>
  <si>
    <t>SG2793444IN</t>
  </si>
  <si>
    <t>SG2787282IN</t>
  </si>
  <si>
    <t>202471D906</t>
  </si>
  <si>
    <t>SG2795151IN</t>
  </si>
  <si>
    <t>DRUMS</t>
  </si>
  <si>
    <t>MH46BU2021</t>
  </si>
  <si>
    <t>2309T0472</t>
  </si>
  <si>
    <t>MH04BU3111</t>
  </si>
  <si>
    <t>SG2754958IN</t>
  </si>
  <si>
    <t>2309T0465</t>
  </si>
  <si>
    <t>MH04FD8144</t>
  </si>
  <si>
    <t>SG2793449IN</t>
  </si>
  <si>
    <t>MH05AM1831</t>
  </si>
  <si>
    <t>0523012501</t>
  </si>
  <si>
    <t>SG2793450IN</t>
  </si>
  <si>
    <t>0423014301</t>
  </si>
  <si>
    <t>0423014901</t>
  </si>
  <si>
    <t>0423014801</t>
  </si>
  <si>
    <t>IM2324101815</t>
  </si>
  <si>
    <t>MH04KF8134</t>
  </si>
  <si>
    <t>IM2324101822</t>
  </si>
  <si>
    <t>IM2324101820</t>
  </si>
  <si>
    <t>MH48AY9436</t>
  </si>
  <si>
    <t>IM2324101804</t>
  </si>
  <si>
    <t>MH12UM9529</t>
  </si>
  <si>
    <t>IM2324101802</t>
  </si>
  <si>
    <t>MH47BL6953</t>
  </si>
  <si>
    <t>IM2324101803</t>
  </si>
  <si>
    <t>MH14KQ9910</t>
  </si>
  <si>
    <t>IM2324101819</t>
  </si>
  <si>
    <t>SG2779938IN</t>
  </si>
  <si>
    <t>0523011501</t>
  </si>
  <si>
    <t>0523011401</t>
  </si>
  <si>
    <t>IM2324101821</t>
  </si>
  <si>
    <t>30MT</t>
  </si>
  <si>
    <t>MH05AM0765</t>
  </si>
  <si>
    <t>IM2324101825</t>
  </si>
  <si>
    <t xml:space="preserve">123067D554 </t>
  </si>
  <si>
    <t>10MT</t>
  </si>
  <si>
    <t>GJ31T6685</t>
  </si>
  <si>
    <t>IM2324101841</t>
  </si>
  <si>
    <t>UTTAR PRADESH</t>
  </si>
  <si>
    <t>RJ40GA4935</t>
  </si>
  <si>
    <t>IM2324101845</t>
  </si>
  <si>
    <t>RJ14GQ0303</t>
  </si>
  <si>
    <t>IM2324101848</t>
  </si>
  <si>
    <t>IM2324101855</t>
  </si>
  <si>
    <t>RJ14GP7667</t>
  </si>
  <si>
    <t>IM2324101851</t>
  </si>
  <si>
    <t>KA563257</t>
  </si>
  <si>
    <t>SG2809686IN</t>
  </si>
  <si>
    <t>104002D021</t>
  </si>
  <si>
    <t>SG2809682IN</t>
  </si>
  <si>
    <t>210497D026</t>
  </si>
  <si>
    <t>SG2760974IN</t>
  </si>
  <si>
    <t>SG2809689IN</t>
  </si>
  <si>
    <t>210374D084</t>
  </si>
  <si>
    <t>210328D556</t>
  </si>
  <si>
    <t>210413D244</t>
  </si>
  <si>
    <t>210408D688</t>
  </si>
  <si>
    <t>202477D627</t>
  </si>
  <si>
    <t>210513D254</t>
  </si>
  <si>
    <t>MH46BM9604</t>
  </si>
  <si>
    <t>224924D307</t>
  </si>
  <si>
    <t>5210451</t>
  </si>
  <si>
    <t>IM2324101862</t>
  </si>
  <si>
    <t>IM2324101868</t>
  </si>
  <si>
    <t>KA563439</t>
  </si>
  <si>
    <t>IM2324101863</t>
  </si>
  <si>
    <t>0423014101</t>
  </si>
  <si>
    <t>IM2324101866</t>
  </si>
  <si>
    <t>25MT</t>
  </si>
  <si>
    <t>RJ14GP4968</t>
  </si>
  <si>
    <t>123089D497</t>
  </si>
  <si>
    <t>SG28097676IN</t>
  </si>
  <si>
    <t>123092D472</t>
  </si>
  <si>
    <t>123090D595</t>
  </si>
  <si>
    <t>SG2809681IN</t>
  </si>
  <si>
    <t>103018D729</t>
  </si>
  <si>
    <t>210509D784</t>
  </si>
  <si>
    <t>DISPATCH DATE</t>
  </si>
  <si>
    <t>UOM</t>
  </si>
  <si>
    <t>UNIT WT</t>
  </si>
  <si>
    <t>DISPATCH QTY</t>
  </si>
  <si>
    <t>TOTAL WT</t>
  </si>
  <si>
    <t>TRANSPORTER</t>
  </si>
  <si>
    <t>DRIVER CONTACT NO.</t>
  </si>
  <si>
    <t>SEAL NO.</t>
  </si>
  <si>
    <t>KGS</t>
  </si>
  <si>
    <t>NA</t>
  </si>
  <si>
    <t>SG2809671IN</t>
  </si>
  <si>
    <t>210525D168</t>
  </si>
  <si>
    <t>SG2760978IN</t>
  </si>
  <si>
    <t>123088D725</t>
  </si>
  <si>
    <t>123087D637</t>
  </si>
  <si>
    <t>210521D727</t>
  </si>
  <si>
    <t>210529D640</t>
  </si>
  <si>
    <t>IM2324101874</t>
  </si>
  <si>
    <t>IM2324101865</t>
  </si>
  <si>
    <t>IM2324101870</t>
  </si>
  <si>
    <t>IM2324101872</t>
  </si>
  <si>
    <t>MH48CB8931</t>
  </si>
  <si>
    <t>SG2793443IN</t>
  </si>
  <si>
    <t>0523012001</t>
  </si>
  <si>
    <t>MH46F5270</t>
  </si>
  <si>
    <t>MH46BF5270</t>
  </si>
  <si>
    <t>SG2785071IN</t>
  </si>
  <si>
    <t>MH46BF3031</t>
  </si>
  <si>
    <t>SG2809670IN</t>
  </si>
  <si>
    <t>MH06AQ8049</t>
  </si>
  <si>
    <t>IM2324101890</t>
  </si>
  <si>
    <t>IM2324101888</t>
  </si>
  <si>
    <t>IM2324101891</t>
  </si>
  <si>
    <t>IM2324101903</t>
  </si>
  <si>
    <t>DD01J9092</t>
  </si>
  <si>
    <t>IM2324101892</t>
  </si>
  <si>
    <t>RJ11GB0819</t>
  </si>
  <si>
    <t>IM2324101904</t>
  </si>
  <si>
    <t>RJ27GE7577</t>
  </si>
  <si>
    <t>IM2324101895</t>
  </si>
  <si>
    <t>MH48BM7593</t>
  </si>
  <si>
    <t>4909536738 </t>
  </si>
  <si>
    <t>4909536860 </t>
  </si>
  <si>
    <t>IM2324101907</t>
  </si>
  <si>
    <t>VEER IMPEX (MAHARASHTRA)</t>
  </si>
  <si>
    <t>DN09V9823</t>
  </si>
  <si>
    <t>SG2809680IN</t>
  </si>
  <si>
    <t>103022D376</t>
  </si>
  <si>
    <t>IM2324101908</t>
  </si>
  <si>
    <t>RJ14GK5922</t>
  </si>
  <si>
    <t>SG2767011IN</t>
  </si>
  <si>
    <t>103019D168</t>
  </si>
  <si>
    <t>IM2324101914</t>
  </si>
  <si>
    <t>IM2324101897</t>
  </si>
  <si>
    <t>IM2324101919</t>
  </si>
  <si>
    <t>IM2324101915</t>
  </si>
  <si>
    <t>HR55AF7306</t>
  </si>
  <si>
    <t>IM2324101929</t>
  </si>
  <si>
    <t>THANE</t>
  </si>
  <si>
    <t>IM2324101935</t>
  </si>
  <si>
    <t>MH04GR9955</t>
  </si>
  <si>
    <t>IM2324101930</t>
  </si>
  <si>
    <t>MH04HS1096</t>
  </si>
  <si>
    <t>IM2324101931</t>
  </si>
  <si>
    <t>IM2324101936</t>
  </si>
  <si>
    <t>MH03CV0224</t>
  </si>
  <si>
    <t>SG2809690IN</t>
  </si>
  <si>
    <t>210455D595</t>
  </si>
  <si>
    <t>IM2324101958</t>
  </si>
  <si>
    <t>IM2324101955</t>
  </si>
  <si>
    <t>IM2324101961</t>
  </si>
  <si>
    <t>GJ10TX1119</t>
  </si>
  <si>
    <t>IM2324101962</t>
  </si>
  <si>
    <t>RJ40GA0976</t>
  </si>
  <si>
    <t>IM2324101965</t>
  </si>
  <si>
    <t>36 MT</t>
  </si>
  <si>
    <t>CG04MR7555</t>
  </si>
  <si>
    <t>IM2324101970</t>
  </si>
  <si>
    <t>PB30N5540</t>
  </si>
  <si>
    <t>IM2324101974</t>
  </si>
  <si>
    <t>IM2324101988</t>
  </si>
  <si>
    <t>RJ14GJ5616</t>
  </si>
  <si>
    <t>IM2324101960</t>
  </si>
  <si>
    <t>CG07CL8113</t>
  </si>
  <si>
    <t>IM2324101956</t>
  </si>
  <si>
    <t>IM2324101973</t>
  </si>
  <si>
    <t>MH14LB2460</t>
  </si>
  <si>
    <t>IM2324101976</t>
  </si>
  <si>
    <t>MH04GF1033</t>
  </si>
  <si>
    <t>IM2324101982</t>
  </si>
  <si>
    <t>IM2324101981</t>
  </si>
  <si>
    <t>IM2324101980</t>
  </si>
  <si>
    <t>IM2324101971</t>
  </si>
  <si>
    <t>IM2324101950</t>
  </si>
  <si>
    <t>MONTELUR</t>
  </si>
  <si>
    <t>EXPORT</t>
  </si>
  <si>
    <t>40 "</t>
  </si>
  <si>
    <t>S. K. ENTERPRISES</t>
  </si>
  <si>
    <t>IM2324101969</t>
  </si>
  <si>
    <t>SG2809691IN</t>
  </si>
  <si>
    <t>210467D906</t>
  </si>
  <si>
    <t>210472D627</t>
  </si>
  <si>
    <t>IM2324101990</t>
  </si>
  <si>
    <t>RJ29GB1943</t>
  </si>
  <si>
    <t>IM2324101992</t>
  </si>
  <si>
    <t>CG07CL3359</t>
  </si>
  <si>
    <t>IM2324101996</t>
  </si>
  <si>
    <t>GJ10TX3646</t>
  </si>
  <si>
    <t>IM2324101972</t>
  </si>
  <si>
    <t>MH04KU8776</t>
  </si>
  <si>
    <t>IM2324101999</t>
  </si>
  <si>
    <t>MH16AE8314</t>
  </si>
  <si>
    <t>IM2324101998</t>
  </si>
  <si>
    <t>RJ14GN7328</t>
  </si>
  <si>
    <t>SG2828425IN</t>
  </si>
  <si>
    <t>210564D560</t>
  </si>
  <si>
    <t>210563D374</t>
  </si>
  <si>
    <t>SG2809672IN</t>
  </si>
  <si>
    <t>MH46CC0515</t>
  </si>
  <si>
    <t>210532D186</t>
  </si>
  <si>
    <t>MH46AR7533</t>
  </si>
  <si>
    <t>SG2842733IN</t>
  </si>
  <si>
    <t>210604D901</t>
  </si>
  <si>
    <t>IM2324102005</t>
  </si>
  <si>
    <t>DD01F9461</t>
  </si>
  <si>
    <t>IM2324102006</t>
  </si>
  <si>
    <t>GJ15YY8849</t>
  </si>
  <si>
    <t>IM2324102010</t>
  </si>
  <si>
    <t>IM2324102011</t>
  </si>
  <si>
    <t>IM2324102012</t>
  </si>
  <si>
    <t>IM2324102013</t>
  </si>
  <si>
    <t>GJ10TX3560</t>
  </si>
  <si>
    <t>IM2324102014</t>
  </si>
  <si>
    <t>MH48BM5086</t>
  </si>
  <si>
    <t xml:space="preserve">SG2809674IN </t>
  </si>
  <si>
    <t>210544D419</t>
  </si>
  <si>
    <t>210549D376</t>
  </si>
  <si>
    <t>MH04FS9770</t>
  </si>
  <si>
    <t>SG2809677IN</t>
  </si>
  <si>
    <t>123091D340</t>
  </si>
  <si>
    <t>MH43U0630</t>
  </si>
  <si>
    <t>103026D560</t>
  </si>
  <si>
    <t>103020D186</t>
  </si>
  <si>
    <t>SG2842730IN</t>
  </si>
  <si>
    <t>SG2828447IN</t>
  </si>
  <si>
    <t>210588D863</t>
  </si>
  <si>
    <t>Delivery Challan</t>
  </si>
  <si>
    <t>AMBICA WAREHOUSING</t>
  </si>
  <si>
    <t>RICHLAND</t>
  </si>
  <si>
    <t>STO (LOCAL)</t>
  </si>
  <si>
    <t>IM2324102025</t>
  </si>
  <si>
    <t>IM2324102020</t>
  </si>
  <si>
    <t>MH02FX5192</t>
  </si>
  <si>
    <t>IM2324102021</t>
  </si>
  <si>
    <t>HR38W4949</t>
  </si>
  <si>
    <t>IM2324102019</t>
  </si>
  <si>
    <t>RJ27GE2035</t>
  </si>
  <si>
    <t>IM2324102026</t>
  </si>
  <si>
    <t>MH16AE3920</t>
  </si>
  <si>
    <t>SG28096851N</t>
  </si>
  <si>
    <t>223947D636</t>
  </si>
  <si>
    <t>210487D796</t>
  </si>
  <si>
    <t>SG2828426IN</t>
  </si>
  <si>
    <t>202567D048</t>
  </si>
  <si>
    <t>210581D048</t>
  </si>
  <si>
    <t>SG2809675IN</t>
  </si>
  <si>
    <t>210561D518</t>
  </si>
  <si>
    <t>MH46AR0445</t>
  </si>
  <si>
    <t>IM2324102033</t>
  </si>
  <si>
    <t>GJ09Y9187</t>
  </si>
  <si>
    <t>SG2809687IN</t>
  </si>
  <si>
    <t>104008D518</t>
  </si>
  <si>
    <t>104006D640</t>
  </si>
  <si>
    <t>SG2842729IN</t>
  </si>
  <si>
    <t>202603D974</t>
  </si>
  <si>
    <t>SG2809688IN</t>
  </si>
  <si>
    <t>202580D142</t>
  </si>
  <si>
    <t>202587D863</t>
  </si>
  <si>
    <t>MH04HY7245</t>
  </si>
  <si>
    <t>MH06AC2836</t>
  </si>
  <si>
    <t>IM2324102035</t>
  </si>
  <si>
    <t>IM2324102037</t>
  </si>
  <si>
    <t>IM2324102038</t>
  </si>
  <si>
    <t>MH14KA9988</t>
  </si>
  <si>
    <t>IM2324102036</t>
  </si>
  <si>
    <t>MH04EX7285</t>
  </si>
  <si>
    <t>IM2324102040</t>
  </si>
  <si>
    <t>CG07CM8614</t>
  </si>
  <si>
    <t>IM2324102046</t>
  </si>
  <si>
    <t>SG2793445IN</t>
  </si>
  <si>
    <t>0523013601</t>
  </si>
  <si>
    <t>IM2324102044</t>
  </si>
  <si>
    <t>MH48BM3819</t>
  </si>
  <si>
    <t>IM2324102058</t>
  </si>
  <si>
    <t>SG2828427IN</t>
  </si>
  <si>
    <t>MH46CK5233</t>
  </si>
  <si>
    <t>DATE: 12-12-2023</t>
  </si>
  <si>
    <t>WMS GRN NO: 379 TO 382</t>
  </si>
  <si>
    <t>IM2324102049</t>
  </si>
  <si>
    <t>MH12TV7808</t>
  </si>
  <si>
    <t>IM2324102059</t>
  </si>
  <si>
    <t>RJ14GL6199</t>
  </si>
  <si>
    <t>IM2324102053</t>
  </si>
  <si>
    <t>MH04KU3543</t>
  </si>
  <si>
    <t xml:space="preserve">  </t>
  </si>
  <si>
    <t>IM2324102060</t>
  </si>
  <si>
    <t>IM2324102064</t>
  </si>
  <si>
    <t>MH48AY8390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</si>
</sst>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[$-F400]h:mm:ss\ AM/PM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u/>
      <sz val="11"/>
      <color theme="5" tint="0.7999816888943144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20376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</cellStyleXfs>
  <cellXfs count="12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/>
    </xf>
    <xf numFmtId="14" fontId="2" fillId="3" borderId="1" xfId="2" applyNumberFormat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 wrapText="1"/>
    </xf>
    <xf numFmtId="164" fontId="2" fillId="3" borderId="1" xfId="2" applyNumberFormat="1" applyFont="1" applyFill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" fontId="1" fillId="4" borderId="1" xfId="4" applyNumberFormat="1" applyFill="1" applyBorder="1" applyAlignment="1">
      <alignment horizontal="center" vertical="center"/>
    </xf>
    <xf numFmtId="1" fontId="5" fillId="4" borderId="1" xfId="3" applyNumberFormat="1" applyFont="1" applyFill="1" applyBorder="1" applyAlignment="1">
      <alignment horizontal="center" vertical="center"/>
    </xf>
    <xf numFmtId="1" fontId="1" fillId="0" borderId="0" xfId="0" applyNumberFormat="1" applyFont="1"/>
    <xf numFmtId="22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22" fontId="10" fillId="0" borderId="1" xfId="0" applyNumberFormat="1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3" fillId="2" borderId="2" xfId="3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1" fontId="3" fillId="2" borderId="2" xfId="3" applyNumberFormat="1" applyFont="1" applyFill="1" applyBorder="1" applyAlignment="1">
      <alignment horizontal="center" vertical="center"/>
    </xf>
    <xf numFmtId="1" fontId="3" fillId="2" borderId="3" xfId="3" applyNumberFormat="1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1" fontId="3" fillId="6" borderId="1" xfId="3" applyNumberFormat="1" applyFont="1" applyFill="1" applyBorder="1" applyAlignment="1">
      <alignment horizontal="center" vertical="center"/>
    </xf>
    <xf numFmtId="1" fontId="5" fillId="7" borderId="1" xfId="3" applyNumberFormat="1" applyFont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1" xfId="0" applyFont="1" applyBorder="1"/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1" fillId="0" borderId="1" xfId="0" quotePrefix="1" applyFont="1" applyBorder="1"/>
    <xf numFmtId="0" fontId="12" fillId="0" borderId="0" xfId="0" applyFont="1"/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7" fontId="5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2" fontId="1" fillId="0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/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5" fillId="0" borderId="5" xfId="3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1" fontId="5" fillId="4" borderId="0" xfId="3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0" fillId="0" borderId="1" xfId="0" quotePrefix="1" applyFont="1" applyFill="1" applyBorder="1" applyAlignment="1">
      <alignment horizontal="center"/>
    </xf>
    <xf numFmtId="0" fontId="0" fillId="0" borderId="1" xfId="0" quotePrefix="1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quotePrefix="1" applyFont="1" applyBorder="1" applyAlignment="1">
      <alignment horizontal="center"/>
    </xf>
    <xf numFmtId="0" fontId="0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2" fillId="0" borderId="1" xfId="0" applyFont="1" applyBorder="1"/>
    <xf numFmtId="0" fontId="5" fillId="0" borderId="1" xfId="3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/>
    <xf numFmtId="0" fontId="5" fillId="0" borderId="5" xfId="0" quotePrefix="1" applyFon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/>
    </xf>
    <xf numFmtId="1" fontId="0" fillId="0" borderId="6" xfId="0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5"/>
    <cellStyle name="Normal" xfId="0" builtinId="0"/>
    <cellStyle name="Normal 4" xfId="3"/>
    <cellStyle name="Normal 4 2" xfId="4"/>
    <cellStyle name="Normal 4 3" xfId="6"/>
    <cellStyle name="Normal_sal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1937/Downloads/Material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</sheetNames>
    <sheetDataSet>
      <sheetData sheetId="0" refreshError="1">
        <row r="1">
          <cell r="A1" t="str">
            <v>MATERIAL CODE</v>
          </cell>
          <cell r="B1" t="str">
            <v>MATERIAL DESCRIPTION</v>
          </cell>
        </row>
        <row r="2">
          <cell r="A2">
            <v>5200041</v>
          </cell>
          <cell r="B2" t="str">
            <v>WANNATE-MDI-100-17RdDr-235KG-518LB</v>
          </cell>
        </row>
        <row r="3">
          <cell r="A3">
            <v>5200079</v>
          </cell>
          <cell r="B3" t="str">
            <v>WANNATE-MDI-50F-SchIBC-1200KG-2646LB</v>
          </cell>
        </row>
        <row r="4">
          <cell r="A4">
            <v>5200081</v>
          </cell>
          <cell r="B4" t="str">
            <v>WANNATE-MDI-50F-17RdDr-235KG</v>
          </cell>
        </row>
        <row r="5">
          <cell r="A5">
            <v>5200178</v>
          </cell>
          <cell r="B5" t="str">
            <v>WANNATE-PM-700-17 RedDr-250KG</v>
          </cell>
        </row>
        <row r="6">
          <cell r="A6">
            <v>5200186</v>
          </cell>
          <cell r="B6" t="str">
            <v>WANNATE-PM-2010-BULK</v>
          </cell>
        </row>
        <row r="7">
          <cell r="A7">
            <v>5200193</v>
          </cell>
          <cell r="B7" t="str">
            <v>WANNATE-PM-2010-17 RedDr-250KG</v>
          </cell>
        </row>
        <row r="8">
          <cell r="A8">
            <v>5200272</v>
          </cell>
          <cell r="B8" t="str">
            <v>WANNATE-TDI-80-17UNM CDr-250KG</v>
          </cell>
        </row>
        <row r="9">
          <cell r="A9">
            <v>5200292</v>
          </cell>
          <cell r="B9" t="str">
            <v>ONGRONAT-TDI-1100-Dr-250KG-551LB</v>
          </cell>
        </row>
        <row r="10">
          <cell r="A10">
            <v>5200315</v>
          </cell>
          <cell r="B10" t="str">
            <v>WANNATE-MDI-50-17RdDr-235KG-518LB</v>
          </cell>
        </row>
        <row r="11">
          <cell r="A11">
            <v>5200316</v>
          </cell>
          <cell r="B11" t="str">
            <v>WANNATE-PM-200-17 RedDr-250KG-551LB</v>
          </cell>
        </row>
        <row r="12">
          <cell r="A12">
            <v>5200399</v>
          </cell>
          <cell r="B12" t="str">
            <v>WANNATE-PM-8215-17RedCDr-250KG</v>
          </cell>
        </row>
        <row r="13">
          <cell r="A13">
            <v>5205265</v>
          </cell>
          <cell r="B13" t="str">
            <v>LLDPE-DFDA 7042-Premium-Bag-25KG</v>
          </cell>
        </row>
        <row r="14">
          <cell r="A14">
            <v>5205268</v>
          </cell>
          <cell r="B14" t="str">
            <v>LLDPE-DFDA 7047-Qualified-Bag-25KG</v>
          </cell>
        </row>
        <row r="15">
          <cell r="A15">
            <v>5205449</v>
          </cell>
          <cell r="B15" t="str">
            <v>PVC-WH1000F-Premium-Bag-25KG</v>
          </cell>
        </row>
        <row r="16">
          <cell r="A16">
            <v>5205473</v>
          </cell>
          <cell r="B16" t="str">
            <v>PVC-WH1300-Premium-Bag-25KG</v>
          </cell>
        </row>
        <row r="17">
          <cell r="A17">
            <v>5205497</v>
          </cell>
          <cell r="B17" t="str">
            <v>PVC-WH800-Premium-Bag-25KG</v>
          </cell>
        </row>
        <row r="18">
          <cell r="A18">
            <v>5210009</v>
          </cell>
          <cell r="B18" t="str">
            <v>WANTHANE-WHT-6232-Bag-25KG</v>
          </cell>
        </row>
        <row r="19">
          <cell r="A19">
            <v>5210021</v>
          </cell>
          <cell r="B19" t="str">
            <v>WANTHANE-WHT-6420-Bag-25KG</v>
          </cell>
        </row>
        <row r="20">
          <cell r="A20">
            <v>5210023</v>
          </cell>
          <cell r="B20" t="str">
            <v>WANTHANE-WHT-6430-Bag-25KG</v>
          </cell>
        </row>
        <row r="21">
          <cell r="A21">
            <v>5210162</v>
          </cell>
          <cell r="B21" t="str">
            <v>WANTHANE-WHT-1198E-Bag-25KG</v>
          </cell>
        </row>
        <row r="22">
          <cell r="A22">
            <v>5210395</v>
          </cell>
          <cell r="B22" t="str">
            <v>WANTHANE-WHT-8898-Bag-25KG</v>
          </cell>
        </row>
        <row r="23">
          <cell r="A23">
            <v>5210451</v>
          </cell>
          <cell r="B23" t="str">
            <v>WANTHANE-WHT-1180-Bag-25KG</v>
          </cell>
        </row>
        <row r="24">
          <cell r="A24">
            <v>5210455</v>
          </cell>
          <cell r="B24" t="str">
            <v>WANTHANE-WHT-1190G-Bag-25KG</v>
          </cell>
        </row>
        <row r="25">
          <cell r="A25">
            <v>5210933</v>
          </cell>
          <cell r="B25" t="str">
            <v>WANTHANE-WHT-3390-Bag-25KG</v>
          </cell>
        </row>
        <row r="26">
          <cell r="A26">
            <v>5210935</v>
          </cell>
          <cell r="B26" t="str">
            <v>WANTHANE-WHT-3395-Bag-25KG</v>
          </cell>
        </row>
        <row r="27">
          <cell r="A27">
            <v>5210999</v>
          </cell>
          <cell r="B27" t="str">
            <v>WANTHANE-WHT-8180RV-Bag-25KG</v>
          </cell>
        </row>
        <row r="28">
          <cell r="A28">
            <v>5211003</v>
          </cell>
          <cell r="B28" t="str">
            <v>WANTHANE-WHT-1570IC-Bag-25KG</v>
          </cell>
        </row>
        <row r="29">
          <cell r="A29">
            <v>5211004</v>
          </cell>
          <cell r="B29" t="str">
            <v>WANTHANE-WHT-1495RV-Bag-25KG</v>
          </cell>
        </row>
        <row r="30">
          <cell r="A30">
            <v>5211005</v>
          </cell>
          <cell r="B30" t="str">
            <v>WANTHANE-WHT-1495EC-Bag-25KG</v>
          </cell>
        </row>
        <row r="31">
          <cell r="A31">
            <v>5211007</v>
          </cell>
          <cell r="B31" t="str">
            <v>WANTHANE-WHT-1295-Bag-25KG</v>
          </cell>
        </row>
        <row r="32">
          <cell r="A32">
            <v>5211011</v>
          </cell>
          <cell r="B32" t="str">
            <v>WANTHANE-WHT-1198IC-Bag-25KG</v>
          </cell>
        </row>
        <row r="33">
          <cell r="A33">
            <v>5211012</v>
          </cell>
          <cell r="B33" t="str">
            <v>WANTHANE-WHT-1195-Bag-25KG</v>
          </cell>
        </row>
        <row r="34">
          <cell r="A34">
            <v>5211013</v>
          </cell>
          <cell r="B34" t="str">
            <v>WANTHANE-WHT-1190-Bag-25KG-55LB</v>
          </cell>
        </row>
        <row r="35">
          <cell r="A35">
            <v>5211014</v>
          </cell>
          <cell r="B35" t="str">
            <v>WANTHANE-WHT-1185EC-Bag-25KG</v>
          </cell>
        </row>
        <row r="36">
          <cell r="A36">
            <v>5212249</v>
          </cell>
          <cell r="B36" t="str">
            <v>WANTHANE-WHT-3380-Bag-25KG</v>
          </cell>
        </row>
        <row r="37">
          <cell r="A37">
            <v>5212252</v>
          </cell>
          <cell r="B37" t="str">
            <v>WANTHANE-WHT-3390U1-Bag-25KG</v>
          </cell>
        </row>
        <row r="38">
          <cell r="A38">
            <v>5212256</v>
          </cell>
          <cell r="B38" t="str">
            <v>WANTHANE-WHT-3395U1-Bag-25KG</v>
          </cell>
        </row>
        <row r="39">
          <cell r="A39">
            <v>5212259</v>
          </cell>
          <cell r="B39" t="str">
            <v>WANTHANE-WHT-3385-Bag-25KG</v>
          </cell>
        </row>
        <row r="40">
          <cell r="A40">
            <v>5212263</v>
          </cell>
          <cell r="B40" t="str">
            <v>WANTHANE-WHT-3690-Bag-25KG</v>
          </cell>
        </row>
        <row r="41">
          <cell r="A41">
            <v>5212527</v>
          </cell>
          <cell r="B41" t="str">
            <v>WANTHANE-WHT-F1390-XL-Bag-25KG</v>
          </cell>
        </row>
        <row r="42">
          <cell r="A42">
            <v>5215115</v>
          </cell>
          <cell r="B42" t="str">
            <v>WANNATE-HDI-17UNM BuDr-200KG-441LB</v>
          </cell>
        </row>
        <row r="43">
          <cell r="A43">
            <v>5215178</v>
          </cell>
          <cell r="B43" t="str">
            <v>WANNATE-HB-75MX-17UNM BuDr-215KG</v>
          </cell>
        </row>
        <row r="44">
          <cell r="A44">
            <v>5215193</v>
          </cell>
          <cell r="B44" t="str">
            <v>WANNATE-HT-100-17 RedDr-220KG-485LB</v>
          </cell>
        </row>
        <row r="45">
          <cell r="A45">
            <v>5215347</v>
          </cell>
          <cell r="B45" t="str">
            <v>WANNATE-HT-90BS-17UNM BuDr-220KG-485LB</v>
          </cell>
        </row>
        <row r="46">
          <cell r="A46">
            <v>5215436</v>
          </cell>
          <cell r="B46" t="str">
            <v>WANNATE-TL-75E-17UNM RedDr-225KG-496LB</v>
          </cell>
        </row>
        <row r="47">
          <cell r="A47">
            <v>5215450</v>
          </cell>
          <cell r="B47" t="str">
            <v>WANNATE-TT-150B-17UNM RedDr-215KG</v>
          </cell>
        </row>
        <row r="48">
          <cell r="A48">
            <v>5221591</v>
          </cell>
          <cell r="B48" t="str">
            <v>ARCHSOL-8408-BluPlcODr-160KG</v>
          </cell>
        </row>
        <row r="49">
          <cell r="A49">
            <v>5221597</v>
          </cell>
          <cell r="B49" t="str">
            <v>LACPER-4211-BluPlcODr-160KG</v>
          </cell>
        </row>
        <row r="50">
          <cell r="A50">
            <v>5221616</v>
          </cell>
          <cell r="B50" t="str">
            <v>ANTKOTE-2033-BluPlcODr-160KG</v>
          </cell>
        </row>
        <row r="51">
          <cell r="A51">
            <v>5221688</v>
          </cell>
          <cell r="B51" t="str">
            <v>ADWEL-1630B-BluPlcODr-160KG</v>
          </cell>
        </row>
        <row r="52">
          <cell r="A52">
            <v>5221689</v>
          </cell>
          <cell r="B52" t="str">
            <v>ADWEL-1637-BluPlcODr-160KG</v>
          </cell>
        </row>
        <row r="53">
          <cell r="A53">
            <v>5221698</v>
          </cell>
          <cell r="B53" t="str">
            <v>TEKSPRO-7351-BluPlcODr-160KG-353LB</v>
          </cell>
        </row>
        <row r="54">
          <cell r="A54">
            <v>5221918</v>
          </cell>
          <cell r="B54" t="str">
            <v>LACPER-4220-BluPlcODr-160KG</v>
          </cell>
        </row>
        <row r="55">
          <cell r="A55">
            <v>5222572</v>
          </cell>
          <cell r="B55" t="str">
            <v>AQUOLIN-166-60L UNM RedDr-60KG</v>
          </cell>
        </row>
        <row r="56">
          <cell r="A56">
            <v>5222631</v>
          </cell>
          <cell r="B56" t="str">
            <v>LACPER-4507-WitPlcBot-1KG</v>
          </cell>
        </row>
        <row r="57">
          <cell r="A57">
            <v>5222762</v>
          </cell>
          <cell r="B57" t="str">
            <v>AQUOLIN-161-18KG BluDr-225KG</v>
          </cell>
        </row>
        <row r="58">
          <cell r="A58">
            <v>5222780</v>
          </cell>
          <cell r="B58" t="str">
            <v>AQUOLIN-268-18KG BluDr-225KG</v>
          </cell>
        </row>
        <row r="59">
          <cell r="A59">
            <v>5230055</v>
          </cell>
          <cell r="B59" t="str">
            <v>WANNATE-PM-8228-NPS IBC-1134KG-2500LB</v>
          </cell>
        </row>
        <row r="60">
          <cell r="A60">
            <v>5230073</v>
          </cell>
          <cell r="B60" t="str">
            <v>WANNATE-PM-8223-17RedCDr-250KG</v>
          </cell>
        </row>
        <row r="61">
          <cell r="A61">
            <v>5230087</v>
          </cell>
          <cell r="B61" t="str">
            <v>WANNATE-PM-8219-17RedCDr-250KG</v>
          </cell>
        </row>
        <row r="62">
          <cell r="A62">
            <v>5230097</v>
          </cell>
          <cell r="B62" t="str">
            <v>WANNATE-PM-8214-17RedCDr-250KG</v>
          </cell>
        </row>
        <row r="63">
          <cell r="A63">
            <v>5230101</v>
          </cell>
          <cell r="B63" t="str">
            <v>WANNATE-PM-8212-17RedCDr-250KG</v>
          </cell>
        </row>
        <row r="64">
          <cell r="A64">
            <v>5230108</v>
          </cell>
          <cell r="B64" t="str">
            <v>WANNATE-PM-8135-17RedCDr-240KG</v>
          </cell>
        </row>
        <row r="65">
          <cell r="A65">
            <v>5230177</v>
          </cell>
          <cell r="B65" t="str">
            <v>WANALYST-KC152-22L BluCDrum-20KG</v>
          </cell>
        </row>
        <row r="66">
          <cell r="A66">
            <v>5230206</v>
          </cell>
          <cell r="B66" t="str">
            <v>WANEFLEX-AL579A-17GreCDr-200KG</v>
          </cell>
        </row>
        <row r="67">
          <cell r="A67">
            <v>5230209</v>
          </cell>
          <cell r="B67" t="str">
            <v>WANNATE-AL1579B-17RedCDr-240KG</v>
          </cell>
        </row>
        <row r="68">
          <cell r="A68">
            <v>5230386</v>
          </cell>
          <cell r="B68" t="str">
            <v>WANEFLEX-621E-17GreCDr-200KG</v>
          </cell>
        </row>
        <row r="69">
          <cell r="A69">
            <v>5230721</v>
          </cell>
          <cell r="B69" t="str">
            <v>WANNATE-8661-17RedCDr-225KG</v>
          </cell>
        </row>
        <row r="70">
          <cell r="A70">
            <v>5230725</v>
          </cell>
          <cell r="B70" t="str">
            <v>WANNATE-8629-17RedCDr-240KG</v>
          </cell>
        </row>
        <row r="71">
          <cell r="A71">
            <v>5230730</v>
          </cell>
          <cell r="B71" t="str">
            <v>WANNATE-8626-17RedCDr-240KG</v>
          </cell>
        </row>
        <row r="72">
          <cell r="A72">
            <v>5230752</v>
          </cell>
          <cell r="B72" t="str">
            <v>WANNATE-8609-17RedCDr-225KG</v>
          </cell>
        </row>
        <row r="73">
          <cell r="A73">
            <v>5230755</v>
          </cell>
          <cell r="B73" t="str">
            <v>WANNATE-8605-17RedCDr-225KG</v>
          </cell>
        </row>
        <row r="74">
          <cell r="A74">
            <v>5230772</v>
          </cell>
          <cell r="B74" t="str">
            <v>WANNATE-8312-17RedCDr-220KG-485LB</v>
          </cell>
        </row>
        <row r="75">
          <cell r="A75">
            <v>5230781</v>
          </cell>
          <cell r="B75" t="str">
            <v>WANNATE-8122-17RedCDr-240KG</v>
          </cell>
        </row>
        <row r="76">
          <cell r="A76">
            <v>5230804</v>
          </cell>
          <cell r="B76" t="str">
            <v>WANNATE-8029-22L BluCDrum-20KG</v>
          </cell>
        </row>
        <row r="77">
          <cell r="A77">
            <v>5230831</v>
          </cell>
          <cell r="B77" t="str">
            <v>WANNATE-8018-17RedCDr-240KG</v>
          </cell>
        </row>
        <row r="78">
          <cell r="A78">
            <v>5230874</v>
          </cell>
          <cell r="B78" t="str">
            <v>WANNATE-7080-17UNM CDr-250KG</v>
          </cell>
        </row>
        <row r="79">
          <cell r="A79">
            <v>5230886</v>
          </cell>
          <cell r="B79" t="str">
            <v>WANNATE-7025-17UNM CDr-250KG</v>
          </cell>
        </row>
        <row r="80">
          <cell r="A80">
            <v>5231036</v>
          </cell>
          <cell r="B80" t="str">
            <v>WANELAST-825-17GreCDr-200KG</v>
          </cell>
        </row>
        <row r="81">
          <cell r="A81">
            <v>5231037</v>
          </cell>
          <cell r="B81" t="str">
            <v>WANELAST-825-22L BluCDrum-20KG</v>
          </cell>
        </row>
        <row r="82">
          <cell r="A82">
            <v>5231038</v>
          </cell>
          <cell r="B82" t="str">
            <v>WANELAST-821-17GreCDr-200KG</v>
          </cell>
        </row>
        <row r="83">
          <cell r="A83">
            <v>5231039</v>
          </cell>
          <cell r="B83" t="str">
            <v>WANELAST-820-17GreCDr-200KG</v>
          </cell>
        </row>
        <row r="84">
          <cell r="A84">
            <v>5231049</v>
          </cell>
          <cell r="B84" t="str">
            <v>WANEFLEX-635-17GreCDr-200KG</v>
          </cell>
        </row>
        <row r="85">
          <cell r="A85">
            <v>5231052</v>
          </cell>
          <cell r="B85" t="str">
            <v>WANEFLEX-626-17GreCDr-200KG</v>
          </cell>
        </row>
        <row r="86">
          <cell r="A86">
            <v>5231067</v>
          </cell>
          <cell r="B86" t="str">
            <v>WANEFLEX-524-17GreCDr-200KG</v>
          </cell>
        </row>
        <row r="87">
          <cell r="A87">
            <v>5231070</v>
          </cell>
          <cell r="B87" t="str">
            <v>WANEFLEX-379-17GreCDr-200KG</v>
          </cell>
        </row>
        <row r="88">
          <cell r="A88">
            <v>5231256</v>
          </cell>
          <cell r="B88" t="str">
            <v>WANEFLEX-513E-19 GrnDr-200KG</v>
          </cell>
        </row>
        <row r="89">
          <cell r="A89">
            <v>5231259</v>
          </cell>
          <cell r="B89" t="str">
            <v>WANEFLEX-589N-19 GrnDr-200KG</v>
          </cell>
        </row>
        <row r="90">
          <cell r="A90">
            <v>5231320</v>
          </cell>
          <cell r="B90" t="str">
            <v>WANEFLEX-626-19 GrnDr-200KG</v>
          </cell>
        </row>
        <row r="91">
          <cell r="A91">
            <v>5231523</v>
          </cell>
          <cell r="B91" t="str">
            <v>WANEFLEX-693G-19 GrnDr-200KG</v>
          </cell>
        </row>
        <row r="92">
          <cell r="A92">
            <v>5231813</v>
          </cell>
          <cell r="B92" t="str">
            <v>WANELAST-823-17GreCDr-200KG</v>
          </cell>
        </row>
        <row r="93">
          <cell r="A93">
            <v>5231871</v>
          </cell>
          <cell r="B93" t="str">
            <v>WANNATE-8605-22L BluCDrum-20KG-Sample</v>
          </cell>
        </row>
        <row r="94">
          <cell r="A94">
            <v>5241145</v>
          </cell>
          <cell r="B94" t="str">
            <v>WANEFOAM-RCP6051-201-BULK</v>
          </cell>
        </row>
        <row r="95">
          <cell r="A95">
            <v>5241146</v>
          </cell>
          <cell r="B95" t="str">
            <v>WANEFOAM-RCP6051-301-BVIBC-1000KG</v>
          </cell>
        </row>
        <row r="96">
          <cell r="A96">
            <v>5241147</v>
          </cell>
          <cell r="B96" t="str">
            <v>WANEFOAM-RCP6051-301-BULK</v>
          </cell>
        </row>
        <row r="97">
          <cell r="A97">
            <v>5241358</v>
          </cell>
          <cell r="B97" t="str">
            <v>WANEFOAM-RCP6241-101-BVIBC-1000KG</v>
          </cell>
        </row>
        <row r="98">
          <cell r="A98">
            <v>5241359</v>
          </cell>
          <cell r="B98" t="str">
            <v>WANEFOAM-RCP6241-101-BULK</v>
          </cell>
        </row>
        <row r="99">
          <cell r="A99">
            <v>5242227</v>
          </cell>
          <cell r="B99" t="str">
            <v>WANOL-R8240-17GrnDr-210KG</v>
          </cell>
        </row>
        <row r="100">
          <cell r="A100">
            <v>5242558</v>
          </cell>
          <cell r="B100" t="str">
            <v>WANEFOAM-RCB5080-101-23 BluODrum-175KG</v>
          </cell>
        </row>
        <row r="101">
          <cell r="A101">
            <v>5242569</v>
          </cell>
          <cell r="B101" t="str">
            <v>WANEFOAM-RCM6347-101-BVIBC-1000KG</v>
          </cell>
        </row>
        <row r="102">
          <cell r="A102">
            <v>5242570</v>
          </cell>
          <cell r="B102" t="str">
            <v>WANEFOAM-RCP1099-101-17GrnDr-210KG</v>
          </cell>
        </row>
        <row r="103">
          <cell r="A103">
            <v>5242602</v>
          </cell>
          <cell r="B103" t="str">
            <v>WANEFOAM-RH1099-201-17GrnDr-210KG</v>
          </cell>
        </row>
        <row r="104">
          <cell r="A104">
            <v>5242603</v>
          </cell>
          <cell r="B104" t="str">
            <v>WANEFOAM-RH1099-203-17GrnDr-210KG</v>
          </cell>
        </row>
        <row r="105">
          <cell r="A105">
            <v>5243045</v>
          </cell>
          <cell r="B105" t="str">
            <v>WANOL-F3145P-LqdBg</v>
          </cell>
        </row>
        <row r="106">
          <cell r="A106">
            <v>5243469</v>
          </cell>
          <cell r="B106" t="str">
            <v>WANOL-F2140P-17GrnDr-200KG-441LB</v>
          </cell>
        </row>
        <row r="107">
          <cell r="A107">
            <v>5243470</v>
          </cell>
          <cell r="B107" t="str">
            <v>WANOL-POP2140Y-17GrnDr-200KG</v>
          </cell>
        </row>
        <row r="108">
          <cell r="A108">
            <v>5243473</v>
          </cell>
          <cell r="B108" t="str">
            <v>WANOL-F3145P-17GrnDr-200KG</v>
          </cell>
        </row>
        <row r="109">
          <cell r="A109">
            <v>5243476</v>
          </cell>
          <cell r="B109" t="str">
            <v>WANOL-F3160-17GrnDr-200KG</v>
          </cell>
        </row>
        <row r="110">
          <cell r="A110">
            <v>5243479</v>
          </cell>
          <cell r="B110" t="str">
            <v>WANOL-F3135-17GrnDr-200KG</v>
          </cell>
        </row>
        <row r="111">
          <cell r="A111">
            <v>5243480</v>
          </cell>
          <cell r="B111" t="str">
            <v>WANOL-F3156-17GrnDr-200KG-441LB</v>
          </cell>
        </row>
        <row r="112">
          <cell r="A112">
            <v>5243506</v>
          </cell>
          <cell r="B112" t="str">
            <v>WANOL-F3156D-17GrnDr-200KG</v>
          </cell>
        </row>
        <row r="113">
          <cell r="A113">
            <v>5243519</v>
          </cell>
          <cell r="B113" t="str">
            <v>WANOL-F3156D-LqdBg</v>
          </cell>
        </row>
        <row r="114">
          <cell r="A114">
            <v>5243520</v>
          </cell>
          <cell r="B114" t="str">
            <v>WANOL-F3156D-BULK</v>
          </cell>
        </row>
        <row r="115">
          <cell r="A115">
            <v>5300098</v>
          </cell>
          <cell r="B115" t="str">
            <v>WANTHANE-WHT-3398-Bag-25KG</v>
          </cell>
        </row>
        <row r="116">
          <cell r="A116">
            <v>5300459</v>
          </cell>
          <cell r="B116" t="str">
            <v>WANEFOAM-RHF1099-401-17GrnDr-210KG</v>
          </cell>
        </row>
        <row r="117">
          <cell r="A117">
            <v>5300460</v>
          </cell>
          <cell r="B117" t="str">
            <v>WANEFOAM-RHF1099-402-17GrnDr-210KG</v>
          </cell>
        </row>
        <row r="118">
          <cell r="A118">
            <v>5300558</v>
          </cell>
          <cell r="B118" t="str">
            <v>WANEFOAM-RH1128-101-17GrnDr-210KG</v>
          </cell>
        </row>
        <row r="119">
          <cell r="A119">
            <v>5300786</v>
          </cell>
          <cell r="B119" t="str">
            <v>WANEFOAM-RCP1099-102-21 GrnDr-210KG</v>
          </cell>
        </row>
        <row r="120">
          <cell r="A120">
            <v>5301356</v>
          </cell>
          <cell r="B120" t="str">
            <v>WANOL-F3150-17GrnDr-200KG</v>
          </cell>
        </row>
        <row r="121">
          <cell r="A121">
            <v>5302531</v>
          </cell>
          <cell r="B121" t="str">
            <v>WANEFOAM-RNP1099-601-17GrnDr-210KG</v>
          </cell>
        </row>
        <row r="122">
          <cell r="A122">
            <v>5302595</v>
          </cell>
          <cell r="B122" t="str">
            <v>WANEFOAM-RNP2168-601-21 GrnDr-210KG</v>
          </cell>
        </row>
        <row r="123">
          <cell r="A123">
            <v>5302847</v>
          </cell>
          <cell r="B123" t="str">
            <v>WANOL-F3145P-17GrnDr-210KG</v>
          </cell>
        </row>
        <row r="124">
          <cell r="A124">
            <v>5302866</v>
          </cell>
          <cell r="B124" t="str">
            <v>WANOL-F3156D-17GrnDr-210KG</v>
          </cell>
        </row>
        <row r="125">
          <cell r="A125">
            <v>5302870</v>
          </cell>
          <cell r="B125" t="str">
            <v>WANOL-F3160-17GrnDr-210KG</v>
          </cell>
        </row>
        <row r="126">
          <cell r="A126">
            <v>5302874</v>
          </cell>
          <cell r="B126" t="str">
            <v>WANOL-F3180-17GrnDr-210KG</v>
          </cell>
        </row>
        <row r="127">
          <cell r="A127">
            <v>5303107</v>
          </cell>
          <cell r="B127" t="str">
            <v>WANOL-C2140-17GrnDr-210KG</v>
          </cell>
        </row>
        <row r="128">
          <cell r="A128">
            <v>5303117</v>
          </cell>
          <cell r="B128" t="str">
            <v>WANOL-F3150-17GrnDr-210KG</v>
          </cell>
        </row>
        <row r="129">
          <cell r="A129">
            <v>5305031</v>
          </cell>
          <cell r="B129" t="str">
            <v>WANEFOAM-RCP6272-101-23 BluODrum-150KG</v>
          </cell>
        </row>
        <row r="130">
          <cell r="A130">
            <v>5305576</v>
          </cell>
          <cell r="B130" t="str">
            <v>WANEFLEX-621F-17GreCDr-200KG</v>
          </cell>
        </row>
        <row r="131">
          <cell r="A131">
            <v>5306311</v>
          </cell>
          <cell r="B131" t="str">
            <v>WANEFLEX-626G-17GreCDr-200KG</v>
          </cell>
        </row>
        <row r="132">
          <cell r="A132">
            <v>5306833</v>
          </cell>
          <cell r="B132" t="str">
            <v>WANEFOAM-RNP2199-101-BVIBC-1000KG</v>
          </cell>
        </row>
        <row r="133">
          <cell r="A133">
            <v>5306988</v>
          </cell>
          <cell r="B133" t="str">
            <v>WANEFLEX-511F-17GreCDr-200KG</v>
          </cell>
        </row>
        <row r="134">
          <cell r="A134">
            <v>5308476</v>
          </cell>
          <cell r="B134" t="str">
            <v>WANEFOAM-RCP6386-101-BULK</v>
          </cell>
        </row>
        <row r="135">
          <cell r="A135">
            <v>5308938</v>
          </cell>
          <cell r="B135" t="str">
            <v>WANALYST-KC135-Dr-5KG</v>
          </cell>
        </row>
        <row r="136">
          <cell r="A136">
            <v>5308939</v>
          </cell>
          <cell r="B136" t="str">
            <v>WANALYST-200T-Dr-5KG</v>
          </cell>
        </row>
        <row r="137">
          <cell r="A137">
            <v>5308940</v>
          </cell>
          <cell r="B137" t="str">
            <v>WANALYST-200O-Dr-10KG</v>
          </cell>
        </row>
        <row r="138">
          <cell r="A138">
            <v>5308941</v>
          </cell>
          <cell r="B138" t="str">
            <v>WANALYST-193DC-Dr-21KG</v>
          </cell>
        </row>
        <row r="139">
          <cell r="A139">
            <v>5308942</v>
          </cell>
          <cell r="B139" t="str">
            <v>WANALYST-180M-Dr-23KG</v>
          </cell>
        </row>
        <row r="140">
          <cell r="A140">
            <v>5308943</v>
          </cell>
          <cell r="B140" t="str">
            <v>WANALYST-180M-Dr-5KG</v>
          </cell>
        </row>
        <row r="141">
          <cell r="A141">
            <v>5308944</v>
          </cell>
          <cell r="B141" t="str">
            <v>WANALYST-170E-Dr-8.5KG</v>
          </cell>
        </row>
        <row r="142">
          <cell r="A142">
            <v>5308945</v>
          </cell>
          <cell r="B142" t="str">
            <v>WANALYST-160G-Dr-25KG</v>
          </cell>
        </row>
        <row r="143">
          <cell r="A143">
            <v>5308946</v>
          </cell>
          <cell r="B143" t="str">
            <v>WANALYST-160G-Dr-12KG</v>
          </cell>
        </row>
        <row r="144">
          <cell r="A144">
            <v>5308947</v>
          </cell>
          <cell r="B144" t="str">
            <v>WANALYST-150D-Dr-5KG</v>
          </cell>
        </row>
        <row r="145">
          <cell r="A145">
            <v>5308948</v>
          </cell>
          <cell r="B145" t="str">
            <v>WANALYST-150D-Dr-35KG</v>
          </cell>
        </row>
        <row r="146">
          <cell r="A146">
            <v>5308949</v>
          </cell>
          <cell r="B146" t="str">
            <v>WANALYST-150D-Dr-2KG</v>
          </cell>
        </row>
        <row r="147">
          <cell r="A147">
            <v>5308950</v>
          </cell>
          <cell r="B147" t="str">
            <v>WANALYST-140B-Dr-20KG</v>
          </cell>
        </row>
        <row r="148">
          <cell r="A148">
            <v>5308974</v>
          </cell>
          <cell r="B148" t="str">
            <v>LACPER-4401-Dr-4KG</v>
          </cell>
        </row>
        <row r="149">
          <cell r="A149">
            <v>5309040</v>
          </cell>
          <cell r="B149" t="str">
            <v>ONGRONAT-TDI-1080-Dr-250KG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L349"/>
  <sheetViews>
    <sheetView tabSelected="1" topLeftCell="J1" zoomScaleNormal="100" workbookViewId="0">
      <selection activeCell="CI331" sqref="CI331"/>
    </sheetView>
  </sheetViews>
  <sheetFormatPr defaultColWidth="20.85546875" defaultRowHeight="15" x14ac:dyDescent="0.25"/>
  <cols>
    <col min="1" max="1" width="19.85546875" customWidth="1"/>
    <col min="2" max="2" width="41.28515625" bestFit="1" customWidth="1"/>
    <col min="3" max="3" width="13.42578125" bestFit="1" customWidth="1"/>
    <col min="4" max="4" width="18.28515625" bestFit="1" customWidth="1"/>
    <col min="5" max="5" width="20.5703125" customWidth="1"/>
    <col min="6" max="6" width="9.140625" bestFit="1" customWidth="1"/>
    <col min="7" max="7" width="14.28515625" bestFit="1" customWidth="1"/>
    <col min="8" max="8" width="18.42578125" bestFit="1" customWidth="1"/>
    <col min="9" max="12" width="16.85546875" bestFit="1" customWidth="1"/>
    <col min="13" max="13" width="16.5703125" bestFit="1" customWidth="1"/>
    <col min="14" max="14" width="17.140625" bestFit="1" customWidth="1"/>
    <col min="15" max="85" width="15" hidden="1" customWidth="1"/>
    <col min="86" max="87" width="15" customWidth="1"/>
    <col min="88" max="88" width="24.42578125" bestFit="1" customWidth="1"/>
    <col min="89" max="89" width="30.42578125" bestFit="1" customWidth="1"/>
    <col min="91" max="91" width="7" bestFit="1" customWidth="1"/>
  </cols>
  <sheetData>
    <row r="1" spans="1:89" x14ac:dyDescent="0.25">
      <c r="A1" s="16"/>
      <c r="B1" s="1"/>
      <c r="C1" s="1"/>
      <c r="D1" s="1"/>
      <c r="E1" s="2" t="s">
        <v>0</v>
      </c>
      <c r="F1" s="2"/>
      <c r="G1" s="2"/>
      <c r="H1" s="55"/>
      <c r="I1" s="55"/>
      <c r="J1" s="55"/>
      <c r="K1" s="1"/>
      <c r="L1" s="13"/>
      <c r="M1" s="1"/>
      <c r="N1" s="1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"/>
    </row>
    <row r="2" spans="1:89" x14ac:dyDescent="0.25">
      <c r="A2" s="16" t="s">
        <v>1</v>
      </c>
      <c r="B2" s="1"/>
      <c r="C2" s="1"/>
      <c r="D2" s="1"/>
      <c r="E2" s="1"/>
      <c r="F2" s="1"/>
      <c r="G2" s="1"/>
      <c r="H2" s="13"/>
      <c r="I2" s="13"/>
      <c r="J2" s="13"/>
      <c r="K2" s="1"/>
      <c r="L2" s="13"/>
      <c r="M2" s="1"/>
      <c r="N2" s="1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"/>
    </row>
    <row r="3" spans="1:89" x14ac:dyDescent="0.25">
      <c r="A3" s="16" t="s">
        <v>2</v>
      </c>
      <c r="B3" s="16"/>
      <c r="C3" s="1"/>
      <c r="D3" s="1"/>
      <c r="E3" s="1"/>
      <c r="F3" s="1"/>
      <c r="G3" s="1"/>
      <c r="H3" s="13"/>
      <c r="I3" s="13"/>
      <c r="J3" s="13"/>
      <c r="K3" s="1"/>
      <c r="L3" s="13"/>
      <c r="M3" s="1"/>
      <c r="N3" s="1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"/>
    </row>
    <row r="4" spans="1:89" x14ac:dyDescent="0.25">
      <c r="A4" s="16" t="s">
        <v>3</v>
      </c>
      <c r="B4" s="1"/>
      <c r="C4" s="1"/>
      <c r="D4" s="1"/>
      <c r="E4" s="1"/>
      <c r="F4" s="1"/>
      <c r="G4" s="1"/>
      <c r="H4" s="13"/>
      <c r="I4" s="13"/>
      <c r="J4" s="13"/>
      <c r="K4" s="1"/>
      <c r="L4" s="13"/>
      <c r="M4" s="1"/>
      <c r="N4" s="1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"/>
    </row>
    <row r="5" spans="1:89" ht="30" x14ac:dyDescent="0.25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5" t="s">
        <v>13</v>
      </c>
      <c r="K5" s="4" t="s">
        <v>14</v>
      </c>
      <c r="L5" s="3" t="s">
        <v>15</v>
      </c>
      <c r="M5" s="4" t="s">
        <v>16</v>
      </c>
      <c r="N5" s="4" t="s">
        <v>17</v>
      </c>
      <c r="O5" s="6">
        <v>45200</v>
      </c>
      <c r="P5" s="6">
        <v>45201</v>
      </c>
      <c r="Q5" s="6">
        <v>45202</v>
      </c>
      <c r="R5" s="6">
        <v>45203</v>
      </c>
      <c r="S5" s="6">
        <v>45204</v>
      </c>
      <c r="T5" s="6">
        <v>45205</v>
      </c>
      <c r="U5" s="6">
        <v>45206</v>
      </c>
      <c r="V5" s="6">
        <v>45207</v>
      </c>
      <c r="W5" s="6">
        <v>45208</v>
      </c>
      <c r="X5" s="6">
        <v>45209</v>
      </c>
      <c r="Y5" s="6">
        <v>45210</v>
      </c>
      <c r="Z5" s="6">
        <v>45211</v>
      </c>
      <c r="AA5" s="6">
        <v>45212</v>
      </c>
      <c r="AB5" s="6">
        <v>45213</v>
      </c>
      <c r="AC5" s="6">
        <v>45214</v>
      </c>
      <c r="AD5" s="6">
        <v>45215</v>
      </c>
      <c r="AE5" s="6">
        <v>45216</v>
      </c>
      <c r="AF5" s="6">
        <v>45217</v>
      </c>
      <c r="AG5" s="6">
        <v>45218</v>
      </c>
      <c r="AH5" s="6">
        <v>45219</v>
      </c>
      <c r="AI5" s="6">
        <v>45220</v>
      </c>
      <c r="AJ5" s="6">
        <v>45221</v>
      </c>
      <c r="AK5" s="6">
        <v>45222</v>
      </c>
      <c r="AL5" s="6">
        <v>45223</v>
      </c>
      <c r="AM5" s="6">
        <v>45224</v>
      </c>
      <c r="AN5" s="6">
        <v>45225</v>
      </c>
      <c r="AO5" s="6">
        <v>45226</v>
      </c>
      <c r="AP5" s="6">
        <v>45227</v>
      </c>
      <c r="AQ5" s="6">
        <v>45229</v>
      </c>
      <c r="AR5" s="6">
        <v>45230</v>
      </c>
      <c r="AS5" s="6">
        <v>45231</v>
      </c>
      <c r="AT5" s="6">
        <v>45232</v>
      </c>
      <c r="AU5" s="6">
        <v>45233</v>
      </c>
      <c r="AV5" s="6">
        <v>45234</v>
      </c>
      <c r="AW5" s="6">
        <v>45235</v>
      </c>
      <c r="AX5" s="6">
        <v>45236</v>
      </c>
      <c r="AY5" s="6">
        <v>45237</v>
      </c>
      <c r="AZ5" s="6">
        <v>45238</v>
      </c>
      <c r="BA5" s="6">
        <v>45239</v>
      </c>
      <c r="BB5" s="6">
        <v>45240</v>
      </c>
      <c r="BC5" s="6">
        <v>45241</v>
      </c>
      <c r="BD5" s="6">
        <v>45242</v>
      </c>
      <c r="BE5" s="6">
        <v>45243</v>
      </c>
      <c r="BF5" s="6">
        <v>45244</v>
      </c>
      <c r="BG5" s="6">
        <v>45245</v>
      </c>
      <c r="BH5" s="6">
        <v>45246</v>
      </c>
      <c r="BI5" s="6">
        <v>45247</v>
      </c>
      <c r="BJ5" s="6">
        <v>45248</v>
      </c>
      <c r="BK5" s="6">
        <v>45249</v>
      </c>
      <c r="BL5" s="6">
        <v>45250</v>
      </c>
      <c r="BM5" s="6">
        <v>45251</v>
      </c>
      <c r="BN5" s="6">
        <v>45252</v>
      </c>
      <c r="BO5" s="6">
        <v>45253</v>
      </c>
      <c r="BP5" s="6">
        <v>45254</v>
      </c>
      <c r="BQ5" s="6">
        <v>45255</v>
      </c>
      <c r="BR5" s="6">
        <v>45256</v>
      </c>
      <c r="BS5" s="6">
        <v>45257</v>
      </c>
      <c r="BT5" s="6">
        <v>45258</v>
      </c>
      <c r="BU5" s="6">
        <v>45259</v>
      </c>
      <c r="BV5" s="6">
        <v>45260</v>
      </c>
      <c r="BW5" s="6">
        <v>45261</v>
      </c>
      <c r="BX5" s="6">
        <v>45262</v>
      </c>
      <c r="BY5" s="6">
        <v>45263</v>
      </c>
      <c r="BZ5" s="6">
        <v>45264</v>
      </c>
      <c r="CA5" s="6">
        <v>45265</v>
      </c>
      <c r="CB5" s="6">
        <v>45266</v>
      </c>
      <c r="CC5" s="6">
        <v>45267</v>
      </c>
      <c r="CD5" s="6">
        <v>45268</v>
      </c>
      <c r="CE5" s="6">
        <v>45269</v>
      </c>
      <c r="CF5" s="6">
        <v>45270</v>
      </c>
      <c r="CG5" s="6">
        <v>45271</v>
      </c>
      <c r="CH5" s="6">
        <v>45272</v>
      </c>
      <c r="CI5" s="6">
        <v>45273</v>
      </c>
      <c r="CJ5" s="3" t="s">
        <v>18</v>
      </c>
      <c r="CK5" s="3" t="s">
        <v>19</v>
      </c>
    </row>
    <row r="6" spans="1:89" hidden="1" x14ac:dyDescent="0.25">
      <c r="A6" s="17">
        <v>5210009</v>
      </c>
      <c r="B6" s="17" t="s">
        <v>34</v>
      </c>
      <c r="C6" s="13" t="s">
        <v>32</v>
      </c>
      <c r="D6" s="14"/>
      <c r="E6" s="7">
        <v>0</v>
      </c>
      <c r="F6" s="13">
        <v>2873684</v>
      </c>
      <c r="G6" s="13">
        <v>25</v>
      </c>
      <c r="H6" s="54" t="s">
        <v>33</v>
      </c>
      <c r="I6" s="8" t="s">
        <v>20</v>
      </c>
      <c r="J6" s="8" t="s">
        <v>20</v>
      </c>
      <c r="K6" s="13">
        <v>40</v>
      </c>
      <c r="L6" s="8" t="s">
        <v>20</v>
      </c>
      <c r="M6" s="13">
        <f t="shared" ref="M6" si="0">K6*G6</f>
        <v>1000</v>
      </c>
      <c r="N6" s="13">
        <v>825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>
        <f>N6-O6-P6-Q6-R6-S6-T6-U6-V6-W6-X6-Y6-Z6-AA6-AB6-AC6-AD6-AE6-AF6-AG6-AH6-AI6-AJ6-AK6-AL6-AM6-AN6-AO6-AP6-AQ6-AR6-AS6-AT6-AU6-AV6-AW6-AX6-AY6-AZ6-BA6-BB6-BC6-BD6-BE6-BF6-BG6-BH6-BI6-BJ6-BK6-BL6-BM6-BN6-BO6-BP6-BQ6-BR6-BS6-BT6-BU6-BV6-BW6-BX6-BY6-BZ6-CA6-CB6-CC6-CD6-CE6-CF6-CG6-CH6-CI6</f>
        <v>825</v>
      </c>
      <c r="CK6" s="9"/>
    </row>
    <row r="7" spans="1:89" hidden="1" x14ac:dyDescent="0.25">
      <c r="A7" s="17">
        <v>5230073</v>
      </c>
      <c r="B7" s="17" t="s">
        <v>54</v>
      </c>
      <c r="C7" s="13" t="s">
        <v>51</v>
      </c>
      <c r="D7" s="13"/>
      <c r="E7" s="7">
        <v>0</v>
      </c>
      <c r="F7" s="13">
        <v>4923693</v>
      </c>
      <c r="G7" s="13">
        <v>250</v>
      </c>
      <c r="H7" s="15">
        <v>45002</v>
      </c>
      <c r="I7" s="15">
        <v>44962</v>
      </c>
      <c r="J7" s="15">
        <v>45327</v>
      </c>
      <c r="K7" s="13">
        <v>2</v>
      </c>
      <c r="L7" s="14" t="s">
        <v>50</v>
      </c>
      <c r="M7" s="13">
        <f t="shared" ref="M7" si="1">K7*G7</f>
        <v>500</v>
      </c>
      <c r="N7" s="13">
        <v>250</v>
      </c>
      <c r="O7" s="13"/>
      <c r="P7" s="13"/>
      <c r="Q7" s="13"/>
      <c r="R7" s="13"/>
      <c r="S7" s="13"/>
      <c r="T7" s="13">
        <v>250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>
        <f t="shared" ref="CJ7:CJ70" si="2">N7-O7-P7-Q7-R7-S7-T7-U7-V7-W7-X7-Y7-Z7-AA7-AB7-AC7-AD7-AE7-AF7-AG7-AH7-AI7-AJ7-AK7-AL7-AM7-AN7-AO7-AP7-AQ7-AR7-AS7-AT7-AU7-AV7-AW7-AX7-AY7-AZ7-BA7-BB7-BC7-BD7-BE7-BF7-BG7-BH7-BI7-BJ7-BK7-BL7-BM7-BN7-BO7-BP7-BQ7-BR7-BS7-BT7-BU7-BV7-BW7-BX7-BY7-BZ7-CA7-CB7-CC7-CD7-CE7-CF7-CG7-CH7-CI7</f>
        <v>0</v>
      </c>
      <c r="CK7" s="9"/>
    </row>
    <row r="8" spans="1:89" hidden="1" x14ac:dyDescent="0.25">
      <c r="A8" s="17">
        <v>5306988</v>
      </c>
      <c r="B8" s="17" t="s">
        <v>55</v>
      </c>
      <c r="C8" s="13" t="s">
        <v>56</v>
      </c>
      <c r="D8" s="13"/>
      <c r="E8" s="7">
        <v>0</v>
      </c>
      <c r="F8" s="13">
        <v>4979075</v>
      </c>
      <c r="G8" s="13">
        <v>200</v>
      </c>
      <c r="H8" s="15">
        <v>45009</v>
      </c>
      <c r="I8" s="15">
        <v>44966</v>
      </c>
      <c r="J8" s="15">
        <v>45146</v>
      </c>
      <c r="K8" s="13">
        <v>31</v>
      </c>
      <c r="L8" s="14" t="s">
        <v>58</v>
      </c>
      <c r="M8" s="13">
        <f t="shared" ref="M8:M9" si="3">K8*G8</f>
        <v>6200</v>
      </c>
      <c r="N8" s="13">
        <v>1600</v>
      </c>
      <c r="O8" s="13"/>
      <c r="P8" s="13"/>
      <c r="Q8" s="13"/>
      <c r="R8" s="13"/>
      <c r="S8" s="13">
        <v>1600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>
        <f t="shared" si="2"/>
        <v>0</v>
      </c>
      <c r="CK8" s="9"/>
    </row>
    <row r="9" spans="1:89" hidden="1" x14ac:dyDescent="0.25">
      <c r="A9" s="17">
        <v>5231067</v>
      </c>
      <c r="B9" s="17" t="s">
        <v>64</v>
      </c>
      <c r="C9" s="13" t="s">
        <v>62</v>
      </c>
      <c r="D9" s="13"/>
      <c r="E9" s="7">
        <v>0</v>
      </c>
      <c r="F9" s="13">
        <v>5153890</v>
      </c>
      <c r="G9" s="13">
        <v>200</v>
      </c>
      <c r="H9" s="15">
        <v>45015</v>
      </c>
      <c r="I9" s="15">
        <v>44967</v>
      </c>
      <c r="J9" s="15" t="s">
        <v>30</v>
      </c>
      <c r="K9" s="13">
        <v>5</v>
      </c>
      <c r="L9" s="14" t="s">
        <v>65</v>
      </c>
      <c r="M9" s="13">
        <f t="shared" si="3"/>
        <v>1000</v>
      </c>
      <c r="N9" s="13">
        <v>600</v>
      </c>
      <c r="O9" s="13"/>
      <c r="P9" s="13"/>
      <c r="Q9" s="13"/>
      <c r="R9" s="13"/>
      <c r="S9" s="13"/>
      <c r="T9" s="13">
        <v>600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>
        <f t="shared" si="2"/>
        <v>0</v>
      </c>
      <c r="CK9" s="9"/>
    </row>
    <row r="10" spans="1:89" hidden="1" x14ac:dyDescent="0.25">
      <c r="A10" s="17">
        <v>5211003</v>
      </c>
      <c r="B10" s="17" t="s">
        <v>31</v>
      </c>
      <c r="C10" s="13" t="s">
        <v>78</v>
      </c>
      <c r="D10" s="13"/>
      <c r="E10" s="7">
        <v>0</v>
      </c>
      <c r="F10" s="13">
        <v>5743118</v>
      </c>
      <c r="G10" s="13">
        <v>25</v>
      </c>
      <c r="H10" s="15">
        <v>45055</v>
      </c>
      <c r="I10" s="15">
        <v>44991</v>
      </c>
      <c r="J10" s="15">
        <f t="shared" ref="J10" si="4">+I10+730</f>
        <v>45721</v>
      </c>
      <c r="K10" s="13">
        <v>1040</v>
      </c>
      <c r="L10" s="13" t="s">
        <v>85</v>
      </c>
      <c r="M10" s="13">
        <f t="shared" ref="M10:M11" si="5">K10*G10</f>
        <v>26000</v>
      </c>
      <c r="N10" s="13">
        <v>21250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>
        <v>100</v>
      </c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>
        <v>21150</v>
      </c>
      <c r="CB10" s="13"/>
      <c r="CC10" s="13"/>
      <c r="CD10" s="13"/>
      <c r="CE10" s="13"/>
      <c r="CF10" s="13"/>
      <c r="CG10" s="13"/>
      <c r="CH10" s="13"/>
      <c r="CI10" s="13"/>
      <c r="CJ10" s="13">
        <f t="shared" si="2"/>
        <v>0</v>
      </c>
      <c r="CK10" s="9"/>
    </row>
    <row r="11" spans="1:89" hidden="1" x14ac:dyDescent="0.25">
      <c r="A11" s="17">
        <v>5211003</v>
      </c>
      <c r="B11" s="17" t="s">
        <v>31</v>
      </c>
      <c r="C11" s="13" t="s">
        <v>93</v>
      </c>
      <c r="D11" s="13"/>
      <c r="E11" s="7">
        <v>0</v>
      </c>
      <c r="F11" s="13">
        <v>5851097</v>
      </c>
      <c r="G11" s="13">
        <v>25</v>
      </c>
      <c r="H11" s="15">
        <v>45063</v>
      </c>
      <c r="I11" s="15">
        <v>44957</v>
      </c>
      <c r="J11" s="15">
        <f t="shared" ref="J11:J12" si="6">+I11+730</f>
        <v>45687</v>
      </c>
      <c r="K11" s="13">
        <v>1040</v>
      </c>
      <c r="L11" s="13" t="s">
        <v>97</v>
      </c>
      <c r="M11" s="13">
        <f t="shared" si="5"/>
        <v>26000</v>
      </c>
      <c r="N11" s="13">
        <v>25000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>
        <v>1000</v>
      </c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>
        <v>500</v>
      </c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>
        <v>11000</v>
      </c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>
        <v>12500</v>
      </c>
      <c r="CB11" s="13"/>
      <c r="CC11" s="13"/>
      <c r="CD11" s="13"/>
      <c r="CE11" s="13"/>
      <c r="CF11" s="13"/>
      <c r="CG11" s="13"/>
      <c r="CH11" s="13"/>
      <c r="CI11" s="13"/>
      <c r="CJ11" s="13">
        <f t="shared" si="2"/>
        <v>0</v>
      </c>
      <c r="CK11" s="9"/>
    </row>
    <row r="12" spans="1:89" hidden="1" x14ac:dyDescent="0.25">
      <c r="A12" s="17">
        <v>5211003</v>
      </c>
      <c r="B12" s="17" t="s">
        <v>31</v>
      </c>
      <c r="C12" s="13" t="s">
        <v>99</v>
      </c>
      <c r="D12" s="13"/>
      <c r="E12" s="7">
        <v>0</v>
      </c>
      <c r="F12" s="13">
        <v>5916473</v>
      </c>
      <c r="G12" s="13">
        <v>25</v>
      </c>
      <c r="H12" s="15">
        <v>45064</v>
      </c>
      <c r="I12" s="15">
        <v>44989</v>
      </c>
      <c r="J12" s="15">
        <f t="shared" si="6"/>
        <v>45719</v>
      </c>
      <c r="K12" s="13">
        <v>640</v>
      </c>
      <c r="L12" s="13" t="s">
        <v>100</v>
      </c>
      <c r="M12" s="13">
        <f t="shared" ref="M12:M26" si="7">K12*G12</f>
        <v>16000</v>
      </c>
      <c r="N12" s="13">
        <v>16000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>
        <v>16000</v>
      </c>
      <c r="CB12" s="13"/>
      <c r="CC12" s="13"/>
      <c r="CD12" s="13"/>
      <c r="CE12" s="13"/>
      <c r="CF12" s="13"/>
      <c r="CG12" s="13"/>
      <c r="CH12" s="13"/>
      <c r="CI12" s="13"/>
      <c r="CJ12" s="13">
        <f t="shared" si="2"/>
        <v>0</v>
      </c>
      <c r="CK12" s="9"/>
    </row>
    <row r="13" spans="1:89" hidden="1" x14ac:dyDescent="0.25">
      <c r="A13" s="17">
        <v>5309040</v>
      </c>
      <c r="B13" s="17" t="s">
        <v>105</v>
      </c>
      <c r="C13" s="13">
        <v>91512792</v>
      </c>
      <c r="D13" s="13"/>
      <c r="E13" s="7">
        <v>0</v>
      </c>
      <c r="F13" s="13">
        <v>6087743</v>
      </c>
      <c r="G13" s="13">
        <v>250</v>
      </c>
      <c r="H13" s="15">
        <v>45079</v>
      </c>
      <c r="I13" s="15">
        <v>45026</v>
      </c>
      <c r="J13" s="15">
        <v>45391</v>
      </c>
      <c r="K13" s="13">
        <v>80</v>
      </c>
      <c r="L13" s="13" t="s">
        <v>107</v>
      </c>
      <c r="M13" s="13">
        <f t="shared" si="7"/>
        <v>20000</v>
      </c>
      <c r="N13" s="13">
        <v>250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>
        <v>250</v>
      </c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>
        <f t="shared" si="2"/>
        <v>0</v>
      </c>
      <c r="CK13" s="9"/>
    </row>
    <row r="14" spans="1:89" hidden="1" x14ac:dyDescent="0.25">
      <c r="A14" s="17">
        <v>5205449</v>
      </c>
      <c r="B14" s="17" t="s">
        <v>39</v>
      </c>
      <c r="C14" s="13" t="s">
        <v>246</v>
      </c>
      <c r="D14" s="13"/>
      <c r="E14" s="7">
        <v>0</v>
      </c>
      <c r="F14" s="13">
        <v>6146274</v>
      </c>
      <c r="G14" s="13">
        <v>25</v>
      </c>
      <c r="H14" s="15">
        <v>45090</v>
      </c>
      <c r="I14" s="15">
        <v>45047</v>
      </c>
      <c r="J14" s="15">
        <f t="shared" ref="J14:J26" si="8">+I14+730</f>
        <v>45777</v>
      </c>
      <c r="K14" s="13">
        <v>1080</v>
      </c>
      <c r="L14" s="13">
        <v>2230237822</v>
      </c>
      <c r="M14" s="13">
        <f t="shared" si="7"/>
        <v>27000</v>
      </c>
      <c r="N14" s="13">
        <v>6649</v>
      </c>
      <c r="O14" s="13"/>
      <c r="P14" s="13"/>
      <c r="Q14" s="13"/>
      <c r="R14" s="13">
        <v>6649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>
        <f t="shared" si="2"/>
        <v>0</v>
      </c>
      <c r="CK14" s="9"/>
    </row>
    <row r="15" spans="1:89" hidden="1" x14ac:dyDescent="0.25">
      <c r="A15" s="17">
        <v>5211003</v>
      </c>
      <c r="B15" s="17" t="s">
        <v>31</v>
      </c>
      <c r="C15" s="13" t="s">
        <v>273</v>
      </c>
      <c r="D15" s="13"/>
      <c r="E15" s="7">
        <v>0</v>
      </c>
      <c r="F15" s="13">
        <v>6166455</v>
      </c>
      <c r="G15" s="13">
        <v>25</v>
      </c>
      <c r="H15" s="15">
        <v>45092</v>
      </c>
      <c r="I15" s="15">
        <v>45038</v>
      </c>
      <c r="J15" s="15">
        <f t="shared" si="8"/>
        <v>45768</v>
      </c>
      <c r="K15" s="13">
        <v>640</v>
      </c>
      <c r="L15" s="13" t="s">
        <v>274</v>
      </c>
      <c r="M15" s="13">
        <f t="shared" si="7"/>
        <v>16000</v>
      </c>
      <c r="N15" s="13">
        <v>16000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>
        <v>350</v>
      </c>
      <c r="CB15" s="13"/>
      <c r="CC15" s="13"/>
      <c r="CD15" s="13"/>
      <c r="CE15" s="13"/>
      <c r="CF15" s="13"/>
      <c r="CG15" s="13"/>
      <c r="CH15" s="13"/>
      <c r="CI15" s="13"/>
      <c r="CJ15" s="13">
        <f t="shared" si="2"/>
        <v>15650</v>
      </c>
      <c r="CK15" s="9"/>
    </row>
    <row r="16" spans="1:89" hidden="1" x14ac:dyDescent="0.25">
      <c r="A16" s="17">
        <v>5205497</v>
      </c>
      <c r="B16" s="17" t="s">
        <v>1211</v>
      </c>
      <c r="C16" s="13" t="s">
        <v>302</v>
      </c>
      <c r="D16" s="13"/>
      <c r="E16" s="7">
        <v>0</v>
      </c>
      <c r="F16" s="13">
        <v>6238187</v>
      </c>
      <c r="G16" s="13">
        <v>25</v>
      </c>
      <c r="H16" s="15">
        <v>45097</v>
      </c>
      <c r="I16" s="15">
        <v>45026</v>
      </c>
      <c r="J16" s="15">
        <f t="shared" si="8"/>
        <v>45756</v>
      </c>
      <c r="K16" s="13">
        <v>1080</v>
      </c>
      <c r="L16" s="13">
        <v>1230192062</v>
      </c>
      <c r="M16" s="13">
        <f t="shared" si="7"/>
        <v>27000</v>
      </c>
      <c r="N16" s="13">
        <v>16000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>
        <v>8000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>
        <f t="shared" si="2"/>
        <v>8000</v>
      </c>
      <c r="CK16" s="9"/>
    </row>
    <row r="17" spans="1:89" hidden="1" x14ac:dyDescent="0.25">
      <c r="A17" s="17">
        <v>5205449</v>
      </c>
      <c r="B17" s="17" t="s">
        <v>39</v>
      </c>
      <c r="C17" s="13" t="s">
        <v>306</v>
      </c>
      <c r="D17" s="13"/>
      <c r="E17" s="7">
        <v>0</v>
      </c>
      <c r="F17" s="13">
        <v>6147723</v>
      </c>
      <c r="G17" s="13">
        <v>25</v>
      </c>
      <c r="H17" s="15">
        <v>45098</v>
      </c>
      <c r="I17" s="15">
        <v>45048</v>
      </c>
      <c r="J17" s="15">
        <f t="shared" si="8"/>
        <v>45778</v>
      </c>
      <c r="K17" s="13">
        <v>840</v>
      </c>
      <c r="L17" s="13">
        <v>1230240172</v>
      </c>
      <c r="M17" s="13">
        <f t="shared" si="7"/>
        <v>21000</v>
      </c>
      <c r="N17" s="13">
        <v>3000</v>
      </c>
      <c r="O17" s="13"/>
      <c r="P17" s="13"/>
      <c r="Q17" s="13"/>
      <c r="R17" s="13">
        <v>3000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>
        <f t="shared" si="2"/>
        <v>0</v>
      </c>
      <c r="CK17" s="9"/>
    </row>
    <row r="18" spans="1:89" hidden="1" x14ac:dyDescent="0.25">
      <c r="A18" s="17">
        <v>5205449</v>
      </c>
      <c r="B18" s="17" t="s">
        <v>39</v>
      </c>
      <c r="C18" s="13" t="s">
        <v>306</v>
      </c>
      <c r="D18" s="13"/>
      <c r="E18" s="7">
        <v>0</v>
      </c>
      <c r="F18" s="13">
        <v>6147723</v>
      </c>
      <c r="G18" s="13">
        <v>25</v>
      </c>
      <c r="H18" s="15">
        <v>45098</v>
      </c>
      <c r="I18" s="15">
        <v>45049</v>
      </c>
      <c r="J18" s="15">
        <f t="shared" si="8"/>
        <v>45779</v>
      </c>
      <c r="K18" s="13">
        <v>660</v>
      </c>
      <c r="L18" s="13">
        <v>2230240612</v>
      </c>
      <c r="M18" s="13">
        <f t="shared" si="7"/>
        <v>16500</v>
      </c>
      <c r="N18" s="13">
        <v>8500</v>
      </c>
      <c r="O18" s="13"/>
      <c r="P18" s="13"/>
      <c r="Q18" s="13"/>
      <c r="R18" s="13">
        <v>8350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>
        <v>150</v>
      </c>
      <c r="CA18" s="13"/>
      <c r="CB18" s="13"/>
      <c r="CC18" s="13"/>
      <c r="CD18" s="13"/>
      <c r="CE18" s="13"/>
      <c r="CF18" s="13"/>
      <c r="CG18" s="13"/>
      <c r="CH18" s="13"/>
      <c r="CI18" s="13"/>
      <c r="CJ18" s="13">
        <f t="shared" si="2"/>
        <v>0</v>
      </c>
      <c r="CK18" s="9"/>
    </row>
    <row r="19" spans="1:89" hidden="1" x14ac:dyDescent="0.25">
      <c r="A19" s="17">
        <v>5205449</v>
      </c>
      <c r="B19" s="17" t="s">
        <v>39</v>
      </c>
      <c r="C19" s="13" t="s">
        <v>306</v>
      </c>
      <c r="D19" s="13"/>
      <c r="E19" s="7">
        <v>0</v>
      </c>
      <c r="F19" s="13">
        <v>6147723</v>
      </c>
      <c r="G19" s="13">
        <v>25</v>
      </c>
      <c r="H19" s="15">
        <v>45098</v>
      </c>
      <c r="I19" s="15">
        <v>45049</v>
      </c>
      <c r="J19" s="15">
        <f t="shared" si="8"/>
        <v>45779</v>
      </c>
      <c r="K19" s="13">
        <v>420</v>
      </c>
      <c r="L19" s="13">
        <v>2230240422</v>
      </c>
      <c r="M19" s="13">
        <f t="shared" si="7"/>
        <v>10500</v>
      </c>
      <c r="N19" s="13">
        <v>10500</v>
      </c>
      <c r="O19" s="13"/>
      <c r="P19" s="13"/>
      <c r="Q19" s="13"/>
      <c r="R19" s="13">
        <v>9000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>
        <v>1500</v>
      </c>
      <c r="CA19" s="13"/>
      <c r="CB19" s="13"/>
      <c r="CC19" s="13"/>
      <c r="CD19" s="13"/>
      <c r="CE19" s="13"/>
      <c r="CF19" s="13"/>
      <c r="CG19" s="13"/>
      <c r="CH19" s="13"/>
      <c r="CI19" s="13"/>
      <c r="CJ19" s="13">
        <f t="shared" si="2"/>
        <v>0</v>
      </c>
      <c r="CK19" s="9"/>
    </row>
    <row r="20" spans="1:89" hidden="1" x14ac:dyDescent="0.25">
      <c r="A20" s="17">
        <v>5205449</v>
      </c>
      <c r="B20" s="17" t="s">
        <v>39</v>
      </c>
      <c r="C20" s="13" t="s">
        <v>306</v>
      </c>
      <c r="D20" s="13"/>
      <c r="E20" s="7">
        <v>0</v>
      </c>
      <c r="F20" s="13">
        <v>6147723</v>
      </c>
      <c r="G20" s="13">
        <v>25</v>
      </c>
      <c r="H20" s="15">
        <v>45098</v>
      </c>
      <c r="I20" s="15">
        <v>45048</v>
      </c>
      <c r="J20" s="15">
        <f t="shared" si="8"/>
        <v>45778</v>
      </c>
      <c r="K20" s="13">
        <v>1080</v>
      </c>
      <c r="L20" s="13">
        <v>2230239912</v>
      </c>
      <c r="M20" s="13">
        <f t="shared" si="7"/>
        <v>27000</v>
      </c>
      <c r="N20" s="13">
        <v>27000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>
        <v>10000</v>
      </c>
      <c r="BW20" s="13"/>
      <c r="BX20" s="13"/>
      <c r="BY20" s="13"/>
      <c r="BZ20" s="13">
        <v>17000</v>
      </c>
      <c r="CA20" s="13"/>
      <c r="CB20" s="13"/>
      <c r="CC20" s="13"/>
      <c r="CD20" s="13"/>
      <c r="CE20" s="13"/>
      <c r="CF20" s="13"/>
      <c r="CG20" s="13"/>
      <c r="CH20" s="13"/>
      <c r="CI20" s="13"/>
      <c r="CJ20" s="13">
        <f t="shared" si="2"/>
        <v>0</v>
      </c>
      <c r="CK20" s="9"/>
    </row>
    <row r="21" spans="1:89" hidden="1" x14ac:dyDescent="0.25">
      <c r="A21" s="17">
        <v>5205449</v>
      </c>
      <c r="B21" s="17" t="s">
        <v>39</v>
      </c>
      <c r="C21" s="13" t="s">
        <v>306</v>
      </c>
      <c r="D21" s="13"/>
      <c r="E21" s="7">
        <v>0</v>
      </c>
      <c r="F21" s="13">
        <v>6147723</v>
      </c>
      <c r="G21" s="13">
        <v>25</v>
      </c>
      <c r="H21" s="15">
        <v>45098</v>
      </c>
      <c r="I21" s="15">
        <v>45048</v>
      </c>
      <c r="J21" s="15">
        <f t="shared" si="8"/>
        <v>45778</v>
      </c>
      <c r="K21" s="13">
        <v>960</v>
      </c>
      <c r="L21" s="13">
        <v>1230239862</v>
      </c>
      <c r="M21" s="13">
        <f t="shared" si="7"/>
        <v>24000</v>
      </c>
      <c r="N21" s="13">
        <v>24000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>
        <v>17350</v>
      </c>
      <c r="CA21" s="13">
        <v>6625</v>
      </c>
      <c r="CB21" s="13"/>
      <c r="CC21" s="13"/>
      <c r="CD21" s="13"/>
      <c r="CE21" s="13"/>
      <c r="CF21" s="13"/>
      <c r="CG21" s="13"/>
      <c r="CH21" s="13"/>
      <c r="CI21" s="13"/>
      <c r="CJ21" s="13">
        <f t="shared" si="2"/>
        <v>25</v>
      </c>
      <c r="CK21" s="9"/>
    </row>
    <row r="22" spans="1:89" hidden="1" x14ac:dyDescent="0.25">
      <c r="A22" s="17">
        <v>5205449</v>
      </c>
      <c r="B22" s="17" t="s">
        <v>39</v>
      </c>
      <c r="C22" s="13" t="s">
        <v>306</v>
      </c>
      <c r="D22" s="13"/>
      <c r="E22" s="7">
        <v>0</v>
      </c>
      <c r="F22" s="13">
        <v>6147723</v>
      </c>
      <c r="G22" s="13">
        <v>25</v>
      </c>
      <c r="H22" s="15">
        <v>45098</v>
      </c>
      <c r="I22" s="15">
        <v>45048</v>
      </c>
      <c r="J22" s="15">
        <f t="shared" si="8"/>
        <v>45778</v>
      </c>
      <c r="K22" s="13">
        <v>120</v>
      </c>
      <c r="L22" s="13">
        <v>1230239672</v>
      </c>
      <c r="M22" s="13">
        <f t="shared" si="7"/>
        <v>3000</v>
      </c>
      <c r="N22" s="13">
        <v>3000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>
        <v>3000</v>
      </c>
      <c r="CB22" s="13"/>
      <c r="CC22" s="13"/>
      <c r="CD22" s="13"/>
      <c r="CE22" s="13"/>
      <c r="CF22" s="13"/>
      <c r="CG22" s="13"/>
      <c r="CH22" s="13"/>
      <c r="CI22" s="13"/>
      <c r="CJ22" s="13">
        <f t="shared" si="2"/>
        <v>0</v>
      </c>
      <c r="CK22" s="9"/>
    </row>
    <row r="23" spans="1:89" hidden="1" x14ac:dyDescent="0.25">
      <c r="A23" s="17">
        <v>5205449</v>
      </c>
      <c r="B23" s="17" t="s">
        <v>39</v>
      </c>
      <c r="C23" s="13" t="s">
        <v>306</v>
      </c>
      <c r="D23" s="13"/>
      <c r="E23" s="7">
        <v>0</v>
      </c>
      <c r="F23" s="13">
        <v>6147723</v>
      </c>
      <c r="G23" s="13">
        <v>25</v>
      </c>
      <c r="H23" s="15">
        <v>45098</v>
      </c>
      <c r="I23" s="15">
        <v>45048</v>
      </c>
      <c r="J23" s="15">
        <f t="shared" si="8"/>
        <v>45778</v>
      </c>
      <c r="K23" s="13">
        <v>420</v>
      </c>
      <c r="L23" s="13">
        <v>2230240022</v>
      </c>
      <c r="M23" s="13">
        <f t="shared" si="7"/>
        <v>10500</v>
      </c>
      <c r="N23" s="13">
        <v>10500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>
        <v>10500</v>
      </c>
      <c r="CB23" s="13"/>
      <c r="CC23" s="13"/>
      <c r="CD23" s="13"/>
      <c r="CE23" s="13"/>
      <c r="CF23" s="13"/>
      <c r="CG23" s="13"/>
      <c r="CH23" s="13"/>
      <c r="CI23" s="13"/>
      <c r="CJ23" s="13">
        <f t="shared" si="2"/>
        <v>0</v>
      </c>
      <c r="CK23" s="9"/>
    </row>
    <row r="24" spans="1:89" hidden="1" x14ac:dyDescent="0.25">
      <c r="A24" s="17">
        <v>5205449</v>
      </c>
      <c r="B24" s="17" t="s">
        <v>39</v>
      </c>
      <c r="C24" s="13" t="s">
        <v>306</v>
      </c>
      <c r="D24" s="13"/>
      <c r="E24" s="7">
        <v>0</v>
      </c>
      <c r="F24" s="13">
        <v>6147723</v>
      </c>
      <c r="G24" s="13">
        <v>25</v>
      </c>
      <c r="H24" s="15">
        <v>45098</v>
      </c>
      <c r="I24" s="15">
        <v>45049</v>
      </c>
      <c r="J24" s="15">
        <f t="shared" si="8"/>
        <v>45779</v>
      </c>
      <c r="K24" s="13">
        <v>660</v>
      </c>
      <c r="L24" s="13">
        <v>2230240422</v>
      </c>
      <c r="M24" s="13">
        <f t="shared" si="7"/>
        <v>16500</v>
      </c>
      <c r="N24" s="13">
        <v>16500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>
        <v>16500</v>
      </c>
      <c r="CB24" s="13"/>
      <c r="CC24" s="13"/>
      <c r="CD24" s="13"/>
      <c r="CE24" s="13"/>
      <c r="CF24" s="13"/>
      <c r="CG24" s="13"/>
      <c r="CH24" s="13"/>
      <c r="CI24" s="13"/>
      <c r="CJ24" s="13">
        <f t="shared" si="2"/>
        <v>0</v>
      </c>
      <c r="CK24" s="9"/>
    </row>
    <row r="25" spans="1:89" hidden="1" x14ac:dyDescent="0.25">
      <c r="A25" s="17">
        <v>5205449</v>
      </c>
      <c r="B25" s="17" t="s">
        <v>39</v>
      </c>
      <c r="C25" s="13" t="s">
        <v>306</v>
      </c>
      <c r="D25" s="13"/>
      <c r="E25" s="7">
        <v>0</v>
      </c>
      <c r="F25" s="13">
        <v>6147723</v>
      </c>
      <c r="G25" s="13">
        <v>25</v>
      </c>
      <c r="H25" s="15">
        <v>45098</v>
      </c>
      <c r="I25" s="15">
        <v>45048</v>
      </c>
      <c r="J25" s="15">
        <f t="shared" si="8"/>
        <v>45778</v>
      </c>
      <c r="K25" s="13">
        <v>300</v>
      </c>
      <c r="L25" s="13">
        <v>2230240022</v>
      </c>
      <c r="M25" s="13">
        <f t="shared" si="7"/>
        <v>7500</v>
      </c>
      <c r="N25" s="13">
        <v>7500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>
        <v>7500</v>
      </c>
      <c r="CB25" s="13"/>
      <c r="CC25" s="13"/>
      <c r="CD25" s="13"/>
      <c r="CE25" s="13"/>
      <c r="CF25" s="13"/>
      <c r="CG25" s="13"/>
      <c r="CH25" s="13"/>
      <c r="CI25" s="13"/>
      <c r="CJ25" s="13">
        <f t="shared" si="2"/>
        <v>0</v>
      </c>
      <c r="CK25" s="9"/>
    </row>
    <row r="26" spans="1:89" hidden="1" x14ac:dyDescent="0.25">
      <c r="A26" s="17">
        <v>5205449</v>
      </c>
      <c r="B26" s="17" t="s">
        <v>39</v>
      </c>
      <c r="C26" s="13" t="s">
        <v>306</v>
      </c>
      <c r="D26" s="13"/>
      <c r="E26" s="7">
        <v>0</v>
      </c>
      <c r="F26" s="13">
        <v>6147723</v>
      </c>
      <c r="G26" s="13">
        <v>25</v>
      </c>
      <c r="H26" s="15">
        <v>45098</v>
      </c>
      <c r="I26" s="15">
        <v>45048</v>
      </c>
      <c r="J26" s="15">
        <f t="shared" si="8"/>
        <v>45778</v>
      </c>
      <c r="K26" s="13">
        <v>780</v>
      </c>
      <c r="L26" s="13">
        <v>2230239912</v>
      </c>
      <c r="M26" s="13">
        <f t="shared" si="7"/>
        <v>19500</v>
      </c>
      <c r="N26" s="13">
        <v>19500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>
        <v>19500</v>
      </c>
      <c r="CB26" s="13"/>
      <c r="CC26" s="13"/>
      <c r="CD26" s="13"/>
      <c r="CE26" s="13"/>
      <c r="CF26" s="13"/>
      <c r="CG26" s="13"/>
      <c r="CH26" s="13"/>
      <c r="CI26" s="13"/>
      <c r="CJ26" s="13">
        <f t="shared" si="2"/>
        <v>0</v>
      </c>
      <c r="CK26" s="9"/>
    </row>
    <row r="27" spans="1:89" hidden="1" x14ac:dyDescent="0.25">
      <c r="A27" s="17">
        <v>5210162</v>
      </c>
      <c r="B27" s="17" t="s">
        <v>24</v>
      </c>
      <c r="C27" s="13" t="s">
        <v>433</v>
      </c>
      <c r="D27" s="13"/>
      <c r="E27" s="7">
        <v>0</v>
      </c>
      <c r="F27" s="13">
        <v>6335852</v>
      </c>
      <c r="G27" s="13">
        <v>25</v>
      </c>
      <c r="H27" s="15">
        <v>45108</v>
      </c>
      <c r="I27" s="15" t="s">
        <v>30</v>
      </c>
      <c r="J27" s="15" t="s">
        <v>30</v>
      </c>
      <c r="K27" s="13">
        <v>640</v>
      </c>
      <c r="L27" s="13" t="s">
        <v>376</v>
      </c>
      <c r="M27" s="13">
        <f t="shared" ref="M27:M28" si="9">K27*G27</f>
        <v>16000</v>
      </c>
      <c r="N27" s="13">
        <v>4350</v>
      </c>
      <c r="O27" s="13"/>
      <c r="P27" s="13"/>
      <c r="Q27" s="13"/>
      <c r="R27" s="13"/>
      <c r="S27" s="13">
        <v>4350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>
        <f t="shared" si="2"/>
        <v>0</v>
      </c>
      <c r="CK27" s="9"/>
    </row>
    <row r="28" spans="1:89" hidden="1" x14ac:dyDescent="0.25">
      <c r="A28" s="17">
        <v>5212259</v>
      </c>
      <c r="B28" s="17" t="s">
        <v>26</v>
      </c>
      <c r="C28" s="13" t="s">
        <v>444</v>
      </c>
      <c r="D28" s="13"/>
      <c r="E28" s="7">
        <v>0</v>
      </c>
      <c r="F28" s="13">
        <v>6335482</v>
      </c>
      <c r="G28" s="13">
        <v>25</v>
      </c>
      <c r="H28" s="15">
        <v>45110</v>
      </c>
      <c r="I28" s="15">
        <v>45048</v>
      </c>
      <c r="J28" s="15">
        <f t="shared" ref="J28" si="10">+I28+730</f>
        <v>45778</v>
      </c>
      <c r="K28" s="13">
        <v>920</v>
      </c>
      <c r="L28" s="13" t="s">
        <v>445</v>
      </c>
      <c r="M28" s="13">
        <f t="shared" si="9"/>
        <v>23000</v>
      </c>
      <c r="N28" s="13">
        <v>25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>
        <v>25</v>
      </c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>
        <f t="shared" si="2"/>
        <v>0</v>
      </c>
      <c r="CK28" s="9"/>
    </row>
    <row r="29" spans="1:89" hidden="1" x14ac:dyDescent="0.25">
      <c r="A29" s="17">
        <v>5212263</v>
      </c>
      <c r="B29" s="17" t="s">
        <v>539</v>
      </c>
      <c r="C29" s="13" t="s">
        <v>30</v>
      </c>
      <c r="D29" s="13"/>
      <c r="E29" s="7">
        <v>0</v>
      </c>
      <c r="F29" s="13" t="s">
        <v>30</v>
      </c>
      <c r="G29" s="13">
        <v>25</v>
      </c>
      <c r="H29" s="15" t="s">
        <v>30</v>
      </c>
      <c r="I29" s="15" t="s">
        <v>30</v>
      </c>
      <c r="J29" s="15" t="s">
        <v>30</v>
      </c>
      <c r="K29" s="13">
        <v>11</v>
      </c>
      <c r="L29" s="13" t="s">
        <v>1203</v>
      </c>
      <c r="M29" s="13">
        <f t="shared" ref="M29" si="11">K29*G29</f>
        <v>275</v>
      </c>
      <c r="N29" s="13">
        <v>275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>
        <v>250</v>
      </c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>
        <f t="shared" si="2"/>
        <v>25</v>
      </c>
      <c r="CK29" s="9"/>
    </row>
    <row r="30" spans="1:89" hidden="1" x14ac:dyDescent="0.25">
      <c r="A30" s="17">
        <v>5210162</v>
      </c>
      <c r="B30" s="17" t="s">
        <v>24</v>
      </c>
      <c r="C30" s="13" t="s">
        <v>769</v>
      </c>
      <c r="D30" s="13"/>
      <c r="E30" s="7">
        <v>0</v>
      </c>
      <c r="F30" s="13">
        <v>7071414</v>
      </c>
      <c r="G30" s="13">
        <v>25</v>
      </c>
      <c r="H30" s="15">
        <v>45145</v>
      </c>
      <c r="I30" s="15">
        <v>45081</v>
      </c>
      <c r="J30" s="15">
        <f>+I30+730</f>
        <v>45811</v>
      </c>
      <c r="K30" s="13">
        <v>1040</v>
      </c>
      <c r="L30" s="13" t="s">
        <v>770</v>
      </c>
      <c r="M30" s="13">
        <f t="shared" ref="M30:M60" si="12">K30*G30</f>
        <v>26000</v>
      </c>
      <c r="N30" s="13">
        <v>26000</v>
      </c>
      <c r="O30" s="13"/>
      <c r="P30" s="13"/>
      <c r="Q30" s="13"/>
      <c r="R30" s="13"/>
      <c r="S30" s="13">
        <v>650</v>
      </c>
      <c r="T30" s="13"/>
      <c r="U30" s="13"/>
      <c r="V30" s="13"/>
      <c r="W30" s="13"/>
      <c r="X30" s="13"/>
      <c r="Y30" s="13"/>
      <c r="Z30" s="13">
        <v>2000</v>
      </c>
      <c r="AA30" s="13"/>
      <c r="AB30" s="13"/>
      <c r="AC30" s="13"/>
      <c r="AD30" s="13">
        <v>3000</v>
      </c>
      <c r="AE30" s="13"/>
      <c r="AF30" s="13"/>
      <c r="AG30" s="13">
        <v>2000</v>
      </c>
      <c r="AH30" s="13"/>
      <c r="AI30" s="13"/>
      <c r="AJ30" s="13"/>
      <c r="AK30" s="13"/>
      <c r="AL30" s="13"/>
      <c r="AM30" s="13">
        <v>3000</v>
      </c>
      <c r="AN30" s="13"/>
      <c r="AO30" s="13"/>
      <c r="AP30" s="13"/>
      <c r="AQ30" s="13">
        <v>2000</v>
      </c>
      <c r="AR30" s="13"/>
      <c r="AS30" s="13"/>
      <c r="AT30" s="13"/>
      <c r="AU30" s="13"/>
      <c r="AV30" s="13"/>
      <c r="AW30" s="13"/>
      <c r="AX30" s="13">
        <v>10000</v>
      </c>
      <c r="AY30" s="13"/>
      <c r="AZ30" s="13"/>
      <c r="BA30" s="13">
        <v>3300</v>
      </c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>
        <f t="shared" si="2"/>
        <v>50</v>
      </c>
      <c r="CK30" s="9"/>
    </row>
    <row r="31" spans="1:89" hidden="1" x14ac:dyDescent="0.25">
      <c r="A31" s="17">
        <v>5309040</v>
      </c>
      <c r="B31" s="17" t="s">
        <v>105</v>
      </c>
      <c r="C31" s="13">
        <v>91519032</v>
      </c>
      <c r="D31" s="13"/>
      <c r="E31" s="7">
        <v>0</v>
      </c>
      <c r="F31" s="13">
        <v>7197282</v>
      </c>
      <c r="G31" s="13">
        <v>250</v>
      </c>
      <c r="H31" s="15">
        <v>45152</v>
      </c>
      <c r="I31" s="15">
        <v>45105</v>
      </c>
      <c r="J31" s="15">
        <f t="shared" ref="J31:J33" si="13">+I31+365</f>
        <v>45470</v>
      </c>
      <c r="K31" s="13">
        <v>80</v>
      </c>
      <c r="L31" s="13" t="s">
        <v>811</v>
      </c>
      <c r="M31" s="13">
        <f t="shared" si="12"/>
        <v>20000</v>
      </c>
      <c r="N31" s="13">
        <v>3250</v>
      </c>
      <c r="O31" s="13"/>
      <c r="P31" s="13"/>
      <c r="Q31" s="13"/>
      <c r="R31" s="13"/>
      <c r="S31" s="13"/>
      <c r="T31" s="13">
        <v>3250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>
        <f t="shared" si="2"/>
        <v>0</v>
      </c>
      <c r="CK31" s="9"/>
    </row>
    <row r="32" spans="1:89" hidden="1" x14ac:dyDescent="0.25">
      <c r="A32" s="17">
        <v>5309040</v>
      </c>
      <c r="B32" s="17" t="s">
        <v>105</v>
      </c>
      <c r="C32" s="13">
        <v>91519032</v>
      </c>
      <c r="D32" s="13"/>
      <c r="E32" s="7">
        <v>0</v>
      </c>
      <c r="F32" s="13">
        <v>7197282</v>
      </c>
      <c r="G32" s="13">
        <v>250</v>
      </c>
      <c r="H32" s="15">
        <v>45152</v>
      </c>
      <c r="I32" s="15">
        <v>45105</v>
      </c>
      <c r="J32" s="15">
        <f t="shared" si="13"/>
        <v>45470</v>
      </c>
      <c r="K32" s="13">
        <v>80</v>
      </c>
      <c r="L32" s="13" t="s">
        <v>811</v>
      </c>
      <c r="M32" s="13">
        <f t="shared" si="12"/>
        <v>20000</v>
      </c>
      <c r="N32" s="13">
        <v>20000</v>
      </c>
      <c r="O32" s="13"/>
      <c r="P32" s="13"/>
      <c r="Q32" s="13"/>
      <c r="R32" s="13"/>
      <c r="S32" s="13"/>
      <c r="T32" s="13">
        <v>500</v>
      </c>
      <c r="U32" s="13"/>
      <c r="V32" s="13"/>
      <c r="W32" s="13"/>
      <c r="X32" s="13"/>
      <c r="Y32" s="13">
        <v>18000</v>
      </c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>
        <v>1500</v>
      </c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>
        <f t="shared" si="2"/>
        <v>0</v>
      </c>
      <c r="CK32" s="9"/>
    </row>
    <row r="33" spans="1:89" hidden="1" x14ac:dyDescent="0.25">
      <c r="A33" s="17">
        <v>5309040</v>
      </c>
      <c r="B33" s="17" t="s">
        <v>105</v>
      </c>
      <c r="C33" s="13">
        <v>91519032</v>
      </c>
      <c r="D33" s="13"/>
      <c r="E33" s="7">
        <v>0</v>
      </c>
      <c r="F33" s="13">
        <v>7197282</v>
      </c>
      <c r="G33" s="13">
        <v>250</v>
      </c>
      <c r="H33" s="15">
        <v>45152</v>
      </c>
      <c r="I33" s="15">
        <v>45105</v>
      </c>
      <c r="J33" s="15">
        <f t="shared" si="13"/>
        <v>45470</v>
      </c>
      <c r="K33" s="13">
        <v>80</v>
      </c>
      <c r="L33" s="13" t="s">
        <v>811</v>
      </c>
      <c r="M33" s="13">
        <f t="shared" si="12"/>
        <v>20000</v>
      </c>
      <c r="N33" s="13">
        <v>20000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>
        <v>18500</v>
      </c>
      <c r="AY33" s="13">
        <v>1000</v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>
        <f t="shared" si="2"/>
        <v>500</v>
      </c>
      <c r="CK33" s="9"/>
    </row>
    <row r="34" spans="1:89" hidden="1" x14ac:dyDescent="0.25">
      <c r="A34" s="17">
        <v>5210162</v>
      </c>
      <c r="B34" s="17" t="s">
        <v>24</v>
      </c>
      <c r="C34" s="13" t="s">
        <v>849</v>
      </c>
      <c r="D34" s="13"/>
      <c r="E34" s="7">
        <v>0</v>
      </c>
      <c r="F34" s="13">
        <v>7285627</v>
      </c>
      <c r="G34" s="13">
        <v>25</v>
      </c>
      <c r="H34" s="15">
        <v>45156</v>
      </c>
      <c r="I34" s="15">
        <v>45081</v>
      </c>
      <c r="J34" s="15">
        <f t="shared" ref="J34" si="14">+I34+730</f>
        <v>45811</v>
      </c>
      <c r="K34" s="13">
        <v>400</v>
      </c>
      <c r="L34" s="13" t="s">
        <v>770</v>
      </c>
      <c r="M34" s="13">
        <f t="shared" si="12"/>
        <v>10000</v>
      </c>
      <c r="N34" s="13">
        <v>10000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>
        <v>10000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>
        <f t="shared" si="2"/>
        <v>0</v>
      </c>
      <c r="CK34" s="9"/>
    </row>
    <row r="35" spans="1:89" hidden="1" x14ac:dyDescent="0.25">
      <c r="A35" s="13" t="s">
        <v>30</v>
      </c>
      <c r="B35" s="17" t="s">
        <v>891</v>
      </c>
      <c r="C35" s="13">
        <v>91518925</v>
      </c>
      <c r="D35" s="13"/>
      <c r="E35" s="7">
        <v>0</v>
      </c>
      <c r="F35" s="13">
        <v>7463185</v>
      </c>
      <c r="G35" s="13">
        <v>1000</v>
      </c>
      <c r="H35" s="15">
        <v>45166</v>
      </c>
      <c r="I35" s="15">
        <v>45077</v>
      </c>
      <c r="J35" s="15">
        <f t="shared" ref="J35:J38" si="15">+I35+730</f>
        <v>45807</v>
      </c>
      <c r="K35" s="13">
        <v>20</v>
      </c>
      <c r="L35" s="13" t="s">
        <v>889</v>
      </c>
      <c r="M35" s="13">
        <f t="shared" si="12"/>
        <v>20000</v>
      </c>
      <c r="N35" s="13">
        <v>20000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>
        <v>20000</v>
      </c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>
        <f t="shared" si="2"/>
        <v>0</v>
      </c>
      <c r="CK35" s="9"/>
    </row>
    <row r="36" spans="1:89" hidden="1" x14ac:dyDescent="0.25">
      <c r="A36" s="13" t="s">
        <v>30</v>
      </c>
      <c r="B36" s="17" t="s">
        <v>891</v>
      </c>
      <c r="C36" s="13">
        <v>91518925</v>
      </c>
      <c r="D36" s="13"/>
      <c r="E36" s="7">
        <v>0</v>
      </c>
      <c r="F36" s="13">
        <v>7463185</v>
      </c>
      <c r="G36" s="13">
        <v>1000</v>
      </c>
      <c r="H36" s="15">
        <v>45166</v>
      </c>
      <c r="I36" s="15">
        <v>45077</v>
      </c>
      <c r="J36" s="15">
        <f t="shared" si="15"/>
        <v>45807</v>
      </c>
      <c r="K36" s="13">
        <v>20</v>
      </c>
      <c r="L36" s="13" t="s">
        <v>889</v>
      </c>
      <c r="M36" s="13">
        <f t="shared" si="12"/>
        <v>20000</v>
      </c>
      <c r="N36" s="13">
        <v>20000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>
        <f t="shared" si="2"/>
        <v>20000</v>
      </c>
      <c r="CK36" s="9"/>
    </row>
    <row r="37" spans="1:89" hidden="1" x14ac:dyDescent="0.25">
      <c r="A37" s="17">
        <v>5212252</v>
      </c>
      <c r="B37" s="17" t="s">
        <v>23</v>
      </c>
      <c r="C37" s="13" t="s">
        <v>919</v>
      </c>
      <c r="D37" s="13"/>
      <c r="E37" s="7">
        <v>0</v>
      </c>
      <c r="F37" s="13">
        <v>7258855</v>
      </c>
      <c r="G37" s="13">
        <v>25</v>
      </c>
      <c r="H37" s="15">
        <v>45168</v>
      </c>
      <c r="I37" s="15">
        <v>45124</v>
      </c>
      <c r="J37" s="15">
        <f t="shared" si="15"/>
        <v>45854</v>
      </c>
      <c r="K37" s="13">
        <v>375</v>
      </c>
      <c r="L37" s="13" t="s">
        <v>920</v>
      </c>
      <c r="M37" s="13">
        <f t="shared" si="12"/>
        <v>9375</v>
      </c>
      <c r="N37" s="13">
        <v>50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>
        <v>50</v>
      </c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>
        <f t="shared" si="2"/>
        <v>0</v>
      </c>
      <c r="CK37" s="9"/>
    </row>
    <row r="38" spans="1:89" hidden="1" x14ac:dyDescent="0.25">
      <c r="A38" s="17">
        <v>5212252</v>
      </c>
      <c r="B38" s="17" t="s">
        <v>23</v>
      </c>
      <c r="C38" s="13" t="s">
        <v>922</v>
      </c>
      <c r="D38" s="13"/>
      <c r="E38" s="7">
        <v>0</v>
      </c>
      <c r="F38" s="13">
        <v>7556097</v>
      </c>
      <c r="G38" s="13">
        <v>25</v>
      </c>
      <c r="H38" s="15">
        <v>45168</v>
      </c>
      <c r="I38" s="15">
        <v>45112</v>
      </c>
      <c r="J38" s="15">
        <f t="shared" si="15"/>
        <v>45842</v>
      </c>
      <c r="K38" s="13">
        <v>630</v>
      </c>
      <c r="L38" s="13" t="s">
        <v>845</v>
      </c>
      <c r="M38" s="13">
        <f t="shared" si="12"/>
        <v>15750</v>
      </c>
      <c r="N38" s="13">
        <v>25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>
        <v>25</v>
      </c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>
        <f t="shared" si="2"/>
        <v>0</v>
      </c>
      <c r="CK38" s="9"/>
    </row>
    <row r="39" spans="1:89" hidden="1" x14ac:dyDescent="0.25">
      <c r="A39" s="17">
        <v>5306988</v>
      </c>
      <c r="B39" s="17" t="s">
        <v>55</v>
      </c>
      <c r="C39" s="13" t="s">
        <v>995</v>
      </c>
      <c r="D39" s="13"/>
      <c r="E39" s="7">
        <v>0</v>
      </c>
      <c r="F39" s="13">
        <v>7753447</v>
      </c>
      <c r="G39" s="13">
        <v>200</v>
      </c>
      <c r="H39" s="15">
        <v>45190</v>
      </c>
      <c r="I39" s="15">
        <v>45156</v>
      </c>
      <c r="J39" s="15">
        <f>+I39+365</f>
        <v>45521</v>
      </c>
      <c r="K39" s="13">
        <v>30</v>
      </c>
      <c r="L39" s="14" t="s">
        <v>996</v>
      </c>
      <c r="M39" s="13">
        <f t="shared" si="12"/>
        <v>6000</v>
      </c>
      <c r="N39" s="13">
        <v>6000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>
        <f t="shared" si="2"/>
        <v>6000</v>
      </c>
      <c r="CK39" s="9"/>
    </row>
    <row r="40" spans="1:89" hidden="1" x14ac:dyDescent="0.25">
      <c r="A40" s="17">
        <v>5306988</v>
      </c>
      <c r="B40" s="17" t="s">
        <v>55</v>
      </c>
      <c r="C40" s="13" t="s">
        <v>995</v>
      </c>
      <c r="D40" s="13"/>
      <c r="E40" s="7">
        <v>0</v>
      </c>
      <c r="F40" s="13">
        <v>7753447</v>
      </c>
      <c r="G40" s="13">
        <v>200</v>
      </c>
      <c r="H40" s="15">
        <v>45190</v>
      </c>
      <c r="I40" s="15">
        <v>45155</v>
      </c>
      <c r="J40" s="15">
        <f>+I40+365</f>
        <v>45520</v>
      </c>
      <c r="K40" s="13">
        <v>50</v>
      </c>
      <c r="L40" s="14" t="s">
        <v>998</v>
      </c>
      <c r="M40" s="13">
        <f t="shared" si="12"/>
        <v>10000</v>
      </c>
      <c r="N40" s="13">
        <v>10000</v>
      </c>
      <c r="O40" s="13"/>
      <c r="P40" s="13"/>
      <c r="Q40" s="13"/>
      <c r="R40" s="13"/>
      <c r="S40" s="13"/>
      <c r="T40" s="13">
        <v>4000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>
        <v>4000</v>
      </c>
      <c r="CB40" s="13"/>
      <c r="CC40" s="13"/>
      <c r="CD40" s="13"/>
      <c r="CE40" s="13"/>
      <c r="CF40" s="13"/>
      <c r="CG40" s="13"/>
      <c r="CH40" s="13"/>
      <c r="CI40" s="13"/>
      <c r="CJ40" s="13">
        <f t="shared" si="2"/>
        <v>2000</v>
      </c>
      <c r="CK40" s="9"/>
    </row>
    <row r="41" spans="1:89" hidden="1" x14ac:dyDescent="0.25">
      <c r="A41" s="17">
        <v>5231523</v>
      </c>
      <c r="B41" s="17" t="s">
        <v>1001</v>
      </c>
      <c r="C41" s="13" t="s">
        <v>999</v>
      </c>
      <c r="D41" s="13"/>
      <c r="E41" s="7">
        <v>0</v>
      </c>
      <c r="F41" s="13">
        <v>7749572</v>
      </c>
      <c r="G41" s="13">
        <v>200</v>
      </c>
      <c r="H41" s="15">
        <v>45190</v>
      </c>
      <c r="I41" s="15">
        <v>45153</v>
      </c>
      <c r="J41" s="15">
        <f>+I41+275</f>
        <v>45428</v>
      </c>
      <c r="K41" s="13">
        <v>20</v>
      </c>
      <c r="L41" s="14" t="s">
        <v>1000</v>
      </c>
      <c r="M41" s="13">
        <f t="shared" si="12"/>
        <v>4000</v>
      </c>
      <c r="N41" s="13">
        <v>4000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>
        <f t="shared" si="2"/>
        <v>4000</v>
      </c>
      <c r="CK41" s="9"/>
    </row>
    <row r="42" spans="1:89" hidden="1" x14ac:dyDescent="0.25">
      <c r="A42" s="17">
        <v>5231523</v>
      </c>
      <c r="B42" s="17" t="s">
        <v>1001</v>
      </c>
      <c r="C42" s="13" t="s">
        <v>999</v>
      </c>
      <c r="D42" s="13"/>
      <c r="E42" s="7">
        <v>0</v>
      </c>
      <c r="F42" s="13">
        <v>7749572</v>
      </c>
      <c r="G42" s="13">
        <v>200</v>
      </c>
      <c r="H42" s="15">
        <v>45190</v>
      </c>
      <c r="I42" s="15">
        <v>45152</v>
      </c>
      <c r="J42" s="15">
        <f>+I42+275</f>
        <v>45427</v>
      </c>
      <c r="K42" s="13">
        <v>60</v>
      </c>
      <c r="L42" s="14" t="s">
        <v>1002</v>
      </c>
      <c r="M42" s="13">
        <f t="shared" si="12"/>
        <v>12000</v>
      </c>
      <c r="N42" s="13">
        <v>12000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>
        <v>10000</v>
      </c>
      <c r="CE42" s="13"/>
      <c r="CF42" s="13"/>
      <c r="CG42" s="13"/>
      <c r="CH42" s="13"/>
      <c r="CI42" s="13"/>
      <c r="CJ42" s="13">
        <f t="shared" si="2"/>
        <v>2000</v>
      </c>
      <c r="CK42" s="9"/>
    </row>
    <row r="43" spans="1:89" hidden="1" x14ac:dyDescent="0.25">
      <c r="A43" s="17">
        <v>5200399</v>
      </c>
      <c r="B43" s="17" t="s">
        <v>1005</v>
      </c>
      <c r="C43" s="13" t="s">
        <v>1003</v>
      </c>
      <c r="D43" s="13"/>
      <c r="E43" s="7">
        <v>0</v>
      </c>
      <c r="F43" s="13">
        <v>7796790</v>
      </c>
      <c r="G43" s="13">
        <v>250</v>
      </c>
      <c r="H43" s="15">
        <v>45190</v>
      </c>
      <c r="I43" s="15">
        <v>45123</v>
      </c>
      <c r="J43" s="15">
        <f t="shared" ref="J43" si="16">+I43+365</f>
        <v>45488</v>
      </c>
      <c r="K43" s="13">
        <v>48</v>
      </c>
      <c r="L43" s="14" t="s">
        <v>1004</v>
      </c>
      <c r="M43" s="13">
        <f t="shared" si="12"/>
        <v>12000</v>
      </c>
      <c r="N43" s="13">
        <v>12000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>
        <f t="shared" si="2"/>
        <v>12000</v>
      </c>
      <c r="CK43" s="9"/>
    </row>
    <row r="44" spans="1:89" s="56" customFormat="1" hidden="1" x14ac:dyDescent="0.25">
      <c r="A44" s="17">
        <v>5230831</v>
      </c>
      <c r="B44" s="17" t="s">
        <v>35</v>
      </c>
      <c r="C44" s="13" t="s">
        <v>1037</v>
      </c>
      <c r="D44" s="13"/>
      <c r="E44" s="7">
        <v>0</v>
      </c>
      <c r="F44" s="13">
        <v>7892844</v>
      </c>
      <c r="G44" s="13">
        <v>240</v>
      </c>
      <c r="H44" s="15">
        <v>45195</v>
      </c>
      <c r="I44" s="15">
        <v>45165</v>
      </c>
      <c r="J44" s="15">
        <f>+I44+275</f>
        <v>45440</v>
      </c>
      <c r="K44" s="13">
        <v>80</v>
      </c>
      <c r="L44" s="14" t="s">
        <v>1038</v>
      </c>
      <c r="M44" s="13">
        <f t="shared" si="12"/>
        <v>19200</v>
      </c>
      <c r="N44" s="13">
        <v>10560</v>
      </c>
      <c r="O44" s="13"/>
      <c r="P44" s="13"/>
      <c r="Q44" s="13">
        <v>6480</v>
      </c>
      <c r="R44" s="13">
        <v>3120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>
        <f t="shared" si="2"/>
        <v>960</v>
      </c>
      <c r="CK44" s="9"/>
    </row>
    <row r="45" spans="1:89" s="56" customFormat="1" hidden="1" x14ac:dyDescent="0.25">
      <c r="A45" s="17">
        <v>5306988</v>
      </c>
      <c r="B45" s="17" t="s">
        <v>55</v>
      </c>
      <c r="C45" s="13" t="s">
        <v>1060</v>
      </c>
      <c r="D45" s="13"/>
      <c r="E45" s="7">
        <v>0</v>
      </c>
      <c r="F45" s="13">
        <v>7832067</v>
      </c>
      <c r="G45" s="13">
        <v>200</v>
      </c>
      <c r="H45" s="15">
        <v>45196</v>
      </c>
      <c r="I45" s="15" t="s">
        <v>30</v>
      </c>
      <c r="J45" s="15" t="s">
        <v>30</v>
      </c>
      <c r="K45" s="13">
        <v>10</v>
      </c>
      <c r="L45" s="14" t="s">
        <v>1061</v>
      </c>
      <c r="M45" s="13">
        <f t="shared" si="12"/>
        <v>2000</v>
      </c>
      <c r="N45" s="13">
        <v>2000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>
        <f t="shared" si="2"/>
        <v>2000</v>
      </c>
      <c r="CK45" s="9"/>
    </row>
    <row r="46" spans="1:89" s="56" customFormat="1" hidden="1" x14ac:dyDescent="0.25">
      <c r="A46" s="17">
        <v>5306988</v>
      </c>
      <c r="B46" s="17" t="s">
        <v>55</v>
      </c>
      <c r="C46" s="13" t="s">
        <v>1060</v>
      </c>
      <c r="D46" s="13"/>
      <c r="E46" s="7">
        <v>0</v>
      </c>
      <c r="F46" s="13">
        <v>7832067</v>
      </c>
      <c r="G46" s="13">
        <v>200</v>
      </c>
      <c r="H46" s="15">
        <v>45196</v>
      </c>
      <c r="I46" s="15" t="s">
        <v>30</v>
      </c>
      <c r="J46" s="15" t="s">
        <v>30</v>
      </c>
      <c r="K46" s="13">
        <v>50</v>
      </c>
      <c r="L46" s="14" t="s">
        <v>1063</v>
      </c>
      <c r="M46" s="13">
        <f t="shared" si="12"/>
        <v>10000</v>
      </c>
      <c r="N46" s="13">
        <v>10000</v>
      </c>
      <c r="O46" s="13"/>
      <c r="P46" s="13"/>
      <c r="Q46" s="13"/>
      <c r="R46" s="13"/>
      <c r="S46" s="13">
        <v>400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>
        <f t="shared" si="2"/>
        <v>9600</v>
      </c>
      <c r="CK46" s="9"/>
    </row>
    <row r="47" spans="1:89" s="56" customFormat="1" hidden="1" x14ac:dyDescent="0.25">
      <c r="A47" s="17">
        <v>5306988</v>
      </c>
      <c r="B47" s="17" t="s">
        <v>55</v>
      </c>
      <c r="C47" s="13" t="s">
        <v>1060</v>
      </c>
      <c r="D47" s="13"/>
      <c r="E47" s="7">
        <v>0</v>
      </c>
      <c r="F47" s="13">
        <v>7832067</v>
      </c>
      <c r="G47" s="13">
        <v>200</v>
      </c>
      <c r="H47" s="15">
        <v>45196</v>
      </c>
      <c r="I47" s="15" t="s">
        <v>30</v>
      </c>
      <c r="J47" s="15" t="s">
        <v>30</v>
      </c>
      <c r="K47" s="13">
        <v>20</v>
      </c>
      <c r="L47" s="14" t="s">
        <v>1064</v>
      </c>
      <c r="M47" s="13">
        <f t="shared" si="12"/>
        <v>4000</v>
      </c>
      <c r="N47" s="13">
        <v>4000</v>
      </c>
      <c r="O47" s="13"/>
      <c r="P47" s="13"/>
      <c r="Q47" s="13"/>
      <c r="R47" s="13"/>
      <c r="S47" s="13">
        <v>4000</v>
      </c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>
        <f t="shared" si="2"/>
        <v>0</v>
      </c>
      <c r="CK47" s="9"/>
    </row>
    <row r="48" spans="1:89" s="56" customFormat="1" hidden="1" x14ac:dyDescent="0.25">
      <c r="A48" s="17">
        <v>5212252</v>
      </c>
      <c r="B48" s="17" t="s">
        <v>23</v>
      </c>
      <c r="C48" s="13" t="s">
        <v>1065</v>
      </c>
      <c r="D48" s="13"/>
      <c r="E48" s="7">
        <v>0</v>
      </c>
      <c r="F48" s="13">
        <v>7734052</v>
      </c>
      <c r="G48" s="13">
        <v>25</v>
      </c>
      <c r="H48" s="15">
        <v>45196</v>
      </c>
      <c r="I48" s="15">
        <v>45150</v>
      </c>
      <c r="J48" s="15">
        <f t="shared" ref="J48" si="17">+I48+730</f>
        <v>45880</v>
      </c>
      <c r="K48" s="13">
        <v>1040</v>
      </c>
      <c r="L48" s="13" t="s">
        <v>1066</v>
      </c>
      <c r="M48" s="13">
        <f t="shared" si="12"/>
        <v>26000</v>
      </c>
      <c r="N48" s="13">
        <v>1800</v>
      </c>
      <c r="O48" s="13"/>
      <c r="P48" s="13"/>
      <c r="Q48" s="13"/>
      <c r="R48" s="13"/>
      <c r="S48" s="13">
        <v>1750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>
        <v>50</v>
      </c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>
        <f t="shared" si="2"/>
        <v>0</v>
      </c>
      <c r="CK48" s="9"/>
    </row>
    <row r="49" spans="1:89" s="56" customFormat="1" hidden="1" x14ac:dyDescent="0.25">
      <c r="A49" s="17">
        <v>5230831</v>
      </c>
      <c r="B49" s="17" t="s">
        <v>35</v>
      </c>
      <c r="C49" s="13">
        <v>5</v>
      </c>
      <c r="D49" s="13"/>
      <c r="E49" s="7">
        <v>0</v>
      </c>
      <c r="F49" s="13" t="s">
        <v>30</v>
      </c>
      <c r="G49" s="13">
        <v>240</v>
      </c>
      <c r="H49" s="15">
        <v>45198</v>
      </c>
      <c r="I49" s="15">
        <v>45130</v>
      </c>
      <c r="J49" s="15">
        <f>+I49+275</f>
        <v>45405</v>
      </c>
      <c r="K49" s="13">
        <v>3</v>
      </c>
      <c r="L49" s="14" t="s">
        <v>1080</v>
      </c>
      <c r="M49" s="13">
        <f t="shared" si="12"/>
        <v>720</v>
      </c>
      <c r="N49" s="13">
        <v>720</v>
      </c>
      <c r="O49" s="13"/>
      <c r="P49" s="13"/>
      <c r="Q49" s="13">
        <v>720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>
        <f t="shared" si="2"/>
        <v>0</v>
      </c>
      <c r="CK49" s="9"/>
    </row>
    <row r="50" spans="1:89" s="56" customFormat="1" hidden="1" x14ac:dyDescent="0.25">
      <c r="A50" s="17">
        <v>5309040</v>
      </c>
      <c r="B50" s="17" t="s">
        <v>105</v>
      </c>
      <c r="C50" s="13">
        <v>5</v>
      </c>
      <c r="D50" s="13"/>
      <c r="E50" s="7">
        <v>0</v>
      </c>
      <c r="F50" s="13" t="s">
        <v>30</v>
      </c>
      <c r="G50" s="13">
        <v>250</v>
      </c>
      <c r="H50" s="15">
        <v>45198</v>
      </c>
      <c r="I50" s="15">
        <v>44995</v>
      </c>
      <c r="J50" s="15">
        <v>45360</v>
      </c>
      <c r="K50" s="13">
        <v>21</v>
      </c>
      <c r="L50" s="14" t="s">
        <v>1082</v>
      </c>
      <c r="M50" s="13">
        <f t="shared" si="12"/>
        <v>5250</v>
      </c>
      <c r="N50" s="13">
        <v>5250</v>
      </c>
      <c r="O50" s="13"/>
      <c r="P50" s="13"/>
      <c r="Q50" s="13"/>
      <c r="R50" s="13"/>
      <c r="S50" s="13"/>
      <c r="T50" s="13">
        <v>5250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>
        <f t="shared" si="2"/>
        <v>0</v>
      </c>
      <c r="CK50" s="9"/>
    </row>
    <row r="51" spans="1:89" s="56" customFormat="1" hidden="1" x14ac:dyDescent="0.25">
      <c r="A51" s="17">
        <v>5230831</v>
      </c>
      <c r="B51" s="17" t="s">
        <v>35</v>
      </c>
      <c r="C51" s="13" t="s">
        <v>1096</v>
      </c>
      <c r="D51" s="13"/>
      <c r="E51" s="7">
        <v>0</v>
      </c>
      <c r="F51" s="13">
        <v>7845822</v>
      </c>
      <c r="G51" s="13">
        <v>240</v>
      </c>
      <c r="H51" s="15">
        <v>45203</v>
      </c>
      <c r="I51" s="15">
        <v>45167</v>
      </c>
      <c r="J51" s="15">
        <f>+I51+275</f>
        <v>45442</v>
      </c>
      <c r="K51" s="13">
        <v>80</v>
      </c>
      <c r="L51" s="14" t="s">
        <v>1097</v>
      </c>
      <c r="M51" s="13">
        <f t="shared" si="12"/>
        <v>19200</v>
      </c>
      <c r="N51" s="13">
        <f>M51</f>
        <v>19200</v>
      </c>
      <c r="O51" s="13"/>
      <c r="P51" s="13"/>
      <c r="Q51" s="13"/>
      <c r="R51" s="13">
        <v>16080</v>
      </c>
      <c r="S51" s="13">
        <v>3120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>
        <f t="shared" si="2"/>
        <v>0</v>
      </c>
      <c r="CK51" s="9"/>
    </row>
    <row r="52" spans="1:89" s="56" customFormat="1" hidden="1" x14ac:dyDescent="0.25">
      <c r="A52" s="17">
        <v>5230831</v>
      </c>
      <c r="B52" s="17" t="s">
        <v>35</v>
      </c>
      <c r="C52" s="13" t="s">
        <v>1096</v>
      </c>
      <c r="D52" s="13"/>
      <c r="E52" s="7">
        <v>0</v>
      </c>
      <c r="F52" s="13">
        <v>7845822</v>
      </c>
      <c r="G52" s="13">
        <v>240</v>
      </c>
      <c r="H52" s="15">
        <v>45203</v>
      </c>
      <c r="I52" s="15">
        <v>45167</v>
      </c>
      <c r="J52" s="15">
        <f>+I52+275</f>
        <v>45442</v>
      </c>
      <c r="K52" s="13">
        <v>80</v>
      </c>
      <c r="L52" s="14" t="s">
        <v>1097</v>
      </c>
      <c r="M52" s="13">
        <f t="shared" si="12"/>
        <v>19200</v>
      </c>
      <c r="N52" s="13">
        <f t="shared" ref="N52:N60" si="18">M52</f>
        <v>19200</v>
      </c>
      <c r="O52" s="13"/>
      <c r="P52" s="13"/>
      <c r="Q52" s="13"/>
      <c r="R52" s="13"/>
      <c r="S52" s="13">
        <v>11280</v>
      </c>
      <c r="T52" s="13">
        <v>3360</v>
      </c>
      <c r="U52" s="13"/>
      <c r="V52" s="13"/>
      <c r="W52" s="13">
        <v>4560</v>
      </c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>
        <f t="shared" si="2"/>
        <v>0</v>
      </c>
      <c r="CK52" s="9"/>
    </row>
    <row r="53" spans="1:89" s="56" customFormat="1" hidden="1" x14ac:dyDescent="0.25">
      <c r="A53" s="17">
        <v>5215404</v>
      </c>
      <c r="B53" s="17" t="s">
        <v>1284</v>
      </c>
      <c r="C53" s="13" t="s">
        <v>1100</v>
      </c>
      <c r="D53" s="13"/>
      <c r="E53" s="7">
        <v>0</v>
      </c>
      <c r="F53" s="13">
        <v>7911186</v>
      </c>
      <c r="G53" s="13">
        <v>180</v>
      </c>
      <c r="H53" s="15">
        <v>45203</v>
      </c>
      <c r="I53" s="15">
        <v>45014</v>
      </c>
      <c r="J53" s="15">
        <f>+I53+365</f>
        <v>45379</v>
      </c>
      <c r="K53" s="13">
        <v>80</v>
      </c>
      <c r="L53" s="14" t="s">
        <v>1101</v>
      </c>
      <c r="M53" s="13">
        <f t="shared" si="12"/>
        <v>14400</v>
      </c>
      <c r="N53" s="13">
        <f t="shared" si="18"/>
        <v>14400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>
        <v>14400</v>
      </c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>
        <f t="shared" si="2"/>
        <v>0</v>
      </c>
      <c r="CK53" s="9"/>
    </row>
    <row r="54" spans="1:89" s="56" customFormat="1" hidden="1" x14ac:dyDescent="0.25">
      <c r="A54" s="17">
        <v>5230831</v>
      </c>
      <c r="B54" s="17" t="s">
        <v>35</v>
      </c>
      <c r="C54" s="13" t="s">
        <v>1096</v>
      </c>
      <c r="D54" s="13"/>
      <c r="E54" s="7">
        <v>0</v>
      </c>
      <c r="F54" s="13">
        <v>7845822</v>
      </c>
      <c r="G54" s="13">
        <v>240</v>
      </c>
      <c r="H54" s="15">
        <v>45203</v>
      </c>
      <c r="I54" s="15">
        <v>45167</v>
      </c>
      <c r="J54" s="15">
        <f>+I54+275</f>
        <v>45442</v>
      </c>
      <c r="K54" s="13">
        <v>80</v>
      </c>
      <c r="L54" s="14" t="s">
        <v>1097</v>
      </c>
      <c r="M54" s="13">
        <f t="shared" si="12"/>
        <v>19200</v>
      </c>
      <c r="N54" s="13">
        <f t="shared" si="18"/>
        <v>19200</v>
      </c>
      <c r="O54" s="13"/>
      <c r="P54" s="13"/>
      <c r="Q54" s="13"/>
      <c r="R54" s="13"/>
      <c r="S54" s="13"/>
      <c r="T54" s="13"/>
      <c r="U54" s="13"/>
      <c r="V54" s="13"/>
      <c r="W54" s="13">
        <v>9840</v>
      </c>
      <c r="X54" s="13"/>
      <c r="Y54" s="13"/>
      <c r="Z54" s="13"/>
      <c r="AA54" s="13"/>
      <c r="AB54" s="13"/>
      <c r="AC54" s="13"/>
      <c r="AD54" s="13"/>
      <c r="AE54" s="13">
        <v>9360</v>
      </c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>
        <f t="shared" si="2"/>
        <v>0</v>
      </c>
      <c r="CK54" s="9"/>
    </row>
    <row r="55" spans="1:89" s="56" customFormat="1" hidden="1" x14ac:dyDescent="0.25">
      <c r="A55" s="17">
        <v>5215404</v>
      </c>
      <c r="B55" s="17" t="s">
        <v>1284</v>
      </c>
      <c r="C55" s="13" t="s">
        <v>1100</v>
      </c>
      <c r="D55" s="13"/>
      <c r="E55" s="7">
        <v>0</v>
      </c>
      <c r="F55" s="13">
        <v>7911186</v>
      </c>
      <c r="G55" s="13">
        <v>180</v>
      </c>
      <c r="H55" s="15">
        <v>45203</v>
      </c>
      <c r="I55" s="15">
        <v>45011</v>
      </c>
      <c r="J55" s="15">
        <f>+I55+365</f>
        <v>45376</v>
      </c>
      <c r="K55" s="13">
        <v>76</v>
      </c>
      <c r="L55" s="14" t="s">
        <v>1105</v>
      </c>
      <c r="M55" s="13">
        <f t="shared" si="12"/>
        <v>13680</v>
      </c>
      <c r="N55" s="13">
        <f t="shared" si="18"/>
        <v>13680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>
        <v>5400</v>
      </c>
      <c r="AJ55" s="13"/>
      <c r="AK55" s="13"/>
      <c r="AL55" s="13"/>
      <c r="AM55" s="13"/>
      <c r="AN55" s="13"/>
      <c r="AO55" s="13"/>
      <c r="AP55" s="13">
        <v>5400</v>
      </c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>
        <f t="shared" si="2"/>
        <v>2880</v>
      </c>
      <c r="CK55" s="9"/>
    </row>
    <row r="56" spans="1:89" s="56" customFormat="1" hidden="1" x14ac:dyDescent="0.25">
      <c r="A56" s="17">
        <v>5215076</v>
      </c>
      <c r="B56" s="17" t="s">
        <v>1360</v>
      </c>
      <c r="C56" s="13" t="s">
        <v>1100</v>
      </c>
      <c r="D56" s="13"/>
      <c r="E56" s="7">
        <v>0</v>
      </c>
      <c r="F56" s="13">
        <v>7911186</v>
      </c>
      <c r="G56" s="13">
        <v>180</v>
      </c>
      <c r="H56" s="15">
        <v>45203</v>
      </c>
      <c r="I56" s="15">
        <v>45090</v>
      </c>
      <c r="J56" s="15">
        <f t="shared" ref="J56:J71" si="19">+I56+730</f>
        <v>45820</v>
      </c>
      <c r="K56" s="13">
        <v>4</v>
      </c>
      <c r="L56" s="14" t="s">
        <v>67</v>
      </c>
      <c r="M56" s="13">
        <f t="shared" si="12"/>
        <v>720</v>
      </c>
      <c r="N56" s="13">
        <f t="shared" si="18"/>
        <v>720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>
        <f t="shared" si="2"/>
        <v>720</v>
      </c>
      <c r="CK56" s="9"/>
    </row>
    <row r="57" spans="1:89" s="56" customFormat="1" hidden="1" x14ac:dyDescent="0.25">
      <c r="A57" s="17">
        <v>5212252</v>
      </c>
      <c r="B57" s="17" t="s">
        <v>23</v>
      </c>
      <c r="C57" s="13" t="s">
        <v>1106</v>
      </c>
      <c r="D57" s="13"/>
      <c r="E57" s="7">
        <v>0</v>
      </c>
      <c r="F57" s="13">
        <v>7969684</v>
      </c>
      <c r="G57" s="13">
        <v>25</v>
      </c>
      <c r="H57" s="15">
        <v>45203</v>
      </c>
      <c r="I57" s="15">
        <v>45156</v>
      </c>
      <c r="J57" s="15">
        <f t="shared" si="19"/>
        <v>45886</v>
      </c>
      <c r="K57" s="13">
        <v>1040</v>
      </c>
      <c r="L57" s="13" t="s">
        <v>1107</v>
      </c>
      <c r="M57" s="13">
        <f t="shared" si="12"/>
        <v>26000</v>
      </c>
      <c r="N57" s="13">
        <f t="shared" si="18"/>
        <v>26000</v>
      </c>
      <c r="O57" s="13"/>
      <c r="P57" s="13"/>
      <c r="Q57" s="13"/>
      <c r="R57" s="13"/>
      <c r="S57" s="13">
        <v>26000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>
        <f t="shared" si="2"/>
        <v>0</v>
      </c>
      <c r="CK57" s="9"/>
    </row>
    <row r="58" spans="1:89" s="56" customFormat="1" hidden="1" x14ac:dyDescent="0.25">
      <c r="A58" s="17">
        <v>5212252</v>
      </c>
      <c r="B58" s="17" t="s">
        <v>23</v>
      </c>
      <c r="C58" s="13" t="s">
        <v>1106</v>
      </c>
      <c r="D58" s="13"/>
      <c r="E58" s="7">
        <v>0</v>
      </c>
      <c r="F58" s="13">
        <v>7969684</v>
      </c>
      <c r="G58" s="13">
        <v>25</v>
      </c>
      <c r="H58" s="15">
        <v>45203</v>
      </c>
      <c r="I58" s="15">
        <v>45154</v>
      </c>
      <c r="J58" s="15">
        <f t="shared" si="19"/>
        <v>45884</v>
      </c>
      <c r="K58" s="13">
        <v>610</v>
      </c>
      <c r="L58" s="13" t="s">
        <v>1116</v>
      </c>
      <c r="M58" s="13">
        <f t="shared" si="12"/>
        <v>15250</v>
      </c>
      <c r="N58" s="13">
        <f t="shared" si="18"/>
        <v>15250</v>
      </c>
      <c r="O58" s="13"/>
      <c r="P58" s="13"/>
      <c r="Q58" s="13"/>
      <c r="R58" s="13"/>
      <c r="S58" s="13">
        <v>15250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>
        <f t="shared" si="2"/>
        <v>0</v>
      </c>
      <c r="CK58" s="9"/>
    </row>
    <row r="59" spans="1:89" s="56" customFormat="1" hidden="1" x14ac:dyDescent="0.25">
      <c r="A59" s="17">
        <v>5212252</v>
      </c>
      <c r="B59" s="17" t="s">
        <v>23</v>
      </c>
      <c r="C59" s="13" t="s">
        <v>1106</v>
      </c>
      <c r="D59" s="13"/>
      <c r="E59" s="7">
        <v>0</v>
      </c>
      <c r="F59" s="13">
        <v>7969684</v>
      </c>
      <c r="G59" s="13">
        <v>25</v>
      </c>
      <c r="H59" s="15">
        <v>45203</v>
      </c>
      <c r="I59" s="15">
        <v>45156</v>
      </c>
      <c r="J59" s="15">
        <f t="shared" si="19"/>
        <v>45886</v>
      </c>
      <c r="K59" s="13">
        <v>430</v>
      </c>
      <c r="L59" s="13" t="s">
        <v>1107</v>
      </c>
      <c r="M59" s="13">
        <f t="shared" si="12"/>
        <v>10750</v>
      </c>
      <c r="N59" s="13">
        <f t="shared" si="18"/>
        <v>10750</v>
      </c>
      <c r="O59" s="13"/>
      <c r="P59" s="13"/>
      <c r="Q59" s="13"/>
      <c r="R59" s="13"/>
      <c r="S59" s="13">
        <v>10750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>
        <f t="shared" si="2"/>
        <v>0</v>
      </c>
      <c r="CK59" s="9"/>
    </row>
    <row r="60" spans="1:89" s="56" customFormat="1" hidden="1" x14ac:dyDescent="0.25">
      <c r="A60" s="17">
        <v>5211013</v>
      </c>
      <c r="B60" s="17" t="s">
        <v>27</v>
      </c>
      <c r="C60" s="13" t="s">
        <v>1118</v>
      </c>
      <c r="D60" s="13"/>
      <c r="E60" s="7">
        <v>0</v>
      </c>
      <c r="F60" s="13">
        <v>7976597</v>
      </c>
      <c r="G60" s="13">
        <v>25</v>
      </c>
      <c r="H60" s="15">
        <v>45204</v>
      </c>
      <c r="I60" s="15">
        <v>45158</v>
      </c>
      <c r="J60" s="15">
        <f t="shared" si="19"/>
        <v>45888</v>
      </c>
      <c r="K60" s="13">
        <v>326</v>
      </c>
      <c r="L60" s="13" t="s">
        <v>1119</v>
      </c>
      <c r="M60" s="13">
        <f t="shared" si="12"/>
        <v>8150</v>
      </c>
      <c r="N60" s="13">
        <f t="shared" si="18"/>
        <v>8150</v>
      </c>
      <c r="O60" s="13"/>
      <c r="P60" s="13"/>
      <c r="Q60" s="13"/>
      <c r="R60" s="13"/>
      <c r="S60" s="13"/>
      <c r="T60" s="13"/>
      <c r="U60" s="13"/>
      <c r="V60" s="13"/>
      <c r="W60" s="13">
        <v>8150</v>
      </c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>
        <f t="shared" si="2"/>
        <v>0</v>
      </c>
      <c r="CK60" s="9"/>
    </row>
    <row r="61" spans="1:89" s="56" customFormat="1" hidden="1" x14ac:dyDescent="0.25">
      <c r="A61" s="17">
        <v>5211013</v>
      </c>
      <c r="B61" s="17" t="s">
        <v>27</v>
      </c>
      <c r="C61" s="13" t="s">
        <v>1118</v>
      </c>
      <c r="D61" s="13"/>
      <c r="E61" s="7">
        <v>0</v>
      </c>
      <c r="F61" s="13">
        <v>7976597</v>
      </c>
      <c r="G61" s="13">
        <v>25</v>
      </c>
      <c r="H61" s="15">
        <v>45204</v>
      </c>
      <c r="I61" s="15">
        <v>45160</v>
      </c>
      <c r="J61" s="15">
        <f t="shared" si="19"/>
        <v>45890</v>
      </c>
      <c r="K61" s="13">
        <v>464</v>
      </c>
      <c r="L61" s="13" t="s">
        <v>1146</v>
      </c>
      <c r="M61" s="13">
        <f t="shared" ref="M61:M71" si="20">K61*G61</f>
        <v>11600</v>
      </c>
      <c r="N61" s="13">
        <f t="shared" ref="N61:N71" si="21">M61</f>
        <v>11600</v>
      </c>
      <c r="O61" s="13"/>
      <c r="P61" s="13"/>
      <c r="Q61" s="13"/>
      <c r="R61" s="13"/>
      <c r="S61" s="13"/>
      <c r="T61" s="13"/>
      <c r="U61" s="13"/>
      <c r="V61" s="13"/>
      <c r="W61" s="13"/>
      <c r="X61" s="13">
        <v>600</v>
      </c>
      <c r="Y61" s="13"/>
      <c r="Z61" s="13">
        <v>11000</v>
      </c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>
        <f t="shared" si="2"/>
        <v>0</v>
      </c>
      <c r="CK61" s="9"/>
    </row>
    <row r="62" spans="1:89" s="56" customFormat="1" hidden="1" x14ac:dyDescent="0.25">
      <c r="A62" s="17">
        <v>5211013</v>
      </c>
      <c r="B62" s="17" t="s">
        <v>27</v>
      </c>
      <c r="C62" s="13" t="s">
        <v>1118</v>
      </c>
      <c r="D62" s="13"/>
      <c r="E62" s="7">
        <v>0</v>
      </c>
      <c r="F62" s="13">
        <v>7976597</v>
      </c>
      <c r="G62" s="13">
        <v>25</v>
      </c>
      <c r="H62" s="15">
        <v>45204</v>
      </c>
      <c r="I62" s="15">
        <v>45160</v>
      </c>
      <c r="J62" s="15">
        <f t="shared" si="19"/>
        <v>45890</v>
      </c>
      <c r="K62" s="13">
        <v>250</v>
      </c>
      <c r="L62" s="13" t="s">
        <v>1145</v>
      </c>
      <c r="M62" s="13">
        <f t="shared" ref="M62" si="22">K62*G62</f>
        <v>6250</v>
      </c>
      <c r="N62" s="13">
        <f t="shared" ref="N62" si="23">M62</f>
        <v>6250</v>
      </c>
      <c r="O62" s="13"/>
      <c r="P62" s="13"/>
      <c r="Q62" s="13"/>
      <c r="R62" s="13"/>
      <c r="S62" s="13"/>
      <c r="T62" s="13"/>
      <c r="U62" s="13"/>
      <c r="V62" s="13"/>
      <c r="W62" s="13">
        <v>3850</v>
      </c>
      <c r="X62" s="13"/>
      <c r="Y62" s="13"/>
      <c r="Z62" s="13">
        <v>2400</v>
      </c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>
        <f t="shared" si="2"/>
        <v>0</v>
      </c>
      <c r="CK62" s="9"/>
    </row>
    <row r="63" spans="1:89" s="56" customFormat="1" hidden="1" x14ac:dyDescent="0.25">
      <c r="A63" s="17">
        <v>5211013</v>
      </c>
      <c r="B63" s="17" t="s">
        <v>27</v>
      </c>
      <c r="C63" s="13" t="s">
        <v>1118</v>
      </c>
      <c r="D63" s="13"/>
      <c r="E63" s="7">
        <v>0</v>
      </c>
      <c r="F63" s="13">
        <v>7976597</v>
      </c>
      <c r="G63" s="13">
        <v>25</v>
      </c>
      <c r="H63" s="15">
        <v>45204</v>
      </c>
      <c r="I63" s="15">
        <v>45159</v>
      </c>
      <c r="J63" s="15">
        <f t="shared" si="19"/>
        <v>45889</v>
      </c>
      <c r="K63" s="13">
        <v>1040</v>
      </c>
      <c r="L63" s="13" t="s">
        <v>1145</v>
      </c>
      <c r="M63" s="13">
        <f t="shared" si="20"/>
        <v>26000</v>
      </c>
      <c r="N63" s="13">
        <f t="shared" si="21"/>
        <v>26000</v>
      </c>
      <c r="O63" s="57"/>
      <c r="P63" s="57"/>
      <c r="Q63" s="57"/>
      <c r="R63" s="57"/>
      <c r="S63" s="13"/>
      <c r="T63" s="13"/>
      <c r="U63" s="13"/>
      <c r="V63" s="13"/>
      <c r="W63" s="13"/>
      <c r="X63" s="13">
        <v>8100</v>
      </c>
      <c r="Y63" s="13">
        <v>10000</v>
      </c>
      <c r="Z63" s="13">
        <v>600</v>
      </c>
      <c r="AA63" s="13"/>
      <c r="AB63" s="13"/>
      <c r="AC63" s="13"/>
      <c r="AD63" s="13">
        <v>7300</v>
      </c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>
        <f t="shared" si="2"/>
        <v>0</v>
      </c>
      <c r="CK63" s="9"/>
    </row>
    <row r="64" spans="1:89" s="56" customFormat="1" hidden="1" x14ac:dyDescent="0.25">
      <c r="A64" s="17">
        <v>5212256</v>
      </c>
      <c r="B64" s="17" t="s">
        <v>22</v>
      </c>
      <c r="C64" s="13" t="s">
        <v>1132</v>
      </c>
      <c r="D64" s="13"/>
      <c r="E64" s="7">
        <v>0</v>
      </c>
      <c r="F64" s="13">
        <v>7959321</v>
      </c>
      <c r="G64" s="13">
        <v>25</v>
      </c>
      <c r="H64" s="15">
        <v>45205</v>
      </c>
      <c r="I64" s="15">
        <v>45165</v>
      </c>
      <c r="J64" s="15">
        <f t="shared" si="19"/>
        <v>45895</v>
      </c>
      <c r="K64" s="13">
        <v>1040</v>
      </c>
      <c r="L64" s="13" t="s">
        <v>1134</v>
      </c>
      <c r="M64" s="13">
        <f t="shared" si="20"/>
        <v>26000</v>
      </c>
      <c r="N64" s="13">
        <f t="shared" si="21"/>
        <v>26000</v>
      </c>
      <c r="O64" s="58"/>
      <c r="P64" s="58"/>
      <c r="Q64" s="58"/>
      <c r="R64" s="58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>
        <v>11500</v>
      </c>
      <c r="AI64" s="13"/>
      <c r="AJ64" s="13"/>
      <c r="AK64" s="13"/>
      <c r="AL64" s="13"/>
      <c r="AM64" s="13">
        <v>4500</v>
      </c>
      <c r="AN64" s="13">
        <v>10000</v>
      </c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>
        <f t="shared" si="2"/>
        <v>0</v>
      </c>
      <c r="CK64" s="9"/>
    </row>
    <row r="65" spans="1:89" s="56" customFormat="1" hidden="1" x14ac:dyDescent="0.25">
      <c r="A65" s="17">
        <v>5212256</v>
      </c>
      <c r="B65" s="17" t="s">
        <v>22</v>
      </c>
      <c r="C65" s="13" t="s">
        <v>1132</v>
      </c>
      <c r="D65" s="13"/>
      <c r="E65" s="7">
        <v>0</v>
      </c>
      <c r="F65" s="13">
        <v>7959321</v>
      </c>
      <c r="G65" s="13">
        <v>25</v>
      </c>
      <c r="H65" s="15">
        <v>45205</v>
      </c>
      <c r="I65" s="15">
        <v>45165</v>
      </c>
      <c r="J65" s="15">
        <f t="shared" si="19"/>
        <v>45895</v>
      </c>
      <c r="K65" s="13">
        <v>576</v>
      </c>
      <c r="L65" s="13" t="s">
        <v>1134</v>
      </c>
      <c r="M65" s="13">
        <f t="shared" si="20"/>
        <v>14400</v>
      </c>
      <c r="N65" s="13">
        <f t="shared" si="21"/>
        <v>14400</v>
      </c>
      <c r="O65" s="58"/>
      <c r="P65" s="58"/>
      <c r="Q65" s="58"/>
      <c r="R65" s="58"/>
      <c r="S65" s="13"/>
      <c r="T65" s="13"/>
      <c r="U65" s="13"/>
      <c r="V65" s="13"/>
      <c r="W65" s="13"/>
      <c r="X65" s="13"/>
      <c r="Y65" s="13"/>
      <c r="Z65" s="13">
        <v>3400</v>
      </c>
      <c r="AA65" s="13"/>
      <c r="AB65" s="13"/>
      <c r="AC65" s="13"/>
      <c r="AD65" s="13"/>
      <c r="AE65" s="13"/>
      <c r="AF65" s="13">
        <v>8500</v>
      </c>
      <c r="AG65" s="13"/>
      <c r="AH65" s="13">
        <v>2500</v>
      </c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>
        <f t="shared" si="2"/>
        <v>0</v>
      </c>
      <c r="CK65" s="9"/>
    </row>
    <row r="66" spans="1:89" s="56" customFormat="1" hidden="1" x14ac:dyDescent="0.25">
      <c r="A66" s="17">
        <v>5212256</v>
      </c>
      <c r="B66" s="17" t="s">
        <v>22</v>
      </c>
      <c r="C66" s="13" t="s">
        <v>1132</v>
      </c>
      <c r="D66" s="13"/>
      <c r="E66" s="7">
        <v>0</v>
      </c>
      <c r="F66" s="13">
        <v>7959321</v>
      </c>
      <c r="G66" s="13">
        <v>25</v>
      </c>
      <c r="H66" s="15">
        <v>45205</v>
      </c>
      <c r="I66" s="15">
        <v>45156</v>
      </c>
      <c r="J66" s="15">
        <f t="shared" si="19"/>
        <v>45886</v>
      </c>
      <c r="K66" s="13">
        <v>464</v>
      </c>
      <c r="L66" s="13" t="s">
        <v>1135</v>
      </c>
      <c r="M66" s="13">
        <f t="shared" si="20"/>
        <v>11600</v>
      </c>
      <c r="N66" s="13">
        <f t="shared" si="21"/>
        <v>11600</v>
      </c>
      <c r="O66" s="58"/>
      <c r="P66" s="58"/>
      <c r="Q66" s="58"/>
      <c r="R66" s="58"/>
      <c r="S66" s="13"/>
      <c r="T66" s="13"/>
      <c r="U66" s="13"/>
      <c r="V66" s="13"/>
      <c r="W66" s="13">
        <v>10000</v>
      </c>
      <c r="X66" s="13"/>
      <c r="Y66" s="13"/>
      <c r="Z66" s="13">
        <v>1600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>
        <f t="shared" si="2"/>
        <v>0</v>
      </c>
      <c r="CK66" s="9"/>
    </row>
    <row r="67" spans="1:89" s="56" customFormat="1" hidden="1" x14ac:dyDescent="0.25">
      <c r="A67" s="17">
        <v>5212252</v>
      </c>
      <c r="B67" s="17" t="s">
        <v>23</v>
      </c>
      <c r="C67" s="13" t="s">
        <v>1136</v>
      </c>
      <c r="D67" s="13"/>
      <c r="E67" s="7">
        <v>0</v>
      </c>
      <c r="F67" s="13">
        <v>7833010</v>
      </c>
      <c r="G67" s="13">
        <v>25</v>
      </c>
      <c r="H67" s="15">
        <v>45205</v>
      </c>
      <c r="I67" s="15">
        <v>45148</v>
      </c>
      <c r="J67" s="15">
        <f t="shared" si="19"/>
        <v>45878</v>
      </c>
      <c r="K67" s="13">
        <v>376</v>
      </c>
      <c r="L67" s="13" t="s">
        <v>1023</v>
      </c>
      <c r="M67" s="13">
        <f t="shared" si="20"/>
        <v>9400</v>
      </c>
      <c r="N67" s="13">
        <f t="shared" si="21"/>
        <v>9400</v>
      </c>
      <c r="O67" s="58"/>
      <c r="P67" s="58"/>
      <c r="Q67" s="58"/>
      <c r="R67" s="58"/>
      <c r="S67" s="13"/>
      <c r="T67" s="13"/>
      <c r="U67" s="13"/>
      <c r="V67" s="13"/>
      <c r="W67" s="13">
        <v>9400</v>
      </c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>
        <f t="shared" si="2"/>
        <v>0</v>
      </c>
      <c r="CK67" s="9"/>
    </row>
    <row r="68" spans="1:89" s="56" customFormat="1" hidden="1" x14ac:dyDescent="0.25">
      <c r="A68" s="17">
        <v>5212252</v>
      </c>
      <c r="B68" s="17" t="s">
        <v>23</v>
      </c>
      <c r="C68" s="13" t="s">
        <v>1136</v>
      </c>
      <c r="D68" s="13"/>
      <c r="E68" s="7">
        <v>0</v>
      </c>
      <c r="F68" s="13">
        <v>7833010</v>
      </c>
      <c r="G68" s="13">
        <v>25</v>
      </c>
      <c r="H68" s="15">
        <v>45205</v>
      </c>
      <c r="I68" s="15">
        <v>45152</v>
      </c>
      <c r="J68" s="15">
        <f t="shared" si="19"/>
        <v>45882</v>
      </c>
      <c r="K68" s="13">
        <v>66</v>
      </c>
      <c r="L68" s="13" t="s">
        <v>1138</v>
      </c>
      <c r="M68" s="13">
        <f t="shared" si="20"/>
        <v>1650</v>
      </c>
      <c r="N68" s="13">
        <f t="shared" si="21"/>
        <v>1650</v>
      </c>
      <c r="O68" s="58"/>
      <c r="P68" s="58"/>
      <c r="Q68" s="58"/>
      <c r="R68" s="58"/>
      <c r="S68" s="13"/>
      <c r="T68" s="13"/>
      <c r="U68" s="13"/>
      <c r="V68" s="13"/>
      <c r="W68" s="13">
        <v>600</v>
      </c>
      <c r="X68" s="13">
        <v>1050</v>
      </c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>
        <f t="shared" si="2"/>
        <v>0</v>
      </c>
      <c r="CK68" s="9"/>
    </row>
    <row r="69" spans="1:89" s="56" customFormat="1" hidden="1" x14ac:dyDescent="0.25">
      <c r="A69" s="17">
        <v>5212252</v>
      </c>
      <c r="B69" s="17" t="s">
        <v>23</v>
      </c>
      <c r="C69" s="13" t="s">
        <v>1136</v>
      </c>
      <c r="D69" s="13"/>
      <c r="E69" s="7">
        <v>0</v>
      </c>
      <c r="F69" s="13">
        <v>7833010</v>
      </c>
      <c r="G69" s="13">
        <v>25</v>
      </c>
      <c r="H69" s="15">
        <v>45205</v>
      </c>
      <c r="I69" s="15">
        <v>45150</v>
      </c>
      <c r="J69" s="15">
        <f t="shared" si="19"/>
        <v>45880</v>
      </c>
      <c r="K69" s="13">
        <v>230</v>
      </c>
      <c r="L69" s="13" t="s">
        <v>1066</v>
      </c>
      <c r="M69" s="13">
        <f t="shared" si="20"/>
        <v>5750</v>
      </c>
      <c r="N69" s="13">
        <f t="shared" si="21"/>
        <v>5750</v>
      </c>
      <c r="O69" s="58"/>
      <c r="P69" s="58"/>
      <c r="Q69" s="58"/>
      <c r="R69" s="58"/>
      <c r="S69" s="13"/>
      <c r="T69" s="13"/>
      <c r="U69" s="13"/>
      <c r="V69" s="13"/>
      <c r="W69" s="13"/>
      <c r="X69" s="13">
        <v>5750</v>
      </c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>
        <f t="shared" si="2"/>
        <v>0</v>
      </c>
      <c r="CK69" s="9"/>
    </row>
    <row r="70" spans="1:89" s="56" customFormat="1" hidden="1" x14ac:dyDescent="0.25">
      <c r="A70" s="17">
        <v>5212252</v>
      </c>
      <c r="B70" s="17" t="s">
        <v>23</v>
      </c>
      <c r="C70" s="13" t="s">
        <v>1136</v>
      </c>
      <c r="D70" s="13"/>
      <c r="E70" s="7">
        <v>0</v>
      </c>
      <c r="F70" s="13">
        <v>7833010</v>
      </c>
      <c r="G70" s="13">
        <v>25</v>
      </c>
      <c r="H70" s="15">
        <v>45205</v>
      </c>
      <c r="I70" s="15">
        <v>45166</v>
      </c>
      <c r="J70" s="15">
        <f t="shared" si="19"/>
        <v>45896</v>
      </c>
      <c r="K70" s="13">
        <v>368</v>
      </c>
      <c r="L70" s="13" t="s">
        <v>1139</v>
      </c>
      <c r="M70" s="13">
        <f t="shared" si="20"/>
        <v>9200</v>
      </c>
      <c r="N70" s="13">
        <f t="shared" si="21"/>
        <v>9200</v>
      </c>
      <c r="O70" s="58"/>
      <c r="P70" s="58"/>
      <c r="Q70" s="58"/>
      <c r="R70" s="58"/>
      <c r="S70" s="13"/>
      <c r="T70" s="13"/>
      <c r="U70" s="13"/>
      <c r="V70" s="13"/>
      <c r="W70" s="13"/>
      <c r="X70" s="13">
        <v>9200</v>
      </c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>
        <f t="shared" si="2"/>
        <v>0</v>
      </c>
      <c r="CK70" s="9"/>
    </row>
    <row r="71" spans="1:89" s="56" customFormat="1" hidden="1" x14ac:dyDescent="0.25">
      <c r="A71" s="17">
        <v>5212252</v>
      </c>
      <c r="B71" s="17" t="s">
        <v>23</v>
      </c>
      <c r="C71" s="13" t="s">
        <v>1136</v>
      </c>
      <c r="D71" s="13"/>
      <c r="E71" s="7">
        <v>0</v>
      </c>
      <c r="F71" s="13">
        <v>7833010</v>
      </c>
      <c r="G71" s="13">
        <v>25</v>
      </c>
      <c r="H71" s="15">
        <v>45205</v>
      </c>
      <c r="I71" s="15">
        <v>45166</v>
      </c>
      <c r="J71" s="15">
        <f t="shared" si="19"/>
        <v>45896</v>
      </c>
      <c r="K71" s="13">
        <v>1040</v>
      </c>
      <c r="L71" s="13" t="s">
        <v>1139</v>
      </c>
      <c r="M71" s="13">
        <f t="shared" si="20"/>
        <v>26000</v>
      </c>
      <c r="N71" s="13">
        <f t="shared" si="21"/>
        <v>26000</v>
      </c>
      <c r="O71" s="58"/>
      <c r="P71" s="58"/>
      <c r="Q71" s="58"/>
      <c r="R71" s="58"/>
      <c r="S71" s="13"/>
      <c r="T71" s="13"/>
      <c r="U71" s="13"/>
      <c r="V71" s="13"/>
      <c r="W71" s="13"/>
      <c r="X71" s="13">
        <v>14000</v>
      </c>
      <c r="Y71" s="13"/>
      <c r="Z71" s="13">
        <v>12000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>
        <f t="shared" ref="CJ71:CJ134" si="24">N71-O71-P71-Q71-R71-S71-T71-U71-V71-W71-X71-Y71-Z71-AA71-AB71-AC71-AD71-AE71-AF71-AG71-AH71-AI71-AJ71-AK71-AL71-AM71-AN71-AO71-AP71-AQ71-AR71-AS71-AT71-AU71-AV71-AW71-AX71-AY71-AZ71-BA71-BB71-BC71-BD71-BE71-BF71-BG71-BH71-BI71-BJ71-BK71-BL71-BM71-BN71-BO71-BP71-BQ71-BR71-BS71-BT71-BU71-BV71-BW71-BX71-BY71-BZ71-CA71-CB71-CC71-CD71-CE71-CF71-CG71-CH71-CI71</f>
        <v>0</v>
      </c>
      <c r="CK71" s="9"/>
    </row>
    <row r="72" spans="1:89" s="56" customFormat="1" hidden="1" x14ac:dyDescent="0.25">
      <c r="A72" s="17">
        <v>5230831</v>
      </c>
      <c r="B72" s="17" t="s">
        <v>35</v>
      </c>
      <c r="C72" s="13" t="s">
        <v>1147</v>
      </c>
      <c r="D72" s="13"/>
      <c r="E72" s="7">
        <v>0</v>
      </c>
      <c r="F72" s="13">
        <v>8023010</v>
      </c>
      <c r="G72" s="13">
        <v>240</v>
      </c>
      <c r="H72" s="15">
        <v>45206</v>
      </c>
      <c r="I72" s="15">
        <v>45172</v>
      </c>
      <c r="J72" s="15">
        <f>I72+275</f>
        <v>45447</v>
      </c>
      <c r="K72" s="13">
        <v>80</v>
      </c>
      <c r="L72" s="14" t="s">
        <v>1156</v>
      </c>
      <c r="M72" s="13">
        <f t="shared" ref="M72:M94" si="25">K72*G72</f>
        <v>19200</v>
      </c>
      <c r="N72" s="13">
        <f t="shared" ref="N72:N94" si="26">M72</f>
        <v>19200</v>
      </c>
      <c r="O72" s="58"/>
      <c r="P72" s="58"/>
      <c r="Q72" s="58"/>
      <c r="R72" s="58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>
        <v>9600</v>
      </c>
      <c r="AE72" s="13">
        <v>9600</v>
      </c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>
        <f t="shared" si="24"/>
        <v>0</v>
      </c>
      <c r="CK72" s="9"/>
    </row>
    <row r="73" spans="1:89" s="56" customFormat="1" hidden="1" x14ac:dyDescent="0.25">
      <c r="A73" s="17">
        <v>5211013</v>
      </c>
      <c r="B73" s="17" t="s">
        <v>27</v>
      </c>
      <c r="C73" s="13" t="s">
        <v>1148</v>
      </c>
      <c r="D73" s="13"/>
      <c r="E73" s="7">
        <v>0</v>
      </c>
      <c r="F73" s="13">
        <v>7933011</v>
      </c>
      <c r="G73" s="13">
        <v>25</v>
      </c>
      <c r="H73" s="15">
        <v>45206</v>
      </c>
      <c r="I73" s="15">
        <v>45168</v>
      </c>
      <c r="J73" s="15">
        <f t="shared" ref="J73:J76" si="27">+I73+730</f>
        <v>45898</v>
      </c>
      <c r="K73" s="13">
        <v>600</v>
      </c>
      <c r="L73" s="13" t="s">
        <v>1149</v>
      </c>
      <c r="M73" s="13">
        <f t="shared" si="25"/>
        <v>15000</v>
      </c>
      <c r="N73" s="13">
        <f t="shared" si="26"/>
        <v>15000</v>
      </c>
      <c r="O73" s="58"/>
      <c r="P73" s="58"/>
      <c r="Q73" s="58"/>
      <c r="R73" s="58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>
        <v>7000</v>
      </c>
      <c r="BM73" s="13">
        <v>700</v>
      </c>
      <c r="BN73" s="13">
        <v>7300</v>
      </c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>
        <f t="shared" si="24"/>
        <v>0</v>
      </c>
      <c r="CK73" s="9"/>
    </row>
    <row r="74" spans="1:89" s="56" customFormat="1" hidden="1" x14ac:dyDescent="0.25">
      <c r="A74" s="17">
        <v>5211013</v>
      </c>
      <c r="B74" s="17" t="s">
        <v>27</v>
      </c>
      <c r="C74" s="13" t="s">
        <v>1148</v>
      </c>
      <c r="D74" s="13"/>
      <c r="E74" s="7">
        <v>0</v>
      </c>
      <c r="F74" s="13">
        <v>7933011</v>
      </c>
      <c r="G74" s="13">
        <v>25</v>
      </c>
      <c r="H74" s="15">
        <v>45206</v>
      </c>
      <c r="I74" s="15">
        <v>45168</v>
      </c>
      <c r="J74" s="15">
        <f t="shared" si="27"/>
        <v>45898</v>
      </c>
      <c r="K74" s="13">
        <v>160</v>
      </c>
      <c r="L74" s="13" t="s">
        <v>1151</v>
      </c>
      <c r="M74" s="13">
        <f t="shared" si="25"/>
        <v>4000</v>
      </c>
      <c r="N74" s="13">
        <f t="shared" si="26"/>
        <v>4000</v>
      </c>
      <c r="O74" s="58"/>
      <c r="P74" s="58"/>
      <c r="Q74" s="58"/>
      <c r="R74" s="58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>
        <v>2000</v>
      </c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>
        <v>1700</v>
      </c>
      <c r="BT74" s="13"/>
      <c r="BU74" s="13"/>
      <c r="BV74" s="13"/>
      <c r="BW74" s="13"/>
      <c r="BX74" s="13"/>
      <c r="BY74" s="13"/>
      <c r="BZ74" s="13">
        <v>300</v>
      </c>
      <c r="CA74" s="13"/>
      <c r="CB74" s="13"/>
      <c r="CC74" s="13"/>
      <c r="CD74" s="13"/>
      <c r="CE74" s="13"/>
      <c r="CF74" s="13"/>
      <c r="CG74" s="13"/>
      <c r="CH74" s="13"/>
      <c r="CI74" s="13"/>
      <c r="CJ74" s="13">
        <f t="shared" si="24"/>
        <v>0</v>
      </c>
      <c r="CK74" s="9"/>
    </row>
    <row r="75" spans="1:89" s="56" customFormat="1" hidden="1" x14ac:dyDescent="0.25">
      <c r="A75" s="17">
        <v>5211013</v>
      </c>
      <c r="B75" s="17" t="s">
        <v>27</v>
      </c>
      <c r="C75" s="13" t="s">
        <v>1148</v>
      </c>
      <c r="D75" s="13"/>
      <c r="E75" s="7">
        <v>0</v>
      </c>
      <c r="F75" s="13">
        <v>7933011</v>
      </c>
      <c r="G75" s="13">
        <v>25</v>
      </c>
      <c r="H75" s="15">
        <v>45206</v>
      </c>
      <c r="I75" s="15">
        <v>45162</v>
      </c>
      <c r="J75" s="15">
        <f t="shared" si="27"/>
        <v>45892</v>
      </c>
      <c r="K75" s="13">
        <v>95</v>
      </c>
      <c r="L75" s="13" t="s">
        <v>1152</v>
      </c>
      <c r="M75" s="13">
        <f t="shared" si="25"/>
        <v>2375</v>
      </c>
      <c r="N75" s="13">
        <f t="shared" si="26"/>
        <v>2375</v>
      </c>
      <c r="O75" s="58"/>
      <c r="P75" s="58"/>
      <c r="Q75" s="58"/>
      <c r="R75" s="58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>
        <v>1000</v>
      </c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>
        <v>1375</v>
      </c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>
        <f t="shared" si="24"/>
        <v>0</v>
      </c>
      <c r="CK75" s="9"/>
    </row>
    <row r="76" spans="1:89" s="56" customFormat="1" hidden="1" x14ac:dyDescent="0.25">
      <c r="A76" s="17">
        <v>5211013</v>
      </c>
      <c r="B76" s="17" t="s">
        <v>27</v>
      </c>
      <c r="C76" s="13" t="s">
        <v>1148</v>
      </c>
      <c r="D76" s="13"/>
      <c r="E76" s="7">
        <v>0</v>
      </c>
      <c r="F76" s="13">
        <v>7933011</v>
      </c>
      <c r="G76" s="13">
        <v>25</v>
      </c>
      <c r="H76" s="15">
        <v>45206</v>
      </c>
      <c r="I76" s="15">
        <v>45161</v>
      </c>
      <c r="J76" s="15">
        <f t="shared" si="27"/>
        <v>45891</v>
      </c>
      <c r="K76" s="13">
        <v>185</v>
      </c>
      <c r="L76" s="13" t="s">
        <v>1153</v>
      </c>
      <c r="M76" s="13">
        <f t="shared" si="25"/>
        <v>4625</v>
      </c>
      <c r="N76" s="13">
        <f t="shared" si="26"/>
        <v>4625</v>
      </c>
      <c r="O76" s="58"/>
      <c r="P76" s="58"/>
      <c r="Q76" s="58"/>
      <c r="R76" s="58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>
        <v>3700</v>
      </c>
      <c r="AE76" s="13"/>
      <c r="AF76" s="13"/>
      <c r="AG76" s="13"/>
      <c r="AH76" s="13">
        <v>925</v>
      </c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>
        <f t="shared" si="24"/>
        <v>0</v>
      </c>
      <c r="CK76" s="9"/>
    </row>
    <row r="77" spans="1:89" s="56" customFormat="1" hidden="1" x14ac:dyDescent="0.25">
      <c r="A77" s="17">
        <v>5230831</v>
      </c>
      <c r="B77" s="17" t="s">
        <v>35</v>
      </c>
      <c r="C77" s="13" t="s">
        <v>1147</v>
      </c>
      <c r="D77" s="13"/>
      <c r="E77" s="7">
        <v>0</v>
      </c>
      <c r="F77" s="13">
        <v>8023010</v>
      </c>
      <c r="G77" s="13">
        <v>240</v>
      </c>
      <c r="H77" s="15">
        <v>45206</v>
      </c>
      <c r="I77" s="15">
        <v>45172</v>
      </c>
      <c r="J77" s="15">
        <f>+I77+275</f>
        <v>45447</v>
      </c>
      <c r="K77" s="13">
        <v>80</v>
      </c>
      <c r="L77" s="14" t="s">
        <v>1156</v>
      </c>
      <c r="M77" s="13">
        <f t="shared" si="25"/>
        <v>19200</v>
      </c>
      <c r="N77" s="13">
        <f t="shared" si="26"/>
        <v>19200</v>
      </c>
      <c r="O77" s="58"/>
      <c r="P77" s="58"/>
      <c r="Q77" s="58"/>
      <c r="R77" s="58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>
        <v>4320</v>
      </c>
      <c r="AF77" s="13"/>
      <c r="AG77" s="13">
        <v>9600</v>
      </c>
      <c r="AH77" s="13"/>
      <c r="AI77" s="13"/>
      <c r="AJ77" s="13"/>
      <c r="AK77" s="13">
        <v>5280</v>
      </c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>
        <f t="shared" si="24"/>
        <v>0</v>
      </c>
      <c r="CK77" s="9"/>
    </row>
    <row r="78" spans="1:89" s="56" customFormat="1" hidden="1" x14ac:dyDescent="0.25">
      <c r="A78" s="17">
        <v>5231523</v>
      </c>
      <c r="B78" s="17" t="s">
        <v>1001</v>
      </c>
      <c r="C78" s="13" t="s">
        <v>1154</v>
      </c>
      <c r="D78" s="13"/>
      <c r="E78" s="7">
        <v>0</v>
      </c>
      <c r="F78" s="13">
        <v>7776574</v>
      </c>
      <c r="G78" s="13">
        <v>200</v>
      </c>
      <c r="H78" s="15">
        <v>45206</v>
      </c>
      <c r="I78" s="15">
        <v>45153</v>
      </c>
      <c r="J78" s="15">
        <f>+I78+182</f>
        <v>45335</v>
      </c>
      <c r="K78" s="13">
        <v>10</v>
      </c>
      <c r="L78" s="14" t="s">
        <v>1000</v>
      </c>
      <c r="M78" s="13">
        <f t="shared" si="25"/>
        <v>2000</v>
      </c>
      <c r="N78" s="13">
        <f t="shared" si="26"/>
        <v>2000</v>
      </c>
      <c r="O78" s="58"/>
      <c r="P78" s="58"/>
      <c r="Q78" s="58"/>
      <c r="R78" s="58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>
        <f t="shared" si="24"/>
        <v>2000</v>
      </c>
      <c r="CK78" s="9"/>
    </row>
    <row r="79" spans="1:89" s="56" customFormat="1" hidden="1" x14ac:dyDescent="0.25">
      <c r="A79" s="17">
        <v>5230831</v>
      </c>
      <c r="B79" s="17" t="s">
        <v>35</v>
      </c>
      <c r="C79" s="13" t="s">
        <v>1147</v>
      </c>
      <c r="D79" s="13"/>
      <c r="E79" s="7">
        <v>0</v>
      </c>
      <c r="F79" s="13">
        <v>8023010</v>
      </c>
      <c r="G79" s="13">
        <v>240</v>
      </c>
      <c r="H79" s="15">
        <v>45206</v>
      </c>
      <c r="I79" s="15">
        <v>45172</v>
      </c>
      <c r="J79" s="15">
        <f>+I79+275</f>
        <v>45447</v>
      </c>
      <c r="K79" s="13">
        <v>80</v>
      </c>
      <c r="L79" s="14" t="s">
        <v>1156</v>
      </c>
      <c r="M79" s="13">
        <f t="shared" si="25"/>
        <v>19200</v>
      </c>
      <c r="N79" s="13">
        <f t="shared" si="26"/>
        <v>19200</v>
      </c>
      <c r="O79" s="58"/>
      <c r="P79" s="58"/>
      <c r="Q79" s="58"/>
      <c r="R79" s="58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>
        <v>19200</v>
      </c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>
        <f t="shared" si="24"/>
        <v>0</v>
      </c>
      <c r="CK79" s="9"/>
    </row>
    <row r="80" spans="1:89" s="56" customFormat="1" hidden="1" x14ac:dyDescent="0.25">
      <c r="A80" s="17">
        <v>5200272</v>
      </c>
      <c r="B80" s="17" t="s">
        <v>1159</v>
      </c>
      <c r="C80" s="13" t="s">
        <v>1157</v>
      </c>
      <c r="D80" s="13"/>
      <c r="E80" s="7">
        <v>0</v>
      </c>
      <c r="F80" s="13">
        <v>7934781</v>
      </c>
      <c r="G80" s="13">
        <v>250</v>
      </c>
      <c r="H80" s="15">
        <v>45206</v>
      </c>
      <c r="I80" s="15">
        <v>45152</v>
      </c>
      <c r="J80" s="15">
        <f>+I80+365</f>
        <v>45517</v>
      </c>
      <c r="K80" s="13">
        <v>80</v>
      </c>
      <c r="L80" s="14" t="s">
        <v>1158</v>
      </c>
      <c r="M80" s="13">
        <f t="shared" si="25"/>
        <v>20000</v>
      </c>
      <c r="N80" s="13">
        <f t="shared" si="26"/>
        <v>20000</v>
      </c>
      <c r="O80" s="58"/>
      <c r="P80" s="58"/>
      <c r="Q80" s="58"/>
      <c r="R80" s="58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>
        <v>20000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>
        <f t="shared" si="24"/>
        <v>0</v>
      </c>
      <c r="CK80" s="9"/>
    </row>
    <row r="81" spans="1:89" s="56" customFormat="1" hidden="1" x14ac:dyDescent="0.25">
      <c r="A81" s="17">
        <v>5200272</v>
      </c>
      <c r="B81" s="17" t="s">
        <v>1159</v>
      </c>
      <c r="C81" s="13" t="s">
        <v>1157</v>
      </c>
      <c r="D81" s="13"/>
      <c r="E81" s="7">
        <v>0</v>
      </c>
      <c r="F81" s="13">
        <v>7934781</v>
      </c>
      <c r="G81" s="13">
        <v>250</v>
      </c>
      <c r="H81" s="15">
        <v>45206</v>
      </c>
      <c r="I81" s="15">
        <v>45152</v>
      </c>
      <c r="J81" s="15">
        <f t="shared" ref="J81:J83" si="28">+I81+365</f>
        <v>45517</v>
      </c>
      <c r="K81" s="13">
        <v>80</v>
      </c>
      <c r="L81" s="14" t="s">
        <v>1158</v>
      </c>
      <c r="M81" s="13">
        <f t="shared" si="25"/>
        <v>20000</v>
      </c>
      <c r="N81" s="13">
        <f t="shared" si="26"/>
        <v>20000</v>
      </c>
      <c r="O81" s="58"/>
      <c r="P81" s="58"/>
      <c r="Q81" s="58"/>
      <c r="R81" s="58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>
        <v>7500</v>
      </c>
      <c r="BP81" s="13"/>
      <c r="BQ81" s="13"/>
      <c r="BR81" s="13"/>
      <c r="BS81" s="13"/>
      <c r="BT81" s="13"/>
      <c r="BU81" s="13">
        <v>12500</v>
      </c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>
        <f t="shared" si="24"/>
        <v>0</v>
      </c>
      <c r="CK81" s="9"/>
    </row>
    <row r="82" spans="1:89" s="56" customFormat="1" hidden="1" x14ac:dyDescent="0.25">
      <c r="A82" s="17">
        <v>5200272</v>
      </c>
      <c r="B82" s="17" t="s">
        <v>1159</v>
      </c>
      <c r="C82" s="13" t="s">
        <v>1157</v>
      </c>
      <c r="D82" s="13"/>
      <c r="E82" s="7">
        <v>0</v>
      </c>
      <c r="F82" s="13">
        <v>7934781</v>
      </c>
      <c r="G82" s="13">
        <v>250</v>
      </c>
      <c r="H82" s="15">
        <v>45206</v>
      </c>
      <c r="I82" s="15">
        <v>45152</v>
      </c>
      <c r="J82" s="15">
        <f t="shared" si="28"/>
        <v>45517</v>
      </c>
      <c r="K82" s="13">
        <v>80</v>
      </c>
      <c r="L82" s="14" t="s">
        <v>1158</v>
      </c>
      <c r="M82" s="13">
        <f t="shared" si="25"/>
        <v>20000</v>
      </c>
      <c r="N82" s="13">
        <f t="shared" si="26"/>
        <v>20000</v>
      </c>
      <c r="O82" s="58"/>
      <c r="P82" s="58"/>
      <c r="Q82" s="58"/>
      <c r="R82" s="58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>
        <v>20000</v>
      </c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>
        <f t="shared" si="24"/>
        <v>0</v>
      </c>
      <c r="CK82" s="9"/>
    </row>
    <row r="83" spans="1:89" s="56" customFormat="1" hidden="1" x14ac:dyDescent="0.25">
      <c r="A83" s="17">
        <v>5200272</v>
      </c>
      <c r="B83" s="17" t="s">
        <v>1159</v>
      </c>
      <c r="C83" s="13" t="s">
        <v>1157</v>
      </c>
      <c r="D83" s="13"/>
      <c r="E83" s="7">
        <v>0</v>
      </c>
      <c r="F83" s="13">
        <v>7934781</v>
      </c>
      <c r="G83" s="13">
        <v>250</v>
      </c>
      <c r="H83" s="15">
        <v>45206</v>
      </c>
      <c r="I83" s="15">
        <v>45152</v>
      </c>
      <c r="J83" s="15">
        <f t="shared" si="28"/>
        <v>45517</v>
      </c>
      <c r="K83" s="13">
        <v>80</v>
      </c>
      <c r="L83" s="14" t="s">
        <v>1158</v>
      </c>
      <c r="M83" s="13">
        <f t="shared" si="25"/>
        <v>20000</v>
      </c>
      <c r="N83" s="13">
        <f t="shared" si="26"/>
        <v>20000</v>
      </c>
      <c r="O83" s="58"/>
      <c r="P83" s="58"/>
      <c r="Q83" s="58"/>
      <c r="R83" s="58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>
        <v>20000</v>
      </c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>
        <f t="shared" si="24"/>
        <v>0</v>
      </c>
      <c r="CK83" s="9"/>
    </row>
    <row r="84" spans="1:89" s="56" customFormat="1" hidden="1" x14ac:dyDescent="0.25">
      <c r="A84" s="17">
        <v>5211013</v>
      </c>
      <c r="B84" s="17" t="s">
        <v>27</v>
      </c>
      <c r="C84" s="13" t="s">
        <v>1160</v>
      </c>
      <c r="D84" s="13"/>
      <c r="E84" s="7">
        <v>0</v>
      </c>
      <c r="F84" s="13">
        <v>7833009</v>
      </c>
      <c r="G84" s="13">
        <v>25</v>
      </c>
      <c r="H84" s="15">
        <v>45206</v>
      </c>
      <c r="I84" s="15">
        <v>45162</v>
      </c>
      <c r="J84" s="15">
        <f>+I84+730</f>
        <v>45892</v>
      </c>
      <c r="K84" s="13">
        <v>840</v>
      </c>
      <c r="L84" s="13" t="s">
        <v>1161</v>
      </c>
      <c r="M84" s="13">
        <f t="shared" si="25"/>
        <v>21000</v>
      </c>
      <c r="N84" s="13">
        <f t="shared" si="26"/>
        <v>21000</v>
      </c>
      <c r="O84" s="58"/>
      <c r="P84" s="58"/>
      <c r="Q84" s="58"/>
      <c r="R84" s="58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>
        <v>7000</v>
      </c>
      <c r="AN84" s="13"/>
      <c r="AO84" s="13"/>
      <c r="AP84" s="13"/>
      <c r="AQ84" s="13"/>
      <c r="AR84" s="13">
        <v>10000</v>
      </c>
      <c r="AS84" s="13"/>
      <c r="AT84" s="13">
        <v>3000</v>
      </c>
      <c r="AU84" s="13"/>
      <c r="AV84" s="13"/>
      <c r="AW84" s="13"/>
      <c r="AX84" s="13"/>
      <c r="AY84" s="13">
        <v>1000</v>
      </c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>
        <f t="shared" si="24"/>
        <v>0</v>
      </c>
      <c r="CK84" s="9"/>
    </row>
    <row r="85" spans="1:89" s="56" customFormat="1" hidden="1" x14ac:dyDescent="0.25">
      <c r="A85" s="17">
        <v>5211013</v>
      </c>
      <c r="B85" s="17" t="s">
        <v>27</v>
      </c>
      <c r="C85" s="13" t="s">
        <v>1160</v>
      </c>
      <c r="D85" s="13"/>
      <c r="E85" s="7">
        <v>0</v>
      </c>
      <c r="F85" s="13">
        <v>7833009</v>
      </c>
      <c r="G85" s="13">
        <v>25</v>
      </c>
      <c r="H85" s="15">
        <v>45206</v>
      </c>
      <c r="I85" s="15">
        <v>45161</v>
      </c>
      <c r="J85" s="15">
        <f>+I85+730</f>
        <v>45891</v>
      </c>
      <c r="K85" s="13">
        <v>200</v>
      </c>
      <c r="L85" s="13" t="s">
        <v>1153</v>
      </c>
      <c r="M85" s="13">
        <f t="shared" si="25"/>
        <v>5000</v>
      </c>
      <c r="N85" s="13">
        <f t="shared" si="26"/>
        <v>5000</v>
      </c>
      <c r="O85" s="58"/>
      <c r="P85" s="58"/>
      <c r="Q85" s="58"/>
      <c r="R85" s="58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5000</v>
      </c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>
        <f t="shared" si="24"/>
        <v>0</v>
      </c>
      <c r="CK85" s="9"/>
    </row>
    <row r="86" spans="1:89" s="56" customFormat="1" hidden="1" x14ac:dyDescent="0.25">
      <c r="A86" s="17">
        <v>5212252</v>
      </c>
      <c r="B86" s="17" t="s">
        <v>23</v>
      </c>
      <c r="C86" s="13" t="s">
        <v>1163</v>
      </c>
      <c r="D86" s="13"/>
      <c r="E86" s="7">
        <v>0</v>
      </c>
      <c r="F86" s="13">
        <v>8017757</v>
      </c>
      <c r="G86" s="13">
        <v>25</v>
      </c>
      <c r="H86" s="15">
        <v>45206</v>
      </c>
      <c r="I86" s="15">
        <v>45168</v>
      </c>
      <c r="J86" s="15">
        <f t="shared" ref="J86:J88" si="29">+I86+730</f>
        <v>45898</v>
      </c>
      <c r="K86" s="13">
        <v>473</v>
      </c>
      <c r="L86" s="13" t="s">
        <v>1164</v>
      </c>
      <c r="M86" s="13">
        <f t="shared" si="25"/>
        <v>11825</v>
      </c>
      <c r="N86" s="13">
        <f t="shared" si="26"/>
        <v>11825</v>
      </c>
      <c r="O86" s="58"/>
      <c r="P86" s="58"/>
      <c r="Q86" s="58"/>
      <c r="R86" s="58"/>
      <c r="S86" s="13"/>
      <c r="T86" s="13"/>
      <c r="U86" s="13"/>
      <c r="V86" s="13"/>
      <c r="W86" s="13"/>
      <c r="X86" s="13"/>
      <c r="Y86" s="13"/>
      <c r="Z86" s="13">
        <v>7000</v>
      </c>
      <c r="AA86" s="13">
        <v>4825</v>
      </c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>
        <f t="shared" si="24"/>
        <v>0</v>
      </c>
      <c r="CK86" s="9"/>
    </row>
    <row r="87" spans="1:89" s="56" customFormat="1" hidden="1" x14ac:dyDescent="0.25">
      <c r="A87" s="17">
        <v>5212252</v>
      </c>
      <c r="B87" s="17" t="s">
        <v>23</v>
      </c>
      <c r="C87" s="13" t="s">
        <v>1163</v>
      </c>
      <c r="D87" s="13"/>
      <c r="E87" s="7">
        <v>0</v>
      </c>
      <c r="F87" s="13">
        <v>8017757</v>
      </c>
      <c r="G87" s="13">
        <v>25</v>
      </c>
      <c r="H87" s="15">
        <v>45206</v>
      </c>
      <c r="I87" s="15">
        <v>44984</v>
      </c>
      <c r="J87" s="15">
        <f t="shared" si="29"/>
        <v>45714</v>
      </c>
      <c r="K87" s="13">
        <v>119</v>
      </c>
      <c r="L87" s="13" t="s">
        <v>373</v>
      </c>
      <c r="M87" s="13">
        <f t="shared" si="25"/>
        <v>2975</v>
      </c>
      <c r="N87" s="13">
        <f t="shared" si="26"/>
        <v>2975</v>
      </c>
      <c r="O87" s="58"/>
      <c r="P87" s="58"/>
      <c r="Q87" s="58"/>
      <c r="R87" s="58"/>
      <c r="S87" s="13"/>
      <c r="T87" s="13"/>
      <c r="U87" s="13"/>
      <c r="V87" s="13"/>
      <c r="W87" s="13"/>
      <c r="X87" s="13"/>
      <c r="Y87" s="13"/>
      <c r="Z87" s="13"/>
      <c r="AA87" s="13">
        <v>2975</v>
      </c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>
        <f t="shared" si="24"/>
        <v>0</v>
      </c>
      <c r="CK87" s="9"/>
    </row>
    <row r="88" spans="1:89" s="56" customFormat="1" hidden="1" x14ac:dyDescent="0.25">
      <c r="A88" s="17">
        <v>5212252</v>
      </c>
      <c r="B88" s="17" t="s">
        <v>23</v>
      </c>
      <c r="C88" s="13" t="s">
        <v>1163</v>
      </c>
      <c r="D88" s="13"/>
      <c r="E88" s="7">
        <v>0</v>
      </c>
      <c r="F88" s="13">
        <v>8017757</v>
      </c>
      <c r="G88" s="13">
        <v>25</v>
      </c>
      <c r="H88" s="15">
        <v>45206</v>
      </c>
      <c r="I88" s="15">
        <v>45172</v>
      </c>
      <c r="J88" s="15">
        <f t="shared" si="29"/>
        <v>45902</v>
      </c>
      <c r="K88" s="13">
        <v>448</v>
      </c>
      <c r="L88" s="13" t="s">
        <v>1166</v>
      </c>
      <c r="M88" s="13">
        <f t="shared" si="25"/>
        <v>11200</v>
      </c>
      <c r="N88" s="13">
        <f t="shared" si="26"/>
        <v>11200</v>
      </c>
      <c r="O88" s="58"/>
      <c r="P88" s="58"/>
      <c r="Q88" s="58"/>
      <c r="R88" s="58"/>
      <c r="S88" s="13"/>
      <c r="T88" s="13"/>
      <c r="U88" s="13"/>
      <c r="V88" s="13"/>
      <c r="W88" s="13"/>
      <c r="X88" s="13"/>
      <c r="Y88" s="13"/>
      <c r="Z88" s="13"/>
      <c r="AA88" s="13">
        <v>7200</v>
      </c>
      <c r="AB88" s="13"/>
      <c r="AC88" s="13"/>
      <c r="AD88" s="13"/>
      <c r="AE88" s="13"/>
      <c r="AF88" s="13">
        <v>4000</v>
      </c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>
        <f t="shared" si="24"/>
        <v>0</v>
      </c>
      <c r="CK88" s="9"/>
    </row>
    <row r="89" spans="1:89" s="56" customFormat="1" hidden="1" x14ac:dyDescent="0.25">
      <c r="A89" s="17">
        <v>5211013</v>
      </c>
      <c r="B89" s="17" t="s">
        <v>27</v>
      </c>
      <c r="C89" s="13" t="s">
        <v>1167</v>
      </c>
      <c r="D89" s="13"/>
      <c r="E89" s="7">
        <v>0</v>
      </c>
      <c r="F89" s="13">
        <v>7833009</v>
      </c>
      <c r="G89" s="13">
        <v>25</v>
      </c>
      <c r="H89" s="15">
        <v>45206</v>
      </c>
      <c r="I89" s="15">
        <v>45162</v>
      </c>
      <c r="J89" s="15">
        <f t="shared" ref="J89:J90" si="30">+I89+730</f>
        <v>45892</v>
      </c>
      <c r="K89" s="13">
        <v>880</v>
      </c>
      <c r="L89" s="13" t="s">
        <v>1152</v>
      </c>
      <c r="M89" s="13">
        <f t="shared" si="25"/>
        <v>22000</v>
      </c>
      <c r="N89" s="13">
        <f t="shared" si="26"/>
        <v>22000</v>
      </c>
      <c r="O89" s="58"/>
      <c r="P89" s="58"/>
      <c r="Q89" s="58"/>
      <c r="R89" s="58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>
        <v>5075</v>
      </c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>
        <v>4000</v>
      </c>
      <c r="AZ89" s="13">
        <v>7000</v>
      </c>
      <c r="BA89" s="13">
        <v>2000</v>
      </c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>
        <v>3925</v>
      </c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>
        <f t="shared" si="24"/>
        <v>0</v>
      </c>
      <c r="CK89" s="9"/>
    </row>
    <row r="90" spans="1:89" s="56" customFormat="1" hidden="1" x14ac:dyDescent="0.25">
      <c r="A90" s="17">
        <v>5211013</v>
      </c>
      <c r="B90" s="17" t="s">
        <v>27</v>
      </c>
      <c r="C90" s="13" t="s">
        <v>1167</v>
      </c>
      <c r="D90" s="13"/>
      <c r="E90" s="7">
        <v>0</v>
      </c>
      <c r="F90" s="13">
        <v>7833009</v>
      </c>
      <c r="G90" s="13">
        <v>25</v>
      </c>
      <c r="H90" s="15">
        <v>45206</v>
      </c>
      <c r="I90" s="15">
        <v>45161</v>
      </c>
      <c r="J90" s="15">
        <f t="shared" si="30"/>
        <v>45891</v>
      </c>
      <c r="K90" s="13">
        <v>160</v>
      </c>
      <c r="L90" s="13" t="s">
        <v>1169</v>
      </c>
      <c r="M90" s="13">
        <f t="shared" si="25"/>
        <v>4000</v>
      </c>
      <c r="N90" s="13">
        <f t="shared" si="26"/>
        <v>4000</v>
      </c>
      <c r="O90" s="58"/>
      <c r="P90" s="58"/>
      <c r="Q90" s="58"/>
      <c r="R90" s="58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>
        <v>4000</v>
      </c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>
        <f t="shared" si="24"/>
        <v>0</v>
      </c>
      <c r="CK90" s="9"/>
    </row>
    <row r="91" spans="1:89" s="56" customFormat="1" hidden="1" x14ac:dyDescent="0.25">
      <c r="A91" s="17">
        <v>5200272</v>
      </c>
      <c r="B91" s="17" t="s">
        <v>1159</v>
      </c>
      <c r="C91" s="13" t="s">
        <v>1170</v>
      </c>
      <c r="D91" s="13"/>
      <c r="E91" s="7">
        <v>0</v>
      </c>
      <c r="F91" s="13">
        <v>8053602</v>
      </c>
      <c r="G91" s="13">
        <v>250</v>
      </c>
      <c r="H91" s="15">
        <v>45208</v>
      </c>
      <c r="I91" s="15">
        <v>45152</v>
      </c>
      <c r="J91" s="15">
        <f t="shared" ref="J91:J92" si="31">+I91+365</f>
        <v>45517</v>
      </c>
      <c r="K91" s="13">
        <v>80</v>
      </c>
      <c r="L91" s="14" t="s">
        <v>1158</v>
      </c>
      <c r="M91" s="13">
        <f t="shared" si="25"/>
        <v>20000</v>
      </c>
      <c r="N91" s="13">
        <f t="shared" si="26"/>
        <v>20000</v>
      </c>
      <c r="O91" s="58"/>
      <c r="P91" s="58"/>
      <c r="Q91" s="58"/>
      <c r="R91" s="58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>
        <v>20000</v>
      </c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>
        <f t="shared" si="24"/>
        <v>0</v>
      </c>
      <c r="CK91" s="9"/>
    </row>
    <row r="92" spans="1:89" s="56" customFormat="1" hidden="1" x14ac:dyDescent="0.25">
      <c r="A92" s="17">
        <v>5200272</v>
      </c>
      <c r="B92" s="17" t="s">
        <v>1159</v>
      </c>
      <c r="C92" s="13" t="s">
        <v>1170</v>
      </c>
      <c r="D92" s="13"/>
      <c r="E92" s="7">
        <v>0</v>
      </c>
      <c r="F92" s="13">
        <v>8053602</v>
      </c>
      <c r="G92" s="13">
        <v>250</v>
      </c>
      <c r="H92" s="15">
        <v>45208</v>
      </c>
      <c r="I92" s="15">
        <v>45152</v>
      </c>
      <c r="J92" s="15">
        <f t="shared" si="31"/>
        <v>45517</v>
      </c>
      <c r="K92" s="13">
        <v>80</v>
      </c>
      <c r="L92" s="14" t="s">
        <v>1158</v>
      </c>
      <c r="M92" s="13">
        <f t="shared" si="25"/>
        <v>20000</v>
      </c>
      <c r="N92" s="13">
        <f t="shared" si="26"/>
        <v>20000</v>
      </c>
      <c r="O92" s="58"/>
      <c r="P92" s="58"/>
      <c r="Q92" s="58"/>
      <c r="R92" s="58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>
        <v>20000</v>
      </c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>
        <f t="shared" si="24"/>
        <v>0</v>
      </c>
      <c r="CK92" s="9"/>
    </row>
    <row r="93" spans="1:89" s="56" customFormat="1" hidden="1" x14ac:dyDescent="0.25">
      <c r="A93" s="17">
        <v>5212252</v>
      </c>
      <c r="B93" s="17" t="s">
        <v>23</v>
      </c>
      <c r="C93" s="13" t="s">
        <v>1163</v>
      </c>
      <c r="D93" s="13"/>
      <c r="E93" s="7">
        <v>0</v>
      </c>
      <c r="F93" s="13">
        <v>8017757</v>
      </c>
      <c r="G93" s="13">
        <v>25</v>
      </c>
      <c r="H93" s="15">
        <v>45208</v>
      </c>
      <c r="I93" s="15">
        <v>45168</v>
      </c>
      <c r="J93" s="15">
        <f t="shared" ref="J93" si="32">+I93+730</f>
        <v>45898</v>
      </c>
      <c r="K93" s="13">
        <v>1040</v>
      </c>
      <c r="L93" s="13" t="s">
        <v>1164</v>
      </c>
      <c r="M93" s="13">
        <f t="shared" si="25"/>
        <v>26000</v>
      </c>
      <c r="N93" s="13">
        <f t="shared" si="26"/>
        <v>26000</v>
      </c>
      <c r="O93" s="58"/>
      <c r="P93" s="58"/>
      <c r="Q93" s="58"/>
      <c r="R93" s="58"/>
      <c r="S93" s="13"/>
      <c r="T93" s="13"/>
      <c r="U93" s="13"/>
      <c r="V93" s="13"/>
      <c r="W93" s="13"/>
      <c r="X93" s="13"/>
      <c r="Y93" s="13">
        <v>26000</v>
      </c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>
        <f t="shared" si="24"/>
        <v>0</v>
      </c>
      <c r="CK93" s="9"/>
    </row>
    <row r="94" spans="1:89" s="56" customFormat="1" hidden="1" x14ac:dyDescent="0.25">
      <c r="A94" s="17">
        <v>5200272</v>
      </c>
      <c r="B94" s="17" t="s">
        <v>1159</v>
      </c>
      <c r="C94" s="13" t="s">
        <v>1170</v>
      </c>
      <c r="D94" s="13"/>
      <c r="E94" s="7">
        <v>0</v>
      </c>
      <c r="F94" s="13">
        <v>8053602</v>
      </c>
      <c r="G94" s="13">
        <v>250</v>
      </c>
      <c r="H94" s="15">
        <v>45208</v>
      </c>
      <c r="I94" s="15">
        <v>45152</v>
      </c>
      <c r="J94" s="15">
        <f>+I94+365</f>
        <v>45517</v>
      </c>
      <c r="K94" s="13">
        <v>80</v>
      </c>
      <c r="L94" s="14" t="s">
        <v>1158</v>
      </c>
      <c r="M94" s="13">
        <f t="shared" si="25"/>
        <v>20000</v>
      </c>
      <c r="N94" s="13">
        <f t="shared" si="26"/>
        <v>20000</v>
      </c>
      <c r="O94" s="58"/>
      <c r="P94" s="58"/>
      <c r="Q94" s="58"/>
      <c r="R94" s="58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>
        <v>20000</v>
      </c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>
        <f t="shared" si="24"/>
        <v>0</v>
      </c>
      <c r="CK94" s="9"/>
    </row>
    <row r="95" spans="1:89" s="56" customFormat="1" hidden="1" x14ac:dyDescent="0.25">
      <c r="A95" s="17">
        <v>5211013</v>
      </c>
      <c r="B95" s="17" t="s">
        <v>27</v>
      </c>
      <c r="C95" s="13" t="s">
        <v>1182</v>
      </c>
      <c r="D95" s="13"/>
      <c r="E95" s="7">
        <v>0</v>
      </c>
      <c r="F95" s="13">
        <v>8054309</v>
      </c>
      <c r="G95" s="13">
        <v>25</v>
      </c>
      <c r="H95" s="15">
        <v>45209</v>
      </c>
      <c r="I95" s="15">
        <v>45168</v>
      </c>
      <c r="J95" s="15">
        <f t="shared" ref="J95:J102" si="33">+I95+730</f>
        <v>45898</v>
      </c>
      <c r="K95" s="13">
        <v>560</v>
      </c>
      <c r="L95" s="13" t="s">
        <v>1149</v>
      </c>
      <c r="M95" s="13">
        <f t="shared" ref="M95:M132" si="34">K95*G95</f>
        <v>14000</v>
      </c>
      <c r="N95" s="13">
        <f t="shared" ref="N95:N132" si="35">M95</f>
        <v>14000</v>
      </c>
      <c r="O95" s="58"/>
      <c r="P95" s="58"/>
      <c r="Q95" s="58"/>
      <c r="R95" s="58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>
        <v>2700</v>
      </c>
      <c r="BO95" s="13"/>
      <c r="BP95" s="13"/>
      <c r="BQ95" s="13"/>
      <c r="BR95" s="13"/>
      <c r="BS95" s="13">
        <v>11300</v>
      </c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>
        <f t="shared" si="24"/>
        <v>0</v>
      </c>
      <c r="CK95" s="9"/>
    </row>
    <row r="96" spans="1:89" s="56" customFormat="1" hidden="1" x14ac:dyDescent="0.25">
      <c r="A96" s="17">
        <v>5211013</v>
      </c>
      <c r="B96" s="17" t="s">
        <v>27</v>
      </c>
      <c r="C96" s="13" t="s">
        <v>1182</v>
      </c>
      <c r="D96" s="13"/>
      <c r="E96" s="7">
        <v>0</v>
      </c>
      <c r="F96" s="13">
        <v>8054309</v>
      </c>
      <c r="G96" s="13">
        <v>25</v>
      </c>
      <c r="H96" s="15">
        <v>45209</v>
      </c>
      <c r="I96" s="15">
        <v>45168</v>
      </c>
      <c r="J96" s="15">
        <f t="shared" si="33"/>
        <v>45898</v>
      </c>
      <c r="K96" s="13">
        <v>280</v>
      </c>
      <c r="L96" s="13" t="s">
        <v>1151</v>
      </c>
      <c r="M96" s="13">
        <f t="shared" si="34"/>
        <v>7000</v>
      </c>
      <c r="N96" s="13">
        <f t="shared" si="35"/>
        <v>7000</v>
      </c>
      <c r="O96" s="58"/>
      <c r="P96" s="58"/>
      <c r="Q96" s="58"/>
      <c r="R96" s="58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>
        <v>7000</v>
      </c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>
        <f t="shared" si="24"/>
        <v>0</v>
      </c>
      <c r="CK96" s="9"/>
    </row>
    <row r="97" spans="1:89" s="56" customFormat="1" hidden="1" x14ac:dyDescent="0.25">
      <c r="A97" s="17">
        <v>5211013</v>
      </c>
      <c r="B97" s="17" t="s">
        <v>27</v>
      </c>
      <c r="C97" s="13" t="s">
        <v>1182</v>
      </c>
      <c r="D97" s="13"/>
      <c r="E97" s="7">
        <v>0</v>
      </c>
      <c r="F97" s="13">
        <v>8054309</v>
      </c>
      <c r="G97" s="13">
        <v>25</v>
      </c>
      <c r="H97" s="15">
        <v>45209</v>
      </c>
      <c r="I97" s="15">
        <v>45154</v>
      </c>
      <c r="J97" s="15">
        <f t="shared" si="33"/>
        <v>45884</v>
      </c>
      <c r="K97" s="13">
        <v>200</v>
      </c>
      <c r="L97" s="13" t="s">
        <v>1183</v>
      </c>
      <c r="M97" s="13">
        <f t="shared" si="34"/>
        <v>5000</v>
      </c>
      <c r="N97" s="13">
        <f t="shared" si="35"/>
        <v>5000</v>
      </c>
      <c r="O97" s="58"/>
      <c r="P97" s="58"/>
      <c r="Q97" s="58"/>
      <c r="R97" s="58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>
        <v>5000</v>
      </c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>
        <f t="shared" si="24"/>
        <v>0</v>
      </c>
      <c r="CK97" s="9"/>
    </row>
    <row r="98" spans="1:89" s="56" customFormat="1" hidden="1" x14ac:dyDescent="0.25">
      <c r="A98" s="17">
        <v>5200272</v>
      </c>
      <c r="B98" s="17" t="s">
        <v>1159</v>
      </c>
      <c r="C98" s="13" t="s">
        <v>1170</v>
      </c>
      <c r="D98" s="13"/>
      <c r="E98" s="7">
        <v>0</v>
      </c>
      <c r="F98" s="13">
        <v>8053602</v>
      </c>
      <c r="G98" s="13">
        <v>250</v>
      </c>
      <c r="H98" s="15">
        <v>45209</v>
      </c>
      <c r="I98" s="15">
        <v>45152</v>
      </c>
      <c r="J98" s="15">
        <f>+I98+365</f>
        <v>45517</v>
      </c>
      <c r="K98" s="13">
        <v>80</v>
      </c>
      <c r="L98" s="14" t="s">
        <v>1158</v>
      </c>
      <c r="M98" s="13">
        <f t="shared" si="34"/>
        <v>20000</v>
      </c>
      <c r="N98" s="13">
        <f t="shared" si="35"/>
        <v>20000</v>
      </c>
      <c r="O98" s="58"/>
      <c r="P98" s="58"/>
      <c r="Q98" s="58"/>
      <c r="R98" s="58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>
        <v>20000</v>
      </c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>
        <f t="shared" si="24"/>
        <v>0</v>
      </c>
      <c r="CK98" s="9"/>
    </row>
    <row r="99" spans="1:89" s="56" customFormat="1" hidden="1" x14ac:dyDescent="0.25">
      <c r="A99" s="17">
        <v>5212252</v>
      </c>
      <c r="B99" s="17" t="s">
        <v>23</v>
      </c>
      <c r="C99" s="13" t="s">
        <v>1184</v>
      </c>
      <c r="D99" s="13"/>
      <c r="E99" s="7">
        <v>0</v>
      </c>
      <c r="F99" s="13">
        <v>8017754</v>
      </c>
      <c r="G99" s="13">
        <v>25</v>
      </c>
      <c r="H99" s="15">
        <v>45209</v>
      </c>
      <c r="I99" s="15">
        <v>45154</v>
      </c>
      <c r="J99" s="15">
        <f t="shared" si="33"/>
        <v>45884</v>
      </c>
      <c r="K99" s="13">
        <v>720</v>
      </c>
      <c r="L99" s="13" t="s">
        <v>1116</v>
      </c>
      <c r="M99" s="13">
        <f t="shared" si="34"/>
        <v>18000</v>
      </c>
      <c r="N99" s="13">
        <f t="shared" si="35"/>
        <v>18000</v>
      </c>
      <c r="O99" s="58"/>
      <c r="P99" s="58"/>
      <c r="Q99" s="58"/>
      <c r="R99" s="58"/>
      <c r="S99" s="13"/>
      <c r="T99" s="13"/>
      <c r="U99" s="13"/>
      <c r="V99" s="13"/>
      <c r="W99" s="13"/>
      <c r="X99" s="13"/>
      <c r="Y99" s="13"/>
      <c r="Z99" s="13"/>
      <c r="AA99" s="13">
        <v>3000</v>
      </c>
      <c r="AB99" s="13">
        <v>15000</v>
      </c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>
        <f t="shared" si="24"/>
        <v>0</v>
      </c>
      <c r="CK99" s="9"/>
    </row>
    <row r="100" spans="1:89" s="56" customFormat="1" hidden="1" x14ac:dyDescent="0.25">
      <c r="A100" s="17">
        <v>5212252</v>
      </c>
      <c r="B100" s="17" t="s">
        <v>23</v>
      </c>
      <c r="C100" s="13" t="s">
        <v>1184</v>
      </c>
      <c r="D100" s="13"/>
      <c r="E100" s="7">
        <v>0</v>
      </c>
      <c r="F100" s="13">
        <v>8017754</v>
      </c>
      <c r="G100" s="13">
        <v>25</v>
      </c>
      <c r="H100" s="15">
        <v>45209</v>
      </c>
      <c r="I100" s="15">
        <v>45152</v>
      </c>
      <c r="J100" s="15">
        <f t="shared" si="33"/>
        <v>45882</v>
      </c>
      <c r="K100" s="13">
        <v>320</v>
      </c>
      <c r="L100" s="14" t="s">
        <v>1138</v>
      </c>
      <c r="M100" s="13">
        <f t="shared" ref="M100" si="36">K100*G100</f>
        <v>8000</v>
      </c>
      <c r="N100" s="13">
        <f t="shared" ref="N100" si="37">M100</f>
        <v>8000</v>
      </c>
      <c r="O100" s="58"/>
      <c r="P100" s="58"/>
      <c r="Q100" s="58"/>
      <c r="R100" s="58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>
        <v>8000</v>
      </c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>
        <f t="shared" si="24"/>
        <v>0</v>
      </c>
      <c r="CK100" s="9"/>
    </row>
    <row r="101" spans="1:89" s="56" customFormat="1" hidden="1" x14ac:dyDescent="0.25">
      <c r="A101" s="17">
        <v>5230831</v>
      </c>
      <c r="B101" s="17" t="s">
        <v>35</v>
      </c>
      <c r="C101" s="13" t="s">
        <v>1186</v>
      </c>
      <c r="D101" s="13"/>
      <c r="E101" s="7">
        <v>0</v>
      </c>
      <c r="F101" s="13">
        <v>7954913</v>
      </c>
      <c r="G101" s="13">
        <v>240</v>
      </c>
      <c r="H101" s="15">
        <v>45209</v>
      </c>
      <c r="I101" s="15">
        <v>45173</v>
      </c>
      <c r="J101" s="15">
        <f>+I101+275</f>
        <v>45448</v>
      </c>
      <c r="K101" s="13">
        <v>80</v>
      </c>
      <c r="L101" s="14" t="s">
        <v>1187</v>
      </c>
      <c r="M101" s="13">
        <f t="shared" si="34"/>
        <v>19200</v>
      </c>
      <c r="N101" s="13">
        <f t="shared" si="35"/>
        <v>19200</v>
      </c>
      <c r="O101" s="58"/>
      <c r="P101" s="58"/>
      <c r="Q101" s="58"/>
      <c r="R101" s="58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>
        <v>4320</v>
      </c>
      <c r="AL101" s="13"/>
      <c r="AM101" s="13">
        <v>9600</v>
      </c>
      <c r="AN101" s="13">
        <v>5280</v>
      </c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>
        <f t="shared" si="24"/>
        <v>0</v>
      </c>
      <c r="CK101" s="9"/>
    </row>
    <row r="102" spans="1:89" s="56" customFormat="1" hidden="1" x14ac:dyDescent="0.25">
      <c r="A102" s="17">
        <v>5212252</v>
      </c>
      <c r="B102" s="17" t="s">
        <v>23</v>
      </c>
      <c r="C102" s="13" t="s">
        <v>1184</v>
      </c>
      <c r="D102" s="13"/>
      <c r="E102" s="7">
        <v>0</v>
      </c>
      <c r="F102" s="13">
        <v>8017754</v>
      </c>
      <c r="G102" s="13">
        <v>25</v>
      </c>
      <c r="H102" s="15">
        <v>45209</v>
      </c>
      <c r="I102" s="15">
        <v>45152</v>
      </c>
      <c r="J102" s="15">
        <f t="shared" si="33"/>
        <v>45882</v>
      </c>
      <c r="K102" s="13">
        <v>1040</v>
      </c>
      <c r="L102" s="14" t="s">
        <v>1138</v>
      </c>
      <c r="M102" s="13">
        <f t="shared" si="34"/>
        <v>26000</v>
      </c>
      <c r="N102" s="13">
        <f t="shared" si="35"/>
        <v>26000</v>
      </c>
      <c r="O102" s="58"/>
      <c r="P102" s="58"/>
      <c r="Q102" s="58"/>
      <c r="R102" s="58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>
        <v>26000</v>
      </c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>
        <f t="shared" si="24"/>
        <v>0</v>
      </c>
      <c r="CK102" s="9"/>
    </row>
    <row r="103" spans="1:89" s="56" customFormat="1" hidden="1" x14ac:dyDescent="0.25">
      <c r="A103" s="17">
        <v>5200272</v>
      </c>
      <c r="B103" s="17" t="s">
        <v>1159</v>
      </c>
      <c r="C103" s="13" t="s">
        <v>1170</v>
      </c>
      <c r="D103" s="13"/>
      <c r="E103" s="7">
        <v>0</v>
      </c>
      <c r="F103" s="13">
        <v>8053602</v>
      </c>
      <c r="G103" s="13">
        <v>250</v>
      </c>
      <c r="H103" s="15">
        <v>45209</v>
      </c>
      <c r="I103" s="15">
        <v>45152</v>
      </c>
      <c r="J103" s="15">
        <f>+I103+365</f>
        <v>45517</v>
      </c>
      <c r="K103" s="13">
        <v>80</v>
      </c>
      <c r="L103" s="14" t="s">
        <v>1158</v>
      </c>
      <c r="M103" s="13">
        <f t="shared" si="34"/>
        <v>20000</v>
      </c>
      <c r="N103" s="13">
        <f t="shared" si="35"/>
        <v>20000</v>
      </c>
      <c r="O103" s="58"/>
      <c r="P103" s="58"/>
      <c r="Q103" s="58"/>
      <c r="R103" s="58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>
        <v>20000</v>
      </c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>
        <f t="shared" si="24"/>
        <v>0</v>
      </c>
      <c r="CK103" s="9"/>
    </row>
    <row r="104" spans="1:89" s="56" customFormat="1" hidden="1" x14ac:dyDescent="0.25">
      <c r="A104" s="17">
        <v>5230831</v>
      </c>
      <c r="B104" s="17" t="s">
        <v>35</v>
      </c>
      <c r="C104" s="13" t="s">
        <v>1186</v>
      </c>
      <c r="D104" s="13"/>
      <c r="E104" s="7">
        <v>0</v>
      </c>
      <c r="F104" s="13">
        <v>7954913</v>
      </c>
      <c r="G104" s="13">
        <v>240</v>
      </c>
      <c r="H104" s="15">
        <v>45209</v>
      </c>
      <c r="I104" s="15">
        <v>45173</v>
      </c>
      <c r="J104" s="15">
        <f>+I104+275</f>
        <v>45448</v>
      </c>
      <c r="K104" s="13">
        <v>80</v>
      </c>
      <c r="L104" s="14" t="s">
        <v>1187</v>
      </c>
      <c r="M104" s="13">
        <f t="shared" si="34"/>
        <v>19200</v>
      </c>
      <c r="N104" s="13">
        <f t="shared" si="35"/>
        <v>19200</v>
      </c>
      <c r="O104" s="58"/>
      <c r="P104" s="58"/>
      <c r="Q104" s="58"/>
      <c r="R104" s="58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>
        <v>4320</v>
      </c>
      <c r="AO104" s="13">
        <v>7680</v>
      </c>
      <c r="AP104" s="13">
        <v>7200</v>
      </c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>
        <f t="shared" si="24"/>
        <v>0</v>
      </c>
      <c r="CK104" s="9"/>
    </row>
    <row r="105" spans="1:89" s="56" customFormat="1" hidden="1" x14ac:dyDescent="0.25">
      <c r="A105" s="17">
        <v>5211014</v>
      </c>
      <c r="B105" s="17" t="s">
        <v>38</v>
      </c>
      <c r="C105" s="13" t="s">
        <v>1190</v>
      </c>
      <c r="D105" s="13"/>
      <c r="E105" s="7">
        <v>0</v>
      </c>
      <c r="F105" s="13">
        <v>8017751</v>
      </c>
      <c r="G105" s="13">
        <v>25</v>
      </c>
      <c r="H105" s="15">
        <v>45210</v>
      </c>
      <c r="I105" s="15">
        <v>45173</v>
      </c>
      <c r="J105" s="15">
        <f t="shared" ref="J105" si="38">+I105+730</f>
        <v>45903</v>
      </c>
      <c r="K105" s="13">
        <v>1040</v>
      </c>
      <c r="L105" s="13" t="s">
        <v>1191</v>
      </c>
      <c r="M105" s="13">
        <f t="shared" si="34"/>
        <v>26000</v>
      </c>
      <c r="N105" s="13">
        <f t="shared" si="35"/>
        <v>26000</v>
      </c>
      <c r="O105" s="58"/>
      <c r="P105" s="58"/>
      <c r="Q105" s="58"/>
      <c r="R105" s="58"/>
      <c r="S105" s="13"/>
      <c r="T105" s="13"/>
      <c r="U105" s="13"/>
      <c r="V105" s="13"/>
      <c r="W105" s="13"/>
      <c r="X105" s="13"/>
      <c r="Y105" s="13"/>
      <c r="Z105" s="13"/>
      <c r="AA105" s="13">
        <v>7000</v>
      </c>
      <c r="AB105" s="13">
        <v>15000</v>
      </c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>
        <v>4000</v>
      </c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>
        <f t="shared" si="24"/>
        <v>0</v>
      </c>
      <c r="CK105" s="9"/>
    </row>
    <row r="106" spans="1:89" s="56" customFormat="1" hidden="1" x14ac:dyDescent="0.25">
      <c r="A106" s="17">
        <v>5309040</v>
      </c>
      <c r="B106" s="17" t="s">
        <v>105</v>
      </c>
      <c r="C106" s="13">
        <v>91522342</v>
      </c>
      <c r="D106" s="13"/>
      <c r="E106" s="7">
        <v>0</v>
      </c>
      <c r="F106" s="13">
        <v>7933360</v>
      </c>
      <c r="G106" s="13">
        <v>250</v>
      </c>
      <c r="H106" s="15">
        <v>45212</v>
      </c>
      <c r="I106" s="15">
        <v>45157</v>
      </c>
      <c r="J106" s="15">
        <v>45521</v>
      </c>
      <c r="K106" s="13">
        <v>80</v>
      </c>
      <c r="L106" s="13" t="s">
        <v>1210</v>
      </c>
      <c r="M106" s="13">
        <f t="shared" si="34"/>
        <v>20000</v>
      </c>
      <c r="N106" s="13">
        <f t="shared" si="35"/>
        <v>20000</v>
      </c>
      <c r="O106" s="58"/>
      <c r="P106" s="58"/>
      <c r="Q106" s="58"/>
      <c r="R106" s="58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>
        <v>8750</v>
      </c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>
        <v>11250</v>
      </c>
      <c r="CB106" s="13"/>
      <c r="CC106" s="13"/>
      <c r="CD106" s="13"/>
      <c r="CE106" s="13"/>
      <c r="CF106" s="13"/>
      <c r="CG106" s="13"/>
      <c r="CH106" s="13"/>
      <c r="CI106" s="13"/>
      <c r="CJ106" s="13">
        <f t="shared" si="24"/>
        <v>0</v>
      </c>
      <c r="CK106" s="9"/>
    </row>
    <row r="107" spans="1:89" s="56" customFormat="1" hidden="1" x14ac:dyDescent="0.25">
      <c r="A107" s="17">
        <v>5309040</v>
      </c>
      <c r="B107" s="17" t="s">
        <v>105</v>
      </c>
      <c r="C107" s="13">
        <v>91522342</v>
      </c>
      <c r="D107" s="13"/>
      <c r="E107" s="7">
        <v>0</v>
      </c>
      <c r="F107" s="13">
        <v>7933360</v>
      </c>
      <c r="G107" s="13">
        <v>250</v>
      </c>
      <c r="H107" s="15">
        <v>45212</v>
      </c>
      <c r="I107" s="15">
        <v>45156</v>
      </c>
      <c r="J107" s="15">
        <v>45521</v>
      </c>
      <c r="K107" s="13">
        <v>80</v>
      </c>
      <c r="L107" s="13" t="s">
        <v>1204</v>
      </c>
      <c r="M107" s="13">
        <f t="shared" si="34"/>
        <v>20000</v>
      </c>
      <c r="N107" s="13">
        <f t="shared" si="35"/>
        <v>20000</v>
      </c>
      <c r="O107" s="58"/>
      <c r="P107" s="58"/>
      <c r="Q107" s="58"/>
      <c r="R107" s="58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>
        <v>10000</v>
      </c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>
        <v>10000</v>
      </c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>
        <f t="shared" si="24"/>
        <v>0</v>
      </c>
      <c r="CK107" s="9"/>
    </row>
    <row r="108" spans="1:89" s="56" customFormat="1" hidden="1" x14ac:dyDescent="0.25">
      <c r="A108" s="17">
        <v>5309040</v>
      </c>
      <c r="B108" s="17" t="s">
        <v>105</v>
      </c>
      <c r="C108" s="13">
        <v>91522342</v>
      </c>
      <c r="D108" s="13"/>
      <c r="E108" s="7">
        <v>0</v>
      </c>
      <c r="F108" s="13">
        <v>7933360</v>
      </c>
      <c r="G108" s="13">
        <v>250</v>
      </c>
      <c r="H108" s="15">
        <v>45212</v>
      </c>
      <c r="I108" s="15">
        <v>45157</v>
      </c>
      <c r="J108" s="15">
        <v>45521</v>
      </c>
      <c r="K108" s="13">
        <v>80</v>
      </c>
      <c r="L108" s="13" t="s">
        <v>1210</v>
      </c>
      <c r="M108" s="13">
        <f t="shared" si="34"/>
        <v>20000</v>
      </c>
      <c r="N108" s="13">
        <f t="shared" si="35"/>
        <v>20000</v>
      </c>
      <c r="O108" s="58"/>
      <c r="P108" s="58"/>
      <c r="Q108" s="58"/>
      <c r="R108" s="58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>
        <v>9000</v>
      </c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>
        <v>11000</v>
      </c>
      <c r="CB108" s="13"/>
      <c r="CC108" s="13"/>
      <c r="CD108" s="13"/>
      <c r="CE108" s="13"/>
      <c r="CF108" s="13"/>
      <c r="CG108" s="13"/>
      <c r="CH108" s="13"/>
      <c r="CI108" s="13"/>
      <c r="CJ108" s="13">
        <f t="shared" si="24"/>
        <v>0</v>
      </c>
      <c r="CK108" s="9"/>
    </row>
    <row r="109" spans="1:89" s="56" customFormat="1" hidden="1" x14ac:dyDescent="0.25">
      <c r="A109" s="17">
        <v>5309040</v>
      </c>
      <c r="B109" s="17" t="s">
        <v>105</v>
      </c>
      <c r="C109" s="13">
        <v>91522342</v>
      </c>
      <c r="D109" s="13"/>
      <c r="E109" s="7">
        <v>0</v>
      </c>
      <c r="F109" s="13">
        <v>7933360</v>
      </c>
      <c r="G109" s="13">
        <v>250</v>
      </c>
      <c r="H109" s="15">
        <v>45212</v>
      </c>
      <c r="I109" s="15">
        <v>45039</v>
      </c>
      <c r="J109" s="15">
        <f>+I109+365</f>
        <v>45404</v>
      </c>
      <c r="K109" s="13">
        <v>12</v>
      </c>
      <c r="L109" s="13" t="s">
        <v>1213</v>
      </c>
      <c r="M109" s="13">
        <f t="shared" si="34"/>
        <v>3000</v>
      </c>
      <c r="N109" s="13">
        <f t="shared" si="35"/>
        <v>3000</v>
      </c>
      <c r="O109" s="58"/>
      <c r="P109" s="58"/>
      <c r="Q109" s="58"/>
      <c r="R109" s="58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>
        <v>3000</v>
      </c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>
        <f t="shared" si="24"/>
        <v>0</v>
      </c>
      <c r="CK109" s="9"/>
    </row>
    <row r="110" spans="1:89" s="56" customFormat="1" hidden="1" x14ac:dyDescent="0.25">
      <c r="A110" s="17">
        <v>5309040</v>
      </c>
      <c r="B110" s="17" t="s">
        <v>105</v>
      </c>
      <c r="C110" s="13">
        <v>91522342</v>
      </c>
      <c r="D110" s="13"/>
      <c r="E110" s="7">
        <v>0</v>
      </c>
      <c r="F110" s="13">
        <v>7933360</v>
      </c>
      <c r="G110" s="13">
        <v>250</v>
      </c>
      <c r="H110" s="15">
        <v>45212</v>
      </c>
      <c r="I110" s="15">
        <v>45157</v>
      </c>
      <c r="J110" s="15">
        <v>45521</v>
      </c>
      <c r="K110" s="13">
        <v>68</v>
      </c>
      <c r="L110" s="13" t="s">
        <v>1210</v>
      </c>
      <c r="M110" s="13">
        <f t="shared" si="34"/>
        <v>17000</v>
      </c>
      <c r="N110" s="13">
        <f t="shared" si="35"/>
        <v>17000</v>
      </c>
      <c r="O110" s="58"/>
      <c r="P110" s="58"/>
      <c r="Q110" s="58"/>
      <c r="R110" s="58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>
        <v>5250</v>
      </c>
      <c r="CB110" s="13">
        <v>11750</v>
      </c>
      <c r="CC110" s="13"/>
      <c r="CD110" s="13"/>
      <c r="CE110" s="13"/>
      <c r="CF110" s="13"/>
      <c r="CG110" s="13"/>
      <c r="CH110" s="13"/>
      <c r="CI110" s="13"/>
      <c r="CJ110" s="13">
        <f t="shared" si="24"/>
        <v>0</v>
      </c>
      <c r="CK110" s="9"/>
    </row>
    <row r="111" spans="1:89" s="56" customFormat="1" hidden="1" x14ac:dyDescent="0.25">
      <c r="A111" s="17">
        <v>5309040</v>
      </c>
      <c r="B111" s="17" t="s">
        <v>105</v>
      </c>
      <c r="C111" s="13">
        <v>91522342</v>
      </c>
      <c r="D111" s="13"/>
      <c r="E111" s="7">
        <v>0</v>
      </c>
      <c r="F111" s="13">
        <v>7933360</v>
      </c>
      <c r="G111" s="13">
        <v>250</v>
      </c>
      <c r="H111" s="15">
        <v>45212</v>
      </c>
      <c r="I111" s="15">
        <v>45100</v>
      </c>
      <c r="J111" s="15">
        <v>45465</v>
      </c>
      <c r="K111" s="13">
        <v>20</v>
      </c>
      <c r="L111" s="13" t="s">
        <v>1212</v>
      </c>
      <c r="M111" s="13">
        <f t="shared" si="34"/>
        <v>5000</v>
      </c>
      <c r="N111" s="13">
        <f t="shared" si="35"/>
        <v>5000</v>
      </c>
      <c r="O111" s="58"/>
      <c r="P111" s="58"/>
      <c r="Q111" s="58"/>
      <c r="R111" s="58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>
        <v>5000</v>
      </c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>
        <f t="shared" si="24"/>
        <v>0</v>
      </c>
      <c r="CK111" s="9"/>
    </row>
    <row r="112" spans="1:89" s="56" customFormat="1" hidden="1" x14ac:dyDescent="0.25">
      <c r="A112" s="17">
        <v>5309040</v>
      </c>
      <c r="B112" s="17" t="s">
        <v>105</v>
      </c>
      <c r="C112" s="13">
        <v>91522342</v>
      </c>
      <c r="D112" s="13"/>
      <c r="E112" s="7">
        <v>0</v>
      </c>
      <c r="F112" s="13">
        <v>7933360</v>
      </c>
      <c r="G112" s="13">
        <v>250</v>
      </c>
      <c r="H112" s="15">
        <v>45212</v>
      </c>
      <c r="I112" s="15">
        <v>45157</v>
      </c>
      <c r="J112" s="15">
        <v>45521</v>
      </c>
      <c r="K112" s="13">
        <v>60</v>
      </c>
      <c r="L112" s="13" t="s">
        <v>1210</v>
      </c>
      <c r="M112" s="13">
        <f t="shared" si="34"/>
        <v>15000</v>
      </c>
      <c r="N112" s="13">
        <f t="shared" si="35"/>
        <v>15000</v>
      </c>
      <c r="O112" s="58"/>
      <c r="P112" s="58"/>
      <c r="Q112" s="58"/>
      <c r="R112" s="58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>
        <v>15000</v>
      </c>
      <c r="CC112" s="13"/>
      <c r="CD112" s="13"/>
      <c r="CE112" s="13"/>
      <c r="CF112" s="13"/>
      <c r="CG112" s="13"/>
      <c r="CH112" s="13"/>
      <c r="CI112" s="13"/>
      <c r="CJ112" s="13">
        <f t="shared" si="24"/>
        <v>0</v>
      </c>
      <c r="CK112" s="9"/>
    </row>
    <row r="113" spans="1:89" s="56" customFormat="1" hidden="1" x14ac:dyDescent="0.25">
      <c r="A113" s="17">
        <v>5212252</v>
      </c>
      <c r="B113" s="17" t="s">
        <v>23</v>
      </c>
      <c r="C113" s="13" t="s">
        <v>1218</v>
      </c>
      <c r="D113" s="13"/>
      <c r="E113" s="7">
        <v>0</v>
      </c>
      <c r="F113" s="13">
        <v>8108078</v>
      </c>
      <c r="G113" s="13">
        <v>25</v>
      </c>
      <c r="H113" s="15">
        <v>45213</v>
      </c>
      <c r="I113" s="15">
        <v>45170</v>
      </c>
      <c r="J113" s="15">
        <f>+I113+365+365</f>
        <v>45900</v>
      </c>
      <c r="K113" s="13">
        <v>1040</v>
      </c>
      <c r="L113" s="13" t="s">
        <v>1219</v>
      </c>
      <c r="M113" s="13">
        <f t="shared" si="34"/>
        <v>26000</v>
      </c>
      <c r="N113" s="13">
        <f t="shared" si="35"/>
        <v>26000</v>
      </c>
      <c r="O113" s="58"/>
      <c r="P113" s="58"/>
      <c r="Q113" s="58"/>
      <c r="R113" s="58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>
        <v>1000</v>
      </c>
      <c r="AE113" s="13">
        <v>7000</v>
      </c>
      <c r="AF113" s="13">
        <v>18000</v>
      </c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>
        <f t="shared" si="24"/>
        <v>0</v>
      </c>
      <c r="CK113" s="9"/>
    </row>
    <row r="114" spans="1:89" s="56" customFormat="1" hidden="1" x14ac:dyDescent="0.25">
      <c r="A114" s="17">
        <v>5212252</v>
      </c>
      <c r="B114" s="17" t="s">
        <v>23</v>
      </c>
      <c r="C114" s="13" t="s">
        <v>1218</v>
      </c>
      <c r="D114" s="13"/>
      <c r="E114" s="7">
        <v>0</v>
      </c>
      <c r="F114" s="13">
        <v>8108078</v>
      </c>
      <c r="G114" s="13">
        <v>25</v>
      </c>
      <c r="H114" s="15">
        <v>45213</v>
      </c>
      <c r="I114" s="15">
        <v>45170</v>
      </c>
      <c r="J114" s="15">
        <f>+I114+365+365</f>
        <v>45900</v>
      </c>
      <c r="K114" s="13">
        <v>288</v>
      </c>
      <c r="L114" s="13" t="s">
        <v>1219</v>
      </c>
      <c r="M114" s="13">
        <f t="shared" si="34"/>
        <v>7200</v>
      </c>
      <c r="N114" s="13">
        <f t="shared" si="35"/>
        <v>7200</v>
      </c>
      <c r="O114" s="58"/>
      <c r="P114" s="58"/>
      <c r="Q114" s="58"/>
      <c r="R114" s="58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>
        <v>7200</v>
      </c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>
        <f t="shared" si="24"/>
        <v>0</v>
      </c>
      <c r="CK114" s="9"/>
    </row>
    <row r="115" spans="1:89" s="56" customFormat="1" hidden="1" x14ac:dyDescent="0.25">
      <c r="A115" s="17">
        <v>5212252</v>
      </c>
      <c r="B115" s="17" t="s">
        <v>23</v>
      </c>
      <c r="C115" s="13" t="s">
        <v>1218</v>
      </c>
      <c r="D115" s="13"/>
      <c r="E115" s="7">
        <v>0</v>
      </c>
      <c r="F115" s="13">
        <v>8108078</v>
      </c>
      <c r="G115" s="13">
        <v>25</v>
      </c>
      <c r="H115" s="15">
        <v>45213</v>
      </c>
      <c r="I115" s="15">
        <v>45172</v>
      </c>
      <c r="J115" s="15">
        <f>+I115+365+365</f>
        <v>45902</v>
      </c>
      <c r="K115" s="13">
        <v>752</v>
      </c>
      <c r="L115" s="13" t="s">
        <v>1166</v>
      </c>
      <c r="M115" s="13">
        <f t="shared" si="34"/>
        <v>18800</v>
      </c>
      <c r="N115" s="13">
        <f t="shared" si="35"/>
        <v>18800</v>
      </c>
      <c r="O115" s="58"/>
      <c r="P115" s="58"/>
      <c r="Q115" s="58"/>
      <c r="R115" s="58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>
        <v>8000</v>
      </c>
      <c r="AF115" s="13">
        <v>10675</v>
      </c>
      <c r="AG115" s="13"/>
      <c r="AH115" s="13"/>
      <c r="AI115" s="13"/>
      <c r="AJ115" s="13"/>
      <c r="AK115" s="13"/>
      <c r="AL115" s="13"/>
      <c r="AM115" s="13"/>
      <c r="AN115" s="13">
        <v>125</v>
      </c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>
        <f t="shared" si="24"/>
        <v>0</v>
      </c>
      <c r="CK115" s="9"/>
    </row>
    <row r="116" spans="1:89" s="56" customFormat="1" hidden="1" x14ac:dyDescent="0.25">
      <c r="A116" s="17">
        <v>5200272</v>
      </c>
      <c r="B116" s="17" t="s">
        <v>1159</v>
      </c>
      <c r="C116" s="13" t="s">
        <v>1222</v>
      </c>
      <c r="D116" s="13"/>
      <c r="E116" s="7">
        <v>0</v>
      </c>
      <c r="F116" s="13">
        <v>8108081</v>
      </c>
      <c r="G116" s="13">
        <v>250</v>
      </c>
      <c r="H116" s="15">
        <v>45213</v>
      </c>
      <c r="I116" s="15">
        <v>45152</v>
      </c>
      <c r="J116" s="15">
        <f>+I116+365</f>
        <v>45517</v>
      </c>
      <c r="K116" s="13">
        <v>80</v>
      </c>
      <c r="L116" s="14" t="s">
        <v>1158</v>
      </c>
      <c r="M116" s="13">
        <f t="shared" si="34"/>
        <v>20000</v>
      </c>
      <c r="N116" s="13">
        <f t="shared" si="35"/>
        <v>20000</v>
      </c>
      <c r="O116" s="58"/>
      <c r="P116" s="58"/>
      <c r="Q116" s="58"/>
      <c r="R116" s="58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>
        <v>20000</v>
      </c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>
        <f t="shared" si="24"/>
        <v>0</v>
      </c>
      <c r="CK116" s="9"/>
    </row>
    <row r="117" spans="1:89" s="56" customFormat="1" hidden="1" x14ac:dyDescent="0.25">
      <c r="A117" s="17">
        <v>5200272</v>
      </c>
      <c r="B117" s="17" t="s">
        <v>1159</v>
      </c>
      <c r="C117" s="13" t="s">
        <v>1222</v>
      </c>
      <c r="D117" s="13"/>
      <c r="E117" s="7">
        <v>0</v>
      </c>
      <c r="F117" s="13">
        <v>8108081</v>
      </c>
      <c r="G117" s="13">
        <v>250</v>
      </c>
      <c r="H117" s="15">
        <v>45213</v>
      </c>
      <c r="I117" s="15">
        <v>45152</v>
      </c>
      <c r="J117" s="15">
        <f>+I117+365</f>
        <v>45517</v>
      </c>
      <c r="K117" s="13">
        <v>80</v>
      </c>
      <c r="L117" s="14" t="s">
        <v>1158</v>
      </c>
      <c r="M117" s="13">
        <f t="shared" si="34"/>
        <v>20000</v>
      </c>
      <c r="N117" s="13">
        <f t="shared" si="35"/>
        <v>20000</v>
      </c>
      <c r="O117" s="58"/>
      <c r="P117" s="58"/>
      <c r="Q117" s="58"/>
      <c r="R117" s="58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>
        <v>17500</v>
      </c>
      <c r="BO117" s="13"/>
      <c r="BP117" s="13"/>
      <c r="BQ117" s="13"/>
      <c r="BR117" s="13"/>
      <c r="BS117" s="13"/>
      <c r="BT117" s="13"/>
      <c r="BU117" s="13">
        <v>2500</v>
      </c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>
        <f t="shared" si="24"/>
        <v>0</v>
      </c>
      <c r="CK117" s="9"/>
    </row>
    <row r="118" spans="1:89" s="56" customFormat="1" hidden="1" x14ac:dyDescent="0.25">
      <c r="A118" s="17">
        <v>5230831</v>
      </c>
      <c r="B118" s="17" t="s">
        <v>35</v>
      </c>
      <c r="C118" s="13" t="s">
        <v>1231</v>
      </c>
      <c r="D118" s="13"/>
      <c r="E118" s="7">
        <v>0</v>
      </c>
      <c r="F118" s="13">
        <v>8262234</v>
      </c>
      <c r="G118" s="13">
        <v>240</v>
      </c>
      <c r="H118" s="15">
        <v>45216</v>
      </c>
      <c r="I118" s="15">
        <v>45184</v>
      </c>
      <c r="J118" s="15">
        <f>+I118+275</f>
        <v>45459</v>
      </c>
      <c r="K118" s="13">
        <v>80</v>
      </c>
      <c r="L118" s="14" t="s">
        <v>1232</v>
      </c>
      <c r="M118" s="13">
        <f t="shared" si="34"/>
        <v>19200</v>
      </c>
      <c r="N118" s="13">
        <f t="shared" si="35"/>
        <v>19200</v>
      </c>
      <c r="O118" s="58"/>
      <c r="P118" s="58"/>
      <c r="Q118" s="58"/>
      <c r="R118" s="58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>
        <v>2400</v>
      </c>
      <c r="AQ118" s="13"/>
      <c r="AR118" s="13"/>
      <c r="AS118" s="13"/>
      <c r="AT118" s="13"/>
      <c r="AU118" s="13"/>
      <c r="AV118" s="13"/>
      <c r="AW118" s="13"/>
      <c r="AX118" s="13"/>
      <c r="AY118" s="13">
        <v>9600</v>
      </c>
      <c r="AZ118" s="13">
        <v>7200</v>
      </c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>
        <f t="shared" si="24"/>
        <v>0</v>
      </c>
      <c r="CK118" s="9"/>
    </row>
    <row r="119" spans="1:89" s="56" customFormat="1" hidden="1" x14ac:dyDescent="0.25">
      <c r="A119" s="17">
        <v>5230831</v>
      </c>
      <c r="B119" s="17" t="s">
        <v>35</v>
      </c>
      <c r="C119" s="13" t="s">
        <v>1231</v>
      </c>
      <c r="D119" s="13"/>
      <c r="E119" s="7">
        <v>0</v>
      </c>
      <c r="F119" s="13">
        <v>8262234</v>
      </c>
      <c r="G119" s="13">
        <v>240</v>
      </c>
      <c r="H119" s="15">
        <v>45216</v>
      </c>
      <c r="I119" s="15">
        <v>45184</v>
      </c>
      <c r="J119" s="15">
        <f t="shared" ref="J119:J125" si="39">+I119+275</f>
        <v>45459</v>
      </c>
      <c r="K119" s="13">
        <v>80</v>
      </c>
      <c r="L119" s="14" t="s">
        <v>1232</v>
      </c>
      <c r="M119" s="13">
        <f t="shared" si="34"/>
        <v>19200</v>
      </c>
      <c r="N119" s="13">
        <f t="shared" si="35"/>
        <v>19200</v>
      </c>
      <c r="O119" s="58"/>
      <c r="P119" s="58"/>
      <c r="Q119" s="58"/>
      <c r="R119" s="58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>
        <v>13440</v>
      </c>
      <c r="BA119" s="13">
        <v>5280</v>
      </c>
      <c r="BB119" s="13"/>
      <c r="BC119" s="13"/>
      <c r="BD119" s="13"/>
      <c r="BE119" s="13"/>
      <c r="BF119" s="13"/>
      <c r="BG119" s="13"/>
      <c r="BH119" s="13"/>
      <c r="BI119" s="13">
        <v>480</v>
      </c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>
        <f t="shared" si="24"/>
        <v>0</v>
      </c>
      <c r="CK119" s="9"/>
    </row>
    <row r="120" spans="1:89" s="56" customFormat="1" hidden="1" x14ac:dyDescent="0.25">
      <c r="A120" s="17">
        <v>5230831</v>
      </c>
      <c r="B120" s="17" t="s">
        <v>35</v>
      </c>
      <c r="C120" s="13" t="s">
        <v>1231</v>
      </c>
      <c r="D120" s="13"/>
      <c r="E120" s="7">
        <v>0</v>
      </c>
      <c r="F120" s="13">
        <v>8262234</v>
      </c>
      <c r="G120" s="13">
        <v>240</v>
      </c>
      <c r="H120" s="15">
        <v>45216</v>
      </c>
      <c r="I120" s="15">
        <v>45184</v>
      </c>
      <c r="J120" s="15">
        <f t="shared" si="39"/>
        <v>45459</v>
      </c>
      <c r="K120" s="13">
        <v>80</v>
      </c>
      <c r="L120" s="14" t="s">
        <v>1232</v>
      </c>
      <c r="M120" s="13">
        <f t="shared" si="34"/>
        <v>19200</v>
      </c>
      <c r="N120" s="13">
        <f t="shared" si="35"/>
        <v>19200</v>
      </c>
      <c r="O120" s="58"/>
      <c r="P120" s="58"/>
      <c r="Q120" s="58"/>
      <c r="R120" s="58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>
        <v>9120</v>
      </c>
      <c r="BJ120" s="13">
        <v>9600</v>
      </c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>
        <v>480</v>
      </c>
      <c r="CD120" s="13"/>
      <c r="CE120" s="13"/>
      <c r="CF120" s="13"/>
      <c r="CG120" s="13"/>
      <c r="CH120" s="13"/>
      <c r="CI120" s="13"/>
      <c r="CJ120" s="13">
        <f t="shared" si="24"/>
        <v>0</v>
      </c>
      <c r="CK120" s="9"/>
    </row>
    <row r="121" spans="1:89" s="56" customFormat="1" hidden="1" x14ac:dyDescent="0.25">
      <c r="A121" s="17">
        <v>5200399</v>
      </c>
      <c r="B121" s="17" t="s">
        <v>1005</v>
      </c>
      <c r="C121" s="13" t="s">
        <v>1251</v>
      </c>
      <c r="D121" s="13"/>
      <c r="E121" s="7">
        <v>0</v>
      </c>
      <c r="F121" s="13">
        <v>8179442</v>
      </c>
      <c r="G121" s="13">
        <v>250</v>
      </c>
      <c r="H121" s="15">
        <v>45217</v>
      </c>
      <c r="I121" s="15">
        <v>45085</v>
      </c>
      <c r="J121" s="15">
        <f>+I121+365</f>
        <v>45450</v>
      </c>
      <c r="K121" s="13">
        <v>48</v>
      </c>
      <c r="L121" s="14" t="s">
        <v>1252</v>
      </c>
      <c r="M121" s="13">
        <f t="shared" si="34"/>
        <v>12000</v>
      </c>
      <c r="N121" s="13">
        <f t="shared" si="35"/>
        <v>12000</v>
      </c>
      <c r="O121" s="58"/>
      <c r="P121" s="58"/>
      <c r="Q121" s="58"/>
      <c r="R121" s="58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>
        <f t="shared" si="24"/>
        <v>12000</v>
      </c>
      <c r="CK121" s="9"/>
    </row>
    <row r="122" spans="1:89" s="56" customFormat="1" hidden="1" x14ac:dyDescent="0.25">
      <c r="A122" s="17">
        <v>5230831</v>
      </c>
      <c r="B122" s="17" t="s">
        <v>35</v>
      </c>
      <c r="C122" s="13" t="s">
        <v>1258</v>
      </c>
      <c r="D122" s="13"/>
      <c r="E122" s="7">
        <v>0</v>
      </c>
      <c r="F122" s="13">
        <v>8178885</v>
      </c>
      <c r="G122" s="13">
        <v>240</v>
      </c>
      <c r="H122" s="15">
        <v>45218</v>
      </c>
      <c r="I122" s="15">
        <v>45181</v>
      </c>
      <c r="J122" s="15">
        <f t="shared" si="39"/>
        <v>45456</v>
      </c>
      <c r="K122" s="13">
        <v>80</v>
      </c>
      <c r="L122" s="14" t="s">
        <v>1259</v>
      </c>
      <c r="M122" s="13">
        <f t="shared" si="34"/>
        <v>19200</v>
      </c>
      <c r="N122" s="13">
        <f t="shared" si="35"/>
        <v>19200</v>
      </c>
      <c r="O122" s="58"/>
      <c r="P122" s="58"/>
      <c r="Q122" s="58"/>
      <c r="R122" s="58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>
        <v>19200</v>
      </c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>
        <f t="shared" si="24"/>
        <v>0</v>
      </c>
      <c r="CK122" s="9"/>
    </row>
    <row r="123" spans="1:89" s="56" customFormat="1" hidden="1" x14ac:dyDescent="0.25">
      <c r="A123" s="17">
        <v>5230831</v>
      </c>
      <c r="B123" s="17" t="s">
        <v>35</v>
      </c>
      <c r="C123" s="13" t="s">
        <v>1258</v>
      </c>
      <c r="D123" s="13"/>
      <c r="E123" s="7">
        <v>0</v>
      </c>
      <c r="F123" s="13">
        <v>8178885</v>
      </c>
      <c r="G123" s="13">
        <v>240</v>
      </c>
      <c r="H123" s="15">
        <v>45218</v>
      </c>
      <c r="I123" s="15">
        <v>45181</v>
      </c>
      <c r="J123" s="15">
        <f t="shared" si="39"/>
        <v>45456</v>
      </c>
      <c r="K123" s="13">
        <v>80</v>
      </c>
      <c r="L123" s="14" t="s">
        <v>1259</v>
      </c>
      <c r="M123" s="13">
        <f t="shared" si="34"/>
        <v>19200</v>
      </c>
      <c r="N123" s="13">
        <f t="shared" si="35"/>
        <v>19200</v>
      </c>
      <c r="O123" s="58"/>
      <c r="P123" s="58"/>
      <c r="Q123" s="58"/>
      <c r="R123" s="58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>
        <v>17280</v>
      </c>
      <c r="AS123" s="13"/>
      <c r="AT123" s="13"/>
      <c r="AU123" s="13"/>
      <c r="AV123" s="13"/>
      <c r="AW123" s="13"/>
      <c r="AX123" s="13">
        <v>1920</v>
      </c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>
        <f t="shared" si="24"/>
        <v>0</v>
      </c>
      <c r="CK123" s="9"/>
    </row>
    <row r="124" spans="1:89" s="56" customFormat="1" hidden="1" x14ac:dyDescent="0.25">
      <c r="A124" s="17">
        <v>5230831</v>
      </c>
      <c r="B124" s="17" t="s">
        <v>35</v>
      </c>
      <c r="C124" s="13" t="s">
        <v>1258</v>
      </c>
      <c r="D124" s="13"/>
      <c r="E124" s="7">
        <v>0</v>
      </c>
      <c r="F124" s="13">
        <v>8178885</v>
      </c>
      <c r="G124" s="13">
        <v>240</v>
      </c>
      <c r="H124" s="15">
        <v>45218</v>
      </c>
      <c r="I124" s="15">
        <v>45181</v>
      </c>
      <c r="J124" s="15">
        <f t="shared" si="39"/>
        <v>45456</v>
      </c>
      <c r="K124" s="13">
        <v>80</v>
      </c>
      <c r="L124" s="14" t="s">
        <v>1259</v>
      </c>
      <c r="M124" s="13">
        <f t="shared" si="34"/>
        <v>19200</v>
      </c>
      <c r="N124" s="13">
        <f t="shared" si="35"/>
        <v>19200</v>
      </c>
      <c r="O124" s="58"/>
      <c r="P124" s="58"/>
      <c r="Q124" s="58"/>
      <c r="R124" s="58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>
        <v>10560</v>
      </c>
      <c r="AY124" s="13">
        <v>7680</v>
      </c>
      <c r="AZ124" s="13">
        <v>960</v>
      </c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>
        <f t="shared" si="24"/>
        <v>0</v>
      </c>
      <c r="CK124" s="9"/>
    </row>
    <row r="125" spans="1:89" s="56" customFormat="1" hidden="1" x14ac:dyDescent="0.25">
      <c r="A125" s="17">
        <v>5230831</v>
      </c>
      <c r="B125" s="17" t="s">
        <v>35</v>
      </c>
      <c r="C125" s="13" t="s">
        <v>1258</v>
      </c>
      <c r="D125" s="13"/>
      <c r="E125" s="7">
        <v>0</v>
      </c>
      <c r="F125" s="13">
        <v>8178885</v>
      </c>
      <c r="G125" s="13">
        <v>240</v>
      </c>
      <c r="H125" s="15">
        <v>45218</v>
      </c>
      <c r="I125" s="15">
        <v>45181</v>
      </c>
      <c r="J125" s="15">
        <f t="shared" si="39"/>
        <v>45456</v>
      </c>
      <c r="K125" s="13">
        <v>80</v>
      </c>
      <c r="L125" s="14" t="s">
        <v>1259</v>
      </c>
      <c r="M125" s="13">
        <f t="shared" si="34"/>
        <v>19200</v>
      </c>
      <c r="N125" s="13">
        <f t="shared" si="35"/>
        <v>19200</v>
      </c>
      <c r="O125" s="58"/>
      <c r="P125" s="58"/>
      <c r="Q125" s="58"/>
      <c r="R125" s="58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>
        <v>16800</v>
      </c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>
        <v>2400</v>
      </c>
      <c r="CB125" s="13"/>
      <c r="CC125" s="13"/>
      <c r="CD125" s="13"/>
      <c r="CE125" s="13"/>
      <c r="CF125" s="13"/>
      <c r="CG125" s="13"/>
      <c r="CH125" s="13"/>
      <c r="CI125" s="13"/>
      <c r="CJ125" s="13">
        <f t="shared" si="24"/>
        <v>0</v>
      </c>
      <c r="CK125" s="9"/>
    </row>
    <row r="126" spans="1:89" s="56" customFormat="1" hidden="1" x14ac:dyDescent="0.25">
      <c r="A126" s="13" t="s">
        <v>30</v>
      </c>
      <c r="B126" s="17" t="s">
        <v>1274</v>
      </c>
      <c r="C126" s="13" t="s">
        <v>1270</v>
      </c>
      <c r="D126" s="13"/>
      <c r="E126" s="7">
        <v>0</v>
      </c>
      <c r="F126" s="13" t="s">
        <v>30</v>
      </c>
      <c r="G126" s="13">
        <v>1000</v>
      </c>
      <c r="H126" s="15">
        <v>45219</v>
      </c>
      <c r="I126" s="15">
        <v>45182</v>
      </c>
      <c r="J126" s="15">
        <f>+I126+275</f>
        <v>45457</v>
      </c>
      <c r="K126" s="13">
        <v>3</v>
      </c>
      <c r="L126" s="13" t="s">
        <v>1271</v>
      </c>
      <c r="M126" s="13">
        <f t="shared" si="34"/>
        <v>3000</v>
      </c>
      <c r="N126" s="13">
        <f t="shared" si="35"/>
        <v>3000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>
        <v>3000</v>
      </c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>
        <f t="shared" si="24"/>
        <v>0</v>
      </c>
      <c r="CK126" s="9"/>
    </row>
    <row r="127" spans="1:89" s="56" customFormat="1" hidden="1" x14ac:dyDescent="0.25">
      <c r="A127" s="13" t="s">
        <v>30</v>
      </c>
      <c r="B127" s="17" t="s">
        <v>1274</v>
      </c>
      <c r="C127" s="13" t="s">
        <v>1270</v>
      </c>
      <c r="D127" s="13"/>
      <c r="E127" s="7">
        <v>0</v>
      </c>
      <c r="F127" s="13" t="s">
        <v>30</v>
      </c>
      <c r="G127" s="13">
        <v>1000</v>
      </c>
      <c r="H127" s="15">
        <v>45219</v>
      </c>
      <c r="I127" s="15">
        <v>45181</v>
      </c>
      <c r="J127" s="15">
        <f>+I127+275</f>
        <v>45456</v>
      </c>
      <c r="K127" s="13">
        <v>2</v>
      </c>
      <c r="L127" s="13" t="s">
        <v>1272</v>
      </c>
      <c r="M127" s="13">
        <f t="shared" si="34"/>
        <v>2000</v>
      </c>
      <c r="N127" s="13">
        <f t="shared" si="35"/>
        <v>2000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>
        <v>2000</v>
      </c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>
        <f t="shared" si="24"/>
        <v>0</v>
      </c>
      <c r="CK127" s="9"/>
    </row>
    <row r="128" spans="1:89" s="56" customFormat="1" hidden="1" x14ac:dyDescent="0.25">
      <c r="A128" s="17" t="s">
        <v>30</v>
      </c>
      <c r="B128" s="17" t="s">
        <v>891</v>
      </c>
      <c r="C128" s="13" t="s">
        <v>1262</v>
      </c>
      <c r="D128" s="13"/>
      <c r="E128" s="7">
        <v>0</v>
      </c>
      <c r="F128" s="13">
        <v>7463185</v>
      </c>
      <c r="G128" s="13">
        <v>1000</v>
      </c>
      <c r="H128" s="15">
        <v>45220</v>
      </c>
      <c r="I128" s="15">
        <v>45077</v>
      </c>
      <c r="J128" s="15">
        <f t="shared" ref="J128:J129" si="40">+I128+730</f>
        <v>45807</v>
      </c>
      <c r="K128" s="13">
        <v>10</v>
      </c>
      <c r="L128" s="13" t="s">
        <v>889</v>
      </c>
      <c r="M128" s="13">
        <f t="shared" si="34"/>
        <v>10000</v>
      </c>
      <c r="N128" s="13">
        <f t="shared" si="35"/>
        <v>10000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>
        <v>10000</v>
      </c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>
        <f t="shared" si="24"/>
        <v>0</v>
      </c>
      <c r="CK128" s="9"/>
    </row>
    <row r="129" spans="1:89" s="56" customFormat="1" hidden="1" x14ac:dyDescent="0.25">
      <c r="A129" s="17" t="s">
        <v>30</v>
      </c>
      <c r="B129" s="17" t="s">
        <v>891</v>
      </c>
      <c r="C129" s="13" t="s">
        <v>1262</v>
      </c>
      <c r="D129" s="13"/>
      <c r="E129" s="7">
        <v>0</v>
      </c>
      <c r="F129" s="13">
        <v>7463185</v>
      </c>
      <c r="G129" s="13">
        <v>1000</v>
      </c>
      <c r="H129" s="15">
        <v>45220</v>
      </c>
      <c r="I129" s="15">
        <v>45077</v>
      </c>
      <c r="J129" s="15">
        <f t="shared" si="40"/>
        <v>45807</v>
      </c>
      <c r="K129" s="13">
        <v>10</v>
      </c>
      <c r="L129" s="13" t="s">
        <v>889</v>
      </c>
      <c r="M129" s="13">
        <f t="shared" si="34"/>
        <v>10000</v>
      </c>
      <c r="N129" s="13">
        <f t="shared" si="35"/>
        <v>10000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>
        <v>10000</v>
      </c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>
        <f t="shared" si="24"/>
        <v>0</v>
      </c>
      <c r="CK129" s="9"/>
    </row>
    <row r="130" spans="1:89" s="56" customFormat="1" hidden="1" x14ac:dyDescent="0.25">
      <c r="A130" s="17">
        <v>5230874</v>
      </c>
      <c r="B130" s="17" t="s">
        <v>1316</v>
      </c>
      <c r="C130" s="13" t="s">
        <v>1286</v>
      </c>
      <c r="D130" s="13"/>
      <c r="E130" s="7">
        <v>0</v>
      </c>
      <c r="F130" s="13">
        <v>8231129</v>
      </c>
      <c r="G130" s="13">
        <v>250</v>
      </c>
      <c r="H130" s="15">
        <v>45220</v>
      </c>
      <c r="I130" s="15">
        <v>45181</v>
      </c>
      <c r="J130" s="15">
        <f>+I130+365</f>
        <v>45546</v>
      </c>
      <c r="K130" s="13">
        <v>64</v>
      </c>
      <c r="L130" s="14" t="s">
        <v>1287</v>
      </c>
      <c r="M130" s="13">
        <f t="shared" si="34"/>
        <v>16000</v>
      </c>
      <c r="N130" s="13">
        <f t="shared" si="35"/>
        <v>16000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>
        <v>250</v>
      </c>
      <c r="AZ130" s="13"/>
      <c r="BA130" s="13">
        <v>15750</v>
      </c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>
        <f t="shared" si="24"/>
        <v>0</v>
      </c>
      <c r="CK130" s="9"/>
    </row>
    <row r="131" spans="1:89" s="56" customFormat="1" hidden="1" x14ac:dyDescent="0.25">
      <c r="A131" s="17">
        <v>5230874</v>
      </c>
      <c r="B131" s="17" t="s">
        <v>1316</v>
      </c>
      <c r="C131" s="13" t="s">
        <v>1286</v>
      </c>
      <c r="D131" s="13"/>
      <c r="E131" s="7">
        <v>0</v>
      </c>
      <c r="F131" s="13">
        <v>8231129</v>
      </c>
      <c r="G131" s="13">
        <v>250</v>
      </c>
      <c r="H131" s="15">
        <v>45220</v>
      </c>
      <c r="I131" s="15">
        <v>45181</v>
      </c>
      <c r="J131" s="15">
        <f t="shared" ref="J131:J135" si="41">+I131+365</f>
        <v>45546</v>
      </c>
      <c r="K131" s="13">
        <v>16</v>
      </c>
      <c r="L131" s="14" t="s">
        <v>1290</v>
      </c>
      <c r="M131" s="13">
        <f t="shared" si="34"/>
        <v>4000</v>
      </c>
      <c r="N131" s="13">
        <f t="shared" si="35"/>
        <v>4000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>
        <v>4000</v>
      </c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>
        <f t="shared" si="24"/>
        <v>0</v>
      </c>
      <c r="CK131" s="9"/>
    </row>
    <row r="132" spans="1:89" s="56" customFormat="1" hidden="1" x14ac:dyDescent="0.25">
      <c r="A132" s="17">
        <v>5230874</v>
      </c>
      <c r="B132" s="17" t="s">
        <v>1316</v>
      </c>
      <c r="C132" s="13" t="s">
        <v>1286</v>
      </c>
      <c r="D132" s="13"/>
      <c r="E132" s="7">
        <v>0</v>
      </c>
      <c r="F132" s="13">
        <v>8231129</v>
      </c>
      <c r="G132" s="13">
        <v>250</v>
      </c>
      <c r="H132" s="15">
        <v>45220</v>
      </c>
      <c r="I132" s="15">
        <v>45181</v>
      </c>
      <c r="J132" s="15">
        <f t="shared" si="41"/>
        <v>45546</v>
      </c>
      <c r="K132" s="13">
        <v>80</v>
      </c>
      <c r="L132" s="14" t="s">
        <v>1289</v>
      </c>
      <c r="M132" s="13">
        <f t="shared" si="34"/>
        <v>20000</v>
      </c>
      <c r="N132" s="13">
        <f t="shared" si="35"/>
        <v>20000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>
        <v>10000</v>
      </c>
      <c r="AS132" s="13"/>
      <c r="AT132" s="13"/>
      <c r="AU132" s="13">
        <v>8000</v>
      </c>
      <c r="AV132" s="13"/>
      <c r="AW132" s="13"/>
      <c r="AX132" s="13"/>
      <c r="AY132" s="13">
        <v>2000</v>
      </c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>
        <f t="shared" si="24"/>
        <v>0</v>
      </c>
      <c r="CK132" s="9"/>
    </row>
    <row r="133" spans="1:89" s="56" customFormat="1" hidden="1" x14ac:dyDescent="0.25">
      <c r="A133" s="17">
        <v>5230874</v>
      </c>
      <c r="B133" s="17" t="s">
        <v>1316</v>
      </c>
      <c r="C133" s="13" t="s">
        <v>1291</v>
      </c>
      <c r="D133" s="13"/>
      <c r="E133" s="7">
        <v>0</v>
      </c>
      <c r="F133" s="13">
        <v>8169768</v>
      </c>
      <c r="G133" s="13">
        <v>250</v>
      </c>
      <c r="H133" s="15">
        <v>45220</v>
      </c>
      <c r="I133" s="15">
        <v>45185</v>
      </c>
      <c r="J133" s="15">
        <f t="shared" si="41"/>
        <v>45550</v>
      </c>
      <c r="K133" s="13">
        <v>80</v>
      </c>
      <c r="L133" s="14" t="s">
        <v>1292</v>
      </c>
      <c r="M133" s="13">
        <f t="shared" ref="M133:M134" si="42">K133*G133</f>
        <v>20000</v>
      </c>
      <c r="N133" s="13">
        <f t="shared" ref="N133:N134" si="43">M133</f>
        <v>20000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>
        <v>10000</v>
      </c>
      <c r="BM133" s="13"/>
      <c r="BN133" s="13"/>
      <c r="BO133" s="13"/>
      <c r="BP133" s="13"/>
      <c r="BQ133" s="13"/>
      <c r="BR133" s="13"/>
      <c r="BS133" s="13"/>
      <c r="BT133" s="13">
        <v>1000</v>
      </c>
      <c r="BU133" s="13">
        <v>8000</v>
      </c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>
        <f t="shared" si="24"/>
        <v>1000</v>
      </c>
      <c r="CK133" s="9"/>
    </row>
    <row r="134" spans="1:89" s="56" customFormat="1" hidden="1" x14ac:dyDescent="0.25">
      <c r="A134" s="17">
        <v>5230874</v>
      </c>
      <c r="B134" s="17" t="s">
        <v>1316</v>
      </c>
      <c r="C134" s="13" t="s">
        <v>1291</v>
      </c>
      <c r="D134" s="13"/>
      <c r="E134" s="7">
        <v>0</v>
      </c>
      <c r="F134" s="13">
        <v>8169768</v>
      </c>
      <c r="G134" s="13">
        <v>250</v>
      </c>
      <c r="H134" s="15">
        <v>45220</v>
      </c>
      <c r="I134" s="15">
        <v>45185</v>
      </c>
      <c r="J134" s="15">
        <f t="shared" si="41"/>
        <v>45550</v>
      </c>
      <c r="K134" s="13">
        <v>23</v>
      </c>
      <c r="L134" s="14" t="s">
        <v>1295</v>
      </c>
      <c r="M134" s="13">
        <f t="shared" si="42"/>
        <v>5750</v>
      </c>
      <c r="N134" s="13">
        <f t="shared" si="43"/>
        <v>5750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>
        <v>5750</v>
      </c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>
        <f t="shared" si="24"/>
        <v>0</v>
      </c>
      <c r="CK134" s="9"/>
    </row>
    <row r="135" spans="1:89" s="56" customFormat="1" hidden="1" x14ac:dyDescent="0.25">
      <c r="A135" s="17">
        <v>5230874</v>
      </c>
      <c r="B135" s="17" t="s">
        <v>1316</v>
      </c>
      <c r="C135" s="13" t="s">
        <v>1291</v>
      </c>
      <c r="D135" s="13"/>
      <c r="E135" s="7">
        <v>0</v>
      </c>
      <c r="F135" s="13">
        <v>8169768</v>
      </c>
      <c r="G135" s="13">
        <v>250</v>
      </c>
      <c r="H135" s="15">
        <v>45220</v>
      </c>
      <c r="I135" s="15">
        <v>45184</v>
      </c>
      <c r="J135" s="15">
        <f t="shared" si="41"/>
        <v>45549</v>
      </c>
      <c r="K135" s="13">
        <v>57</v>
      </c>
      <c r="L135" s="14" t="s">
        <v>1296</v>
      </c>
      <c r="M135" s="13">
        <f t="shared" ref="M135" si="44">K135*G135</f>
        <v>14250</v>
      </c>
      <c r="N135" s="13">
        <f t="shared" ref="N135" si="45">M135</f>
        <v>14250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>
        <v>8000</v>
      </c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>
        <v>6250</v>
      </c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>
        <f t="shared" ref="CJ135:CJ198" si="46">N135-O135-P135-Q135-R135-S135-T135-U135-V135-W135-X135-Y135-Z135-AA135-AB135-AC135-AD135-AE135-AF135-AG135-AH135-AI135-AJ135-AK135-AL135-AM135-AN135-AO135-AP135-AQ135-AR135-AS135-AT135-AU135-AV135-AW135-AX135-AY135-AZ135-BA135-BB135-BC135-BD135-BE135-BF135-BG135-BH135-BI135-BJ135-BK135-BL135-BM135-BN135-BO135-BP135-BQ135-BR135-BS135-BT135-BU135-BV135-BW135-BX135-BY135-BZ135-CA135-CB135-CC135-CD135-CE135-CF135-CG135-CH135-CI135</f>
        <v>0</v>
      </c>
      <c r="CK135" s="9"/>
    </row>
    <row r="136" spans="1:89" s="56" customFormat="1" hidden="1" x14ac:dyDescent="0.25">
      <c r="A136" s="17">
        <v>5212252</v>
      </c>
      <c r="B136" s="17" t="s">
        <v>23</v>
      </c>
      <c r="C136" s="13" t="s">
        <v>1298</v>
      </c>
      <c r="D136" s="13"/>
      <c r="E136" s="7">
        <v>0</v>
      </c>
      <c r="F136" s="13">
        <v>8285510</v>
      </c>
      <c r="G136" s="13">
        <v>25</v>
      </c>
      <c r="H136" s="15">
        <v>45222</v>
      </c>
      <c r="I136" s="15">
        <v>45180</v>
      </c>
      <c r="J136" s="15">
        <f t="shared" ref="J136:J143" si="47">+I136+365+365</f>
        <v>45910</v>
      </c>
      <c r="K136" s="13">
        <v>1040</v>
      </c>
      <c r="L136" s="13" t="s">
        <v>1299</v>
      </c>
      <c r="M136" s="13">
        <f t="shared" ref="M136:M144" si="48">K136*G136</f>
        <v>26000</v>
      </c>
      <c r="N136" s="13">
        <f t="shared" ref="N136:N144" si="49">M136</f>
        <v>26000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>
        <v>26000</v>
      </c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>
        <f t="shared" si="46"/>
        <v>0</v>
      </c>
      <c r="CK136" s="9"/>
    </row>
    <row r="137" spans="1:89" s="56" customFormat="1" hidden="1" x14ac:dyDescent="0.25">
      <c r="A137" s="17">
        <v>5212252</v>
      </c>
      <c r="B137" s="17" t="s">
        <v>23</v>
      </c>
      <c r="C137" s="13" t="s">
        <v>1298</v>
      </c>
      <c r="D137" s="13"/>
      <c r="E137" s="7">
        <v>0</v>
      </c>
      <c r="F137" s="13">
        <v>8285510</v>
      </c>
      <c r="G137" s="13">
        <v>25</v>
      </c>
      <c r="H137" s="15">
        <v>45222</v>
      </c>
      <c r="I137" s="15">
        <v>45180</v>
      </c>
      <c r="J137" s="15">
        <f t="shared" si="47"/>
        <v>45910</v>
      </c>
      <c r="K137" s="13">
        <v>400</v>
      </c>
      <c r="L137" s="13" t="s">
        <v>1299</v>
      </c>
      <c r="M137" s="13">
        <f t="shared" si="48"/>
        <v>10000</v>
      </c>
      <c r="N137" s="13">
        <f t="shared" si="49"/>
        <v>10000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>
        <v>10000</v>
      </c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>
        <f t="shared" si="46"/>
        <v>0</v>
      </c>
      <c r="CK137" s="9"/>
    </row>
    <row r="138" spans="1:89" s="56" customFormat="1" hidden="1" x14ac:dyDescent="0.25">
      <c r="A138" s="17">
        <v>5212252</v>
      </c>
      <c r="B138" s="17" t="s">
        <v>23</v>
      </c>
      <c r="C138" s="13" t="s">
        <v>1298</v>
      </c>
      <c r="D138" s="13"/>
      <c r="E138" s="7">
        <v>0</v>
      </c>
      <c r="F138" s="13">
        <v>8285510</v>
      </c>
      <c r="G138" s="13">
        <v>25</v>
      </c>
      <c r="H138" s="15">
        <v>45222</v>
      </c>
      <c r="I138" s="15">
        <v>45178</v>
      </c>
      <c r="J138" s="15">
        <f t="shared" si="47"/>
        <v>45908</v>
      </c>
      <c r="K138" s="13">
        <v>400</v>
      </c>
      <c r="L138" s="13" t="s">
        <v>1300</v>
      </c>
      <c r="M138" s="13">
        <f t="shared" si="48"/>
        <v>10000</v>
      </c>
      <c r="N138" s="13">
        <f t="shared" si="49"/>
        <v>10000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>
        <v>9875</v>
      </c>
      <c r="AO138" s="13"/>
      <c r="AP138" s="13"/>
      <c r="AQ138" s="13">
        <v>125</v>
      </c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>
        <f t="shared" si="46"/>
        <v>0</v>
      </c>
      <c r="CK138" s="9"/>
    </row>
    <row r="139" spans="1:89" s="56" customFormat="1" hidden="1" x14ac:dyDescent="0.25">
      <c r="A139" s="17">
        <v>5212252</v>
      </c>
      <c r="B139" s="17" t="s">
        <v>23</v>
      </c>
      <c r="C139" s="13" t="s">
        <v>1298</v>
      </c>
      <c r="D139" s="13"/>
      <c r="E139" s="7">
        <v>0</v>
      </c>
      <c r="F139" s="13">
        <v>8285510</v>
      </c>
      <c r="G139" s="13">
        <v>25</v>
      </c>
      <c r="H139" s="15">
        <v>45222</v>
      </c>
      <c r="I139" s="15">
        <v>45182</v>
      </c>
      <c r="J139" s="15">
        <f t="shared" si="47"/>
        <v>45912</v>
      </c>
      <c r="K139" s="13">
        <v>240</v>
      </c>
      <c r="L139" s="13" t="s">
        <v>1301</v>
      </c>
      <c r="M139" s="13">
        <f t="shared" si="48"/>
        <v>6000</v>
      </c>
      <c r="N139" s="13">
        <f t="shared" si="49"/>
        <v>6000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>
        <v>6000</v>
      </c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>
        <f t="shared" si="46"/>
        <v>0</v>
      </c>
      <c r="CK139" s="9"/>
    </row>
    <row r="140" spans="1:89" s="56" customFormat="1" hidden="1" x14ac:dyDescent="0.25">
      <c r="A140" s="17">
        <v>5212252</v>
      </c>
      <c r="B140" s="17" t="s">
        <v>23</v>
      </c>
      <c r="C140" s="13" t="s">
        <v>1302</v>
      </c>
      <c r="D140" s="13"/>
      <c r="E140" s="7">
        <v>0</v>
      </c>
      <c r="F140" s="13">
        <v>8304702</v>
      </c>
      <c r="G140" s="13">
        <v>25</v>
      </c>
      <c r="H140" s="15">
        <v>45222</v>
      </c>
      <c r="I140" s="15">
        <v>45178</v>
      </c>
      <c r="J140" s="15">
        <f t="shared" si="47"/>
        <v>45908</v>
      </c>
      <c r="K140" s="13">
        <v>1040</v>
      </c>
      <c r="L140" s="13" t="s">
        <v>1300</v>
      </c>
      <c r="M140" s="13">
        <f t="shared" si="48"/>
        <v>26000</v>
      </c>
      <c r="N140" s="13">
        <f t="shared" si="49"/>
        <v>26000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>
        <v>15500</v>
      </c>
      <c r="AN140" s="13"/>
      <c r="AO140" s="13"/>
      <c r="AP140" s="13"/>
      <c r="AQ140" s="13">
        <v>10500</v>
      </c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>
        <f t="shared" si="46"/>
        <v>0</v>
      </c>
      <c r="CK140" s="9"/>
    </row>
    <row r="141" spans="1:89" s="56" customFormat="1" hidden="1" x14ac:dyDescent="0.25">
      <c r="A141" s="17">
        <v>5212252</v>
      </c>
      <c r="B141" s="17" t="s">
        <v>23</v>
      </c>
      <c r="C141" s="13" t="s">
        <v>1302</v>
      </c>
      <c r="D141" s="13"/>
      <c r="E141" s="7">
        <v>0</v>
      </c>
      <c r="F141" s="13">
        <v>8304702</v>
      </c>
      <c r="G141" s="13">
        <v>25</v>
      </c>
      <c r="H141" s="15">
        <v>45222</v>
      </c>
      <c r="I141" s="15">
        <v>45178</v>
      </c>
      <c r="J141" s="15">
        <f t="shared" si="47"/>
        <v>45908</v>
      </c>
      <c r="K141" s="13">
        <v>53</v>
      </c>
      <c r="L141" s="13" t="s">
        <v>1300</v>
      </c>
      <c r="M141" s="13">
        <f t="shared" si="48"/>
        <v>1325</v>
      </c>
      <c r="N141" s="13">
        <f t="shared" si="49"/>
        <v>1325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>
        <v>325</v>
      </c>
      <c r="AN141" s="13"/>
      <c r="AO141" s="13"/>
      <c r="AP141" s="13"/>
      <c r="AQ141" s="13">
        <v>1000</v>
      </c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>
        <f t="shared" si="46"/>
        <v>0</v>
      </c>
      <c r="CK141" s="9"/>
    </row>
    <row r="142" spans="1:89" s="56" customFormat="1" hidden="1" x14ac:dyDescent="0.25">
      <c r="A142" s="17">
        <v>5212252</v>
      </c>
      <c r="B142" s="17" t="s">
        <v>23</v>
      </c>
      <c r="C142" s="13" t="s">
        <v>1302</v>
      </c>
      <c r="D142" s="13"/>
      <c r="E142" s="7">
        <v>0</v>
      </c>
      <c r="F142" s="13">
        <v>8304702</v>
      </c>
      <c r="G142" s="13">
        <v>25</v>
      </c>
      <c r="H142" s="15">
        <v>45222</v>
      </c>
      <c r="I142" s="15">
        <v>45174</v>
      </c>
      <c r="J142" s="15">
        <f t="shared" si="47"/>
        <v>45904</v>
      </c>
      <c r="K142" s="13">
        <v>421</v>
      </c>
      <c r="L142" s="13" t="s">
        <v>1305</v>
      </c>
      <c r="M142" s="13">
        <f t="shared" si="48"/>
        <v>10525</v>
      </c>
      <c r="N142" s="13">
        <f t="shared" si="49"/>
        <v>10525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>
        <v>10525</v>
      </c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>
        <f t="shared" si="46"/>
        <v>0</v>
      </c>
      <c r="CK142" s="9"/>
    </row>
    <row r="143" spans="1:89" s="56" customFormat="1" hidden="1" x14ac:dyDescent="0.25">
      <c r="A143" s="17">
        <v>5212252</v>
      </c>
      <c r="B143" s="17" t="s">
        <v>23</v>
      </c>
      <c r="C143" s="13" t="s">
        <v>1302</v>
      </c>
      <c r="D143" s="13"/>
      <c r="E143" s="7">
        <v>0</v>
      </c>
      <c r="F143" s="13">
        <v>8304702</v>
      </c>
      <c r="G143" s="13">
        <v>25</v>
      </c>
      <c r="H143" s="15">
        <v>45222</v>
      </c>
      <c r="I143" s="15">
        <v>45176</v>
      </c>
      <c r="J143" s="15">
        <f t="shared" si="47"/>
        <v>45906</v>
      </c>
      <c r="K143" s="13">
        <v>566</v>
      </c>
      <c r="L143" s="13" t="s">
        <v>1306</v>
      </c>
      <c r="M143" s="13">
        <f t="shared" si="48"/>
        <v>14150</v>
      </c>
      <c r="N143" s="13">
        <f t="shared" si="49"/>
        <v>14150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>
        <v>14150</v>
      </c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>
        <f t="shared" si="46"/>
        <v>0</v>
      </c>
      <c r="CK143" s="9"/>
    </row>
    <row r="144" spans="1:89" s="56" customFormat="1" hidden="1" x14ac:dyDescent="0.25">
      <c r="A144" s="17">
        <v>5230874</v>
      </c>
      <c r="B144" s="17" t="s">
        <v>1316</v>
      </c>
      <c r="C144" s="13" t="s">
        <v>1302</v>
      </c>
      <c r="D144" s="13"/>
      <c r="E144" s="7">
        <v>0</v>
      </c>
      <c r="F144" s="13">
        <v>8227768</v>
      </c>
      <c r="G144" s="13">
        <v>250</v>
      </c>
      <c r="H144" s="15">
        <v>45222</v>
      </c>
      <c r="I144" s="15">
        <v>45181</v>
      </c>
      <c r="J144" s="15">
        <f t="shared" ref="J144" si="50">+I144+365</f>
        <v>45546</v>
      </c>
      <c r="K144" s="13">
        <v>64</v>
      </c>
      <c r="L144" s="14" t="s">
        <v>1290</v>
      </c>
      <c r="M144" s="13">
        <f t="shared" si="48"/>
        <v>16000</v>
      </c>
      <c r="N144" s="13">
        <f t="shared" si="49"/>
        <v>16000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>
        <v>8000</v>
      </c>
      <c r="AN144" s="13"/>
      <c r="AO144" s="13"/>
      <c r="AP144" s="13"/>
      <c r="AQ144" s="13">
        <v>8000</v>
      </c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>
        <f t="shared" si="46"/>
        <v>0</v>
      </c>
      <c r="CK144" s="9"/>
    </row>
    <row r="145" spans="1:89" s="56" customFormat="1" hidden="1" x14ac:dyDescent="0.25">
      <c r="A145" s="17">
        <v>5230874</v>
      </c>
      <c r="B145" s="17" t="s">
        <v>1316</v>
      </c>
      <c r="C145" s="13" t="s">
        <v>1302</v>
      </c>
      <c r="D145" s="13"/>
      <c r="E145" s="7">
        <v>0</v>
      </c>
      <c r="F145" s="13">
        <v>8227768</v>
      </c>
      <c r="G145" s="13">
        <v>250</v>
      </c>
      <c r="H145" s="15">
        <v>45222</v>
      </c>
      <c r="I145" s="15">
        <v>45181</v>
      </c>
      <c r="J145" s="15">
        <f t="shared" ref="J145" si="51">+I145+365</f>
        <v>45546</v>
      </c>
      <c r="K145" s="13">
        <v>16</v>
      </c>
      <c r="L145" s="14" t="s">
        <v>1307</v>
      </c>
      <c r="M145" s="13">
        <f t="shared" ref="M145:M160" si="52">K145*G145</f>
        <v>4000</v>
      </c>
      <c r="N145" s="13">
        <f t="shared" ref="N145:N160" si="53">M145</f>
        <v>4000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>
        <v>4000</v>
      </c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>
        <f t="shared" si="46"/>
        <v>0</v>
      </c>
      <c r="CK145" s="9"/>
    </row>
    <row r="146" spans="1:89" s="56" customFormat="1" hidden="1" x14ac:dyDescent="0.25">
      <c r="A146" s="17">
        <v>5205497</v>
      </c>
      <c r="B146" s="17" t="s">
        <v>1211</v>
      </c>
      <c r="C146" s="13" t="s">
        <v>1315</v>
      </c>
      <c r="D146" s="13"/>
      <c r="E146" s="7">
        <v>0</v>
      </c>
      <c r="F146" s="13">
        <v>8303046</v>
      </c>
      <c r="G146" s="13">
        <v>25</v>
      </c>
      <c r="H146" s="15">
        <v>45224</v>
      </c>
      <c r="I146" s="15">
        <v>45191</v>
      </c>
      <c r="J146" s="15">
        <f t="shared" ref="J146" si="54">+I146+365+365</f>
        <v>45921</v>
      </c>
      <c r="K146" s="13">
        <v>1080</v>
      </c>
      <c r="L146" s="13">
        <v>4230219362</v>
      </c>
      <c r="M146" s="13">
        <f t="shared" si="52"/>
        <v>27000</v>
      </c>
      <c r="N146" s="13">
        <f t="shared" si="53"/>
        <v>27000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>
        <f t="shared" si="46"/>
        <v>27000</v>
      </c>
      <c r="CK146" s="9"/>
    </row>
    <row r="147" spans="1:89" s="56" customFormat="1" hidden="1" x14ac:dyDescent="0.25">
      <c r="A147" s="17">
        <v>5205497</v>
      </c>
      <c r="B147" s="17" t="s">
        <v>1211</v>
      </c>
      <c r="C147" s="13" t="s">
        <v>1315</v>
      </c>
      <c r="D147" s="13"/>
      <c r="E147" s="7">
        <v>0</v>
      </c>
      <c r="F147" s="13">
        <v>8303046</v>
      </c>
      <c r="G147" s="13">
        <v>25</v>
      </c>
      <c r="H147" s="15">
        <v>45224</v>
      </c>
      <c r="I147" s="15">
        <v>45191</v>
      </c>
      <c r="J147" s="15">
        <f t="shared" ref="J147:J154" si="55">+I147+365+365</f>
        <v>45921</v>
      </c>
      <c r="K147" s="13">
        <v>1080</v>
      </c>
      <c r="L147" s="13">
        <v>4230219362</v>
      </c>
      <c r="M147" s="13">
        <f t="shared" si="52"/>
        <v>27000</v>
      </c>
      <c r="N147" s="13">
        <f t="shared" si="53"/>
        <v>27000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>
        <f t="shared" si="46"/>
        <v>27000</v>
      </c>
      <c r="CK147" s="9"/>
    </row>
    <row r="148" spans="1:89" s="56" customFormat="1" hidden="1" x14ac:dyDescent="0.25">
      <c r="A148" s="17">
        <v>5212256</v>
      </c>
      <c r="B148" s="17" t="s">
        <v>22</v>
      </c>
      <c r="C148" s="13" t="s">
        <v>1323</v>
      </c>
      <c r="D148" s="13"/>
      <c r="E148" s="7">
        <v>0</v>
      </c>
      <c r="F148" s="13">
        <v>8285507</v>
      </c>
      <c r="G148" s="13">
        <v>25</v>
      </c>
      <c r="H148" s="15">
        <v>45225</v>
      </c>
      <c r="I148" s="15">
        <v>45178</v>
      </c>
      <c r="J148" s="15">
        <f t="shared" si="55"/>
        <v>45908</v>
      </c>
      <c r="K148" s="13">
        <v>1040</v>
      </c>
      <c r="L148" s="13" t="s">
        <v>1334</v>
      </c>
      <c r="M148" s="13">
        <f t="shared" si="52"/>
        <v>26000</v>
      </c>
      <c r="N148" s="13">
        <f t="shared" si="53"/>
        <v>26000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>
        <v>10000</v>
      </c>
      <c r="AS148" s="13"/>
      <c r="AT148" s="13"/>
      <c r="AU148" s="13">
        <v>16000</v>
      </c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>
        <f t="shared" si="46"/>
        <v>0</v>
      </c>
      <c r="CK148" s="9"/>
    </row>
    <row r="149" spans="1:89" s="56" customFormat="1" hidden="1" x14ac:dyDescent="0.25">
      <c r="A149" s="17">
        <v>5212256</v>
      </c>
      <c r="B149" s="17" t="s">
        <v>22</v>
      </c>
      <c r="C149" s="13" t="s">
        <v>1324</v>
      </c>
      <c r="D149" s="13"/>
      <c r="E149" s="7">
        <v>0</v>
      </c>
      <c r="F149" s="13">
        <v>8224388</v>
      </c>
      <c r="G149" s="13">
        <v>25</v>
      </c>
      <c r="H149" s="15">
        <v>45225</v>
      </c>
      <c r="I149" s="15">
        <v>45178</v>
      </c>
      <c r="J149" s="15">
        <f t="shared" si="55"/>
        <v>45908</v>
      </c>
      <c r="K149" s="13">
        <v>323</v>
      </c>
      <c r="L149" s="13" t="s">
        <v>1334</v>
      </c>
      <c r="M149" s="13">
        <f t="shared" si="52"/>
        <v>8075</v>
      </c>
      <c r="N149" s="13">
        <f t="shared" si="53"/>
        <v>8075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>
        <v>4000</v>
      </c>
      <c r="AV149" s="13"/>
      <c r="AW149" s="13"/>
      <c r="AX149" s="13"/>
      <c r="AY149" s="13"/>
      <c r="AZ149" s="13"/>
      <c r="BA149" s="13">
        <v>2000</v>
      </c>
      <c r="BB149" s="13"/>
      <c r="BC149" s="13"/>
      <c r="BD149" s="13"/>
      <c r="BE149" s="13"/>
      <c r="BF149" s="13"/>
      <c r="BG149" s="13"/>
      <c r="BH149" s="13"/>
      <c r="BI149" s="13">
        <v>2075</v>
      </c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>
        <f t="shared" si="46"/>
        <v>0</v>
      </c>
      <c r="CK149" s="9"/>
    </row>
    <row r="150" spans="1:89" s="56" customFormat="1" hidden="1" x14ac:dyDescent="0.25">
      <c r="A150" s="17">
        <v>5212256</v>
      </c>
      <c r="B150" s="17" t="s">
        <v>22</v>
      </c>
      <c r="C150" s="13" t="s">
        <v>1324</v>
      </c>
      <c r="D150" s="13"/>
      <c r="E150" s="7">
        <v>0</v>
      </c>
      <c r="F150" s="13">
        <v>8224388</v>
      </c>
      <c r="G150" s="13">
        <v>25</v>
      </c>
      <c r="H150" s="15">
        <v>45225</v>
      </c>
      <c r="I150" s="15">
        <v>45177</v>
      </c>
      <c r="J150" s="15">
        <f t="shared" si="55"/>
        <v>45907</v>
      </c>
      <c r="K150" s="13">
        <v>421</v>
      </c>
      <c r="L150" s="13" t="s">
        <v>1326</v>
      </c>
      <c r="M150" s="13">
        <f t="shared" si="52"/>
        <v>10525</v>
      </c>
      <c r="N150" s="13">
        <f t="shared" si="53"/>
        <v>10525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>
        <v>2600</v>
      </c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>
        <v>7925</v>
      </c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>
        <f t="shared" si="46"/>
        <v>0</v>
      </c>
      <c r="CK150" s="9"/>
    </row>
    <row r="151" spans="1:89" s="56" customFormat="1" hidden="1" x14ac:dyDescent="0.25">
      <c r="A151" s="17">
        <v>5212256</v>
      </c>
      <c r="B151" s="17" t="s">
        <v>22</v>
      </c>
      <c r="C151" s="13" t="s">
        <v>1324</v>
      </c>
      <c r="D151" s="13"/>
      <c r="E151" s="7">
        <v>0</v>
      </c>
      <c r="F151" s="13">
        <v>8224388</v>
      </c>
      <c r="G151" s="13">
        <v>25</v>
      </c>
      <c r="H151" s="15">
        <v>45225</v>
      </c>
      <c r="I151" s="15">
        <v>45132</v>
      </c>
      <c r="J151" s="15">
        <f t="shared" si="55"/>
        <v>45862</v>
      </c>
      <c r="K151" s="13">
        <v>252</v>
      </c>
      <c r="L151" s="13" t="s">
        <v>1327</v>
      </c>
      <c r="M151" s="13">
        <f t="shared" si="52"/>
        <v>6300</v>
      </c>
      <c r="N151" s="13">
        <f t="shared" si="53"/>
        <v>6300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>
        <v>6300</v>
      </c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>
        <f t="shared" si="46"/>
        <v>0</v>
      </c>
      <c r="CK151" s="9"/>
    </row>
    <row r="152" spans="1:89" s="56" customFormat="1" hidden="1" x14ac:dyDescent="0.25">
      <c r="A152" s="17">
        <v>5212256</v>
      </c>
      <c r="B152" s="17" t="s">
        <v>22</v>
      </c>
      <c r="C152" s="13" t="s">
        <v>1324</v>
      </c>
      <c r="D152" s="13"/>
      <c r="E152" s="7">
        <v>0</v>
      </c>
      <c r="F152" s="13">
        <v>8224388</v>
      </c>
      <c r="G152" s="13">
        <v>25</v>
      </c>
      <c r="H152" s="15">
        <v>45225</v>
      </c>
      <c r="I152" s="15">
        <v>45165</v>
      </c>
      <c r="J152" s="15">
        <f t="shared" si="55"/>
        <v>45895</v>
      </c>
      <c r="K152" s="13">
        <v>44</v>
      </c>
      <c r="L152" s="13" t="s">
        <v>1134</v>
      </c>
      <c r="M152" s="13">
        <f t="shared" si="52"/>
        <v>1100</v>
      </c>
      <c r="N152" s="13">
        <f t="shared" si="53"/>
        <v>1100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>
        <v>1100</v>
      </c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>
        <f t="shared" si="46"/>
        <v>0</v>
      </c>
      <c r="CK152" s="9"/>
    </row>
    <row r="153" spans="1:89" s="56" customFormat="1" hidden="1" x14ac:dyDescent="0.25">
      <c r="A153" s="17">
        <v>5212252</v>
      </c>
      <c r="B153" s="17" t="s">
        <v>23</v>
      </c>
      <c r="C153" s="13" t="s">
        <v>1328</v>
      </c>
      <c r="D153" s="13"/>
      <c r="E153" s="7">
        <v>0</v>
      </c>
      <c r="F153" s="13">
        <v>8285500</v>
      </c>
      <c r="G153" s="13">
        <v>25</v>
      </c>
      <c r="H153" s="15">
        <v>45225</v>
      </c>
      <c r="I153" s="15">
        <v>45184</v>
      </c>
      <c r="J153" s="15">
        <f t="shared" si="55"/>
        <v>45914</v>
      </c>
      <c r="K153" s="13">
        <v>920</v>
      </c>
      <c r="L153" s="13" t="s">
        <v>1329</v>
      </c>
      <c r="M153" s="13">
        <f t="shared" si="52"/>
        <v>23000</v>
      </c>
      <c r="N153" s="13">
        <f t="shared" si="53"/>
        <v>23000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>
        <v>23000</v>
      </c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>
        <f t="shared" si="46"/>
        <v>0</v>
      </c>
      <c r="CK153" s="9"/>
    </row>
    <row r="154" spans="1:89" s="56" customFormat="1" hidden="1" x14ac:dyDescent="0.25">
      <c r="A154" s="17">
        <v>5212252</v>
      </c>
      <c r="B154" s="17" t="s">
        <v>23</v>
      </c>
      <c r="C154" s="13" t="s">
        <v>1328</v>
      </c>
      <c r="D154" s="13"/>
      <c r="E154" s="7">
        <v>0</v>
      </c>
      <c r="F154" s="13">
        <v>8285500</v>
      </c>
      <c r="G154" s="13">
        <v>25</v>
      </c>
      <c r="H154" s="15">
        <v>45225</v>
      </c>
      <c r="I154" s="15">
        <v>45182</v>
      </c>
      <c r="J154" s="15">
        <f t="shared" si="55"/>
        <v>45912</v>
      </c>
      <c r="K154" s="13">
        <v>120</v>
      </c>
      <c r="L154" s="13" t="s">
        <v>1301</v>
      </c>
      <c r="M154" s="13">
        <f t="shared" si="52"/>
        <v>3000</v>
      </c>
      <c r="N154" s="13">
        <f t="shared" si="53"/>
        <v>3000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>
        <v>3000</v>
      </c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>
        <f t="shared" si="46"/>
        <v>0</v>
      </c>
      <c r="CK154" s="9"/>
    </row>
    <row r="155" spans="1:89" s="56" customFormat="1" hidden="1" x14ac:dyDescent="0.25">
      <c r="A155" s="17">
        <v>5302866</v>
      </c>
      <c r="B155" s="17" t="s">
        <v>1332</v>
      </c>
      <c r="C155" s="13" t="s">
        <v>1331</v>
      </c>
      <c r="D155" s="13"/>
      <c r="E155" s="7">
        <v>0</v>
      </c>
      <c r="F155" s="13">
        <v>8291918</v>
      </c>
      <c r="G155" s="13">
        <v>210</v>
      </c>
      <c r="H155" s="15">
        <v>45225</v>
      </c>
      <c r="I155" s="15">
        <v>45174</v>
      </c>
      <c r="J155" s="15">
        <f>+I155+365</f>
        <v>45539</v>
      </c>
      <c r="K155" s="13">
        <v>120</v>
      </c>
      <c r="L155" s="13" t="s">
        <v>1333</v>
      </c>
      <c r="M155" s="13">
        <f t="shared" si="52"/>
        <v>25200</v>
      </c>
      <c r="N155" s="13">
        <f t="shared" si="53"/>
        <v>25200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>
        <f t="shared" si="46"/>
        <v>25200</v>
      </c>
      <c r="CK155" s="9"/>
    </row>
    <row r="156" spans="1:89" s="56" customFormat="1" hidden="1" x14ac:dyDescent="0.25">
      <c r="A156" s="17">
        <v>5302866</v>
      </c>
      <c r="B156" s="17" t="s">
        <v>1332</v>
      </c>
      <c r="C156" s="13" t="s">
        <v>1331</v>
      </c>
      <c r="D156" s="13"/>
      <c r="E156" s="7">
        <v>0</v>
      </c>
      <c r="F156" s="13">
        <v>8291918</v>
      </c>
      <c r="G156" s="13">
        <v>210</v>
      </c>
      <c r="H156" s="15">
        <v>45225</v>
      </c>
      <c r="I156" s="15">
        <v>45174</v>
      </c>
      <c r="J156" s="15">
        <f>+I156+365</f>
        <v>45539</v>
      </c>
      <c r="K156" s="13">
        <v>10</v>
      </c>
      <c r="L156" s="13" t="s">
        <v>1333</v>
      </c>
      <c r="M156" s="13">
        <f t="shared" si="52"/>
        <v>2100</v>
      </c>
      <c r="N156" s="13">
        <f t="shared" si="53"/>
        <v>2100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>
        <f t="shared" si="46"/>
        <v>2100</v>
      </c>
      <c r="CK156" s="9"/>
    </row>
    <row r="157" spans="1:89" s="56" customFormat="1" hidden="1" x14ac:dyDescent="0.25">
      <c r="A157" s="17">
        <v>5302866</v>
      </c>
      <c r="B157" s="17" t="s">
        <v>1332</v>
      </c>
      <c r="C157" s="13" t="s">
        <v>1331</v>
      </c>
      <c r="D157" s="13"/>
      <c r="E157" s="7">
        <v>0</v>
      </c>
      <c r="F157" s="13">
        <v>8291918</v>
      </c>
      <c r="G157" s="13">
        <v>210</v>
      </c>
      <c r="H157" s="15">
        <v>45225</v>
      </c>
      <c r="I157" s="15">
        <v>45148</v>
      </c>
      <c r="J157" s="15">
        <f>+I157+365</f>
        <v>45513</v>
      </c>
      <c r="K157" s="13">
        <v>20</v>
      </c>
      <c r="L157" s="13" t="s">
        <v>1345</v>
      </c>
      <c r="M157" s="13">
        <f t="shared" si="52"/>
        <v>4200</v>
      </c>
      <c r="N157" s="13">
        <f t="shared" si="53"/>
        <v>4200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>
        <f t="shared" si="46"/>
        <v>4200</v>
      </c>
      <c r="CK157" s="9"/>
    </row>
    <row r="158" spans="1:89" s="56" customFormat="1" hidden="1" x14ac:dyDescent="0.25">
      <c r="A158" s="17">
        <v>5302866</v>
      </c>
      <c r="B158" s="17" t="s">
        <v>1332</v>
      </c>
      <c r="C158" s="13" t="s">
        <v>1331</v>
      </c>
      <c r="D158" s="13"/>
      <c r="E158" s="7">
        <v>0</v>
      </c>
      <c r="F158" s="13">
        <v>8291918</v>
      </c>
      <c r="G158" s="13">
        <v>210</v>
      </c>
      <c r="H158" s="15">
        <v>45225</v>
      </c>
      <c r="I158" s="15">
        <v>45152</v>
      </c>
      <c r="J158" s="15">
        <f>+I158+365</f>
        <v>45517</v>
      </c>
      <c r="K158" s="13">
        <v>90</v>
      </c>
      <c r="L158" s="13" t="s">
        <v>1346</v>
      </c>
      <c r="M158" s="13">
        <f t="shared" si="52"/>
        <v>18900</v>
      </c>
      <c r="N158" s="13">
        <f t="shared" si="53"/>
        <v>18900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>
        <f t="shared" si="46"/>
        <v>18900</v>
      </c>
      <c r="CK158" s="9"/>
    </row>
    <row r="159" spans="1:89" s="56" customFormat="1" hidden="1" x14ac:dyDescent="0.25">
      <c r="A159" s="17">
        <v>5212252</v>
      </c>
      <c r="B159" s="17" t="s">
        <v>23</v>
      </c>
      <c r="C159" s="13" t="s">
        <v>1328</v>
      </c>
      <c r="D159" s="13"/>
      <c r="E159" s="7">
        <v>0</v>
      </c>
      <c r="F159" s="13">
        <v>8285500</v>
      </c>
      <c r="G159" s="13">
        <v>25</v>
      </c>
      <c r="H159" s="15">
        <v>45225</v>
      </c>
      <c r="I159" s="15">
        <v>45182</v>
      </c>
      <c r="J159" s="15">
        <f t="shared" ref="J159:J160" si="56">+I159+365+365</f>
        <v>45912</v>
      </c>
      <c r="K159" s="13">
        <v>1040</v>
      </c>
      <c r="L159" s="13" t="s">
        <v>1301</v>
      </c>
      <c r="M159" s="13">
        <f t="shared" si="52"/>
        <v>26000</v>
      </c>
      <c r="N159" s="13">
        <f t="shared" si="53"/>
        <v>26000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>
        <v>375</v>
      </c>
      <c r="AR159" s="13">
        <v>25625</v>
      </c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>
        <f t="shared" si="46"/>
        <v>0</v>
      </c>
      <c r="CK159" s="9"/>
    </row>
    <row r="160" spans="1:89" s="56" customFormat="1" hidden="1" x14ac:dyDescent="0.25">
      <c r="A160" s="17">
        <v>5212252</v>
      </c>
      <c r="B160" s="17" t="s">
        <v>23</v>
      </c>
      <c r="C160" s="13" t="s">
        <v>1364</v>
      </c>
      <c r="E160" s="7">
        <v>0</v>
      </c>
      <c r="F160" s="13">
        <v>8285500</v>
      </c>
      <c r="G160" s="13">
        <v>25</v>
      </c>
      <c r="H160" s="15">
        <v>45225</v>
      </c>
      <c r="I160" s="15">
        <v>45182</v>
      </c>
      <c r="J160" s="15">
        <f t="shared" si="56"/>
        <v>45912</v>
      </c>
      <c r="K160" s="13">
        <v>1040</v>
      </c>
      <c r="L160" s="14" t="s">
        <v>1365</v>
      </c>
      <c r="M160" s="13">
        <f t="shared" si="52"/>
        <v>26000</v>
      </c>
      <c r="N160" s="13">
        <f t="shared" si="53"/>
        <v>26000</v>
      </c>
      <c r="AP160" s="13"/>
      <c r="AQ160" s="13"/>
      <c r="AR160" s="13">
        <v>12375</v>
      </c>
      <c r="AS160" s="13"/>
      <c r="AT160" s="13">
        <v>13625</v>
      </c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>
        <f t="shared" si="46"/>
        <v>0</v>
      </c>
      <c r="CK160" s="13"/>
    </row>
    <row r="161" spans="1:89" s="56" customFormat="1" hidden="1" x14ac:dyDescent="0.25">
      <c r="A161" s="17">
        <v>5230874</v>
      </c>
      <c r="B161" s="17" t="s">
        <v>1316</v>
      </c>
      <c r="C161" s="13" t="s">
        <v>1348</v>
      </c>
      <c r="D161" s="13"/>
      <c r="E161" s="7">
        <v>0</v>
      </c>
      <c r="F161" s="13">
        <v>8169767</v>
      </c>
      <c r="G161" s="13">
        <v>250</v>
      </c>
      <c r="H161" s="15">
        <v>45226</v>
      </c>
      <c r="I161" s="15">
        <v>45181</v>
      </c>
      <c r="J161" s="15">
        <f>+I161+365</f>
        <v>45546</v>
      </c>
      <c r="K161" s="13">
        <v>37</v>
      </c>
      <c r="L161" s="14" t="s">
        <v>1287</v>
      </c>
      <c r="M161" s="13">
        <f>K161*G161</f>
        <v>9250</v>
      </c>
      <c r="N161" s="13">
        <f>M161</f>
        <v>9250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>
        <v>2250</v>
      </c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>
        <v>7000</v>
      </c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>
        <f t="shared" si="46"/>
        <v>0</v>
      </c>
      <c r="CK161" s="9"/>
    </row>
    <row r="162" spans="1:89" s="56" customFormat="1" hidden="1" x14ac:dyDescent="0.25">
      <c r="A162" s="17">
        <v>5230874</v>
      </c>
      <c r="B162" s="17" t="s">
        <v>1316</v>
      </c>
      <c r="C162" s="13" t="s">
        <v>1348</v>
      </c>
      <c r="D162" s="13"/>
      <c r="E162" s="7">
        <v>0</v>
      </c>
      <c r="F162" s="13">
        <v>8169767</v>
      </c>
      <c r="G162" s="13">
        <v>250</v>
      </c>
      <c r="H162" s="15">
        <v>45226</v>
      </c>
      <c r="I162" s="15">
        <v>45184</v>
      </c>
      <c r="J162" s="15">
        <f>+I162+365</f>
        <v>45549</v>
      </c>
      <c r="K162" s="13">
        <v>43</v>
      </c>
      <c r="L162" s="14" t="s">
        <v>1296</v>
      </c>
      <c r="M162" s="13">
        <f>K162*G162</f>
        <v>10750</v>
      </c>
      <c r="N162" s="13">
        <f>M162</f>
        <v>10750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>
        <v>8000</v>
      </c>
      <c r="BM162" s="13"/>
      <c r="BN162" s="13"/>
      <c r="BO162" s="13"/>
      <c r="BP162" s="13"/>
      <c r="BQ162" s="13"/>
      <c r="BR162" s="13"/>
      <c r="BS162" s="13">
        <v>1750</v>
      </c>
      <c r="BT162" s="13">
        <v>1000</v>
      </c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>
        <f t="shared" si="46"/>
        <v>0</v>
      </c>
      <c r="CK162" s="9"/>
    </row>
    <row r="163" spans="1:89" s="56" customFormat="1" hidden="1" x14ac:dyDescent="0.25">
      <c r="A163" s="17">
        <v>5211014</v>
      </c>
      <c r="B163" s="17" t="s">
        <v>38</v>
      </c>
      <c r="C163" s="13" t="s">
        <v>1352</v>
      </c>
      <c r="D163" s="13"/>
      <c r="E163" s="7">
        <v>0</v>
      </c>
      <c r="F163" s="13">
        <v>8285503</v>
      </c>
      <c r="G163" s="13">
        <v>25</v>
      </c>
      <c r="H163" s="15">
        <v>45227</v>
      </c>
      <c r="I163" s="15">
        <v>45180</v>
      </c>
      <c r="J163" s="15">
        <f>+I163+365+365</f>
        <v>45910</v>
      </c>
      <c r="K163" s="13">
        <v>920</v>
      </c>
      <c r="L163" s="13" t="s">
        <v>1353</v>
      </c>
      <c r="M163" s="13">
        <f>K163*G163</f>
        <v>23000</v>
      </c>
      <c r="N163" s="13">
        <f>M163</f>
        <v>23000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>
        <v>6900</v>
      </c>
      <c r="AS163" s="13"/>
      <c r="AT163" s="13">
        <v>8000</v>
      </c>
      <c r="AU163" s="13"/>
      <c r="AV163" s="13"/>
      <c r="AW163" s="13"/>
      <c r="AX163" s="13"/>
      <c r="AY163" s="13">
        <v>5000</v>
      </c>
      <c r="AZ163" s="13">
        <v>1000</v>
      </c>
      <c r="BA163" s="13">
        <v>2100</v>
      </c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>
        <f t="shared" si="46"/>
        <v>0</v>
      </c>
      <c r="CK163" s="9"/>
    </row>
    <row r="164" spans="1:89" s="56" customFormat="1" hidden="1" x14ac:dyDescent="0.25">
      <c r="A164" s="17">
        <v>5211014</v>
      </c>
      <c r="B164" s="17" t="s">
        <v>38</v>
      </c>
      <c r="C164" s="13" t="s">
        <v>1352</v>
      </c>
      <c r="D164" s="13"/>
      <c r="E164" s="7">
        <v>0</v>
      </c>
      <c r="F164" s="13">
        <v>8285503</v>
      </c>
      <c r="G164" s="13">
        <v>25</v>
      </c>
      <c r="H164" s="15">
        <v>45227</v>
      </c>
      <c r="I164" s="15">
        <v>45173</v>
      </c>
      <c r="J164" s="15">
        <f>+I164+365+365</f>
        <v>45903</v>
      </c>
      <c r="K164" s="13">
        <v>18</v>
      </c>
      <c r="L164" s="13" t="s">
        <v>1191</v>
      </c>
      <c r="M164" s="13">
        <f>K164*G164</f>
        <v>450</v>
      </c>
      <c r="N164" s="13">
        <f>M164</f>
        <v>450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>
        <v>450</v>
      </c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>
        <f t="shared" si="46"/>
        <v>0</v>
      </c>
      <c r="CK164" s="9"/>
    </row>
    <row r="165" spans="1:89" s="56" customFormat="1" hidden="1" x14ac:dyDescent="0.25">
      <c r="A165" s="17">
        <v>5211014</v>
      </c>
      <c r="B165" s="17" t="s">
        <v>38</v>
      </c>
      <c r="C165" s="13" t="s">
        <v>1352</v>
      </c>
      <c r="D165" s="13"/>
      <c r="E165" s="7">
        <v>0</v>
      </c>
      <c r="F165" s="13">
        <v>8285503</v>
      </c>
      <c r="G165" s="13">
        <v>25</v>
      </c>
      <c r="H165" s="15">
        <v>45227</v>
      </c>
      <c r="I165" s="15">
        <v>45180</v>
      </c>
      <c r="J165" s="15">
        <f>+I165+365+365</f>
        <v>45910</v>
      </c>
      <c r="K165" s="13">
        <v>102</v>
      </c>
      <c r="L165" s="13" t="s">
        <v>1355</v>
      </c>
      <c r="M165" s="13">
        <f>K165*G165</f>
        <v>2550</v>
      </c>
      <c r="N165" s="13">
        <f>M165</f>
        <v>2550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>
        <v>2550</v>
      </c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>
        <f t="shared" si="46"/>
        <v>0</v>
      </c>
      <c r="CK165" s="9"/>
    </row>
    <row r="166" spans="1:89" s="56" customFormat="1" hidden="1" x14ac:dyDescent="0.25">
      <c r="A166" s="17">
        <v>5230831</v>
      </c>
      <c r="B166" s="17" t="s">
        <v>35</v>
      </c>
      <c r="C166" s="13" t="s">
        <v>1367</v>
      </c>
      <c r="D166" s="13"/>
      <c r="E166" s="7">
        <v>0</v>
      </c>
      <c r="F166" s="13">
        <v>8261236</v>
      </c>
      <c r="G166" s="13">
        <v>240</v>
      </c>
      <c r="H166" s="59">
        <v>45228</v>
      </c>
      <c r="I166" s="15">
        <v>45192</v>
      </c>
      <c r="J166" s="15">
        <f t="shared" ref="J166:J168" si="57">+I166+275</f>
        <v>45467</v>
      </c>
      <c r="K166" s="13">
        <v>80</v>
      </c>
      <c r="L166" s="49" t="s">
        <v>1368</v>
      </c>
      <c r="M166" s="13">
        <f t="shared" ref="M166:M172" si="58">K166*G166</f>
        <v>19200</v>
      </c>
      <c r="N166" s="13">
        <f t="shared" ref="N166:N172" si="59">M166</f>
        <v>19200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>
        <v>14400</v>
      </c>
      <c r="BM166" s="13"/>
      <c r="BN166" s="13"/>
      <c r="BO166" s="13"/>
      <c r="BP166" s="13"/>
      <c r="BQ166" s="13"/>
      <c r="BR166" s="13"/>
      <c r="BS166" s="13"/>
      <c r="BT166" s="13"/>
      <c r="BU166" s="13"/>
      <c r="BV166" s="13">
        <v>4800</v>
      </c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>
        <f t="shared" si="46"/>
        <v>0</v>
      </c>
      <c r="CK166" s="9"/>
    </row>
    <row r="167" spans="1:89" s="56" customFormat="1" hidden="1" x14ac:dyDescent="0.25">
      <c r="A167" s="17">
        <v>5230831</v>
      </c>
      <c r="B167" s="17" t="s">
        <v>35</v>
      </c>
      <c r="C167" s="13" t="s">
        <v>1367</v>
      </c>
      <c r="D167" s="13"/>
      <c r="E167" s="7">
        <v>0</v>
      </c>
      <c r="F167" s="13">
        <v>8261236</v>
      </c>
      <c r="G167" s="13">
        <v>240</v>
      </c>
      <c r="H167" s="59">
        <v>45228</v>
      </c>
      <c r="I167" s="15">
        <v>45192</v>
      </c>
      <c r="J167" s="15">
        <f t="shared" si="57"/>
        <v>45467</v>
      </c>
      <c r="K167" s="13">
        <v>80</v>
      </c>
      <c r="L167" s="49" t="s">
        <v>1368</v>
      </c>
      <c r="M167" s="13">
        <f t="shared" si="58"/>
        <v>19200</v>
      </c>
      <c r="N167" s="13">
        <f t="shared" si="59"/>
        <v>19200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>
        <v>9600</v>
      </c>
      <c r="BP167" s="13"/>
      <c r="BQ167" s="13"/>
      <c r="BR167" s="13"/>
      <c r="BS167" s="13"/>
      <c r="BT167" s="13"/>
      <c r="BU167" s="13">
        <v>9600</v>
      </c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>
        <f t="shared" si="46"/>
        <v>0</v>
      </c>
      <c r="CK167" s="9"/>
    </row>
    <row r="168" spans="1:89" s="56" customFormat="1" hidden="1" x14ac:dyDescent="0.25">
      <c r="A168" s="17">
        <v>5230831</v>
      </c>
      <c r="B168" s="17" t="s">
        <v>35</v>
      </c>
      <c r="C168" s="13" t="s">
        <v>1367</v>
      </c>
      <c r="D168" s="13"/>
      <c r="E168" s="7">
        <v>0</v>
      </c>
      <c r="F168" s="13">
        <v>8261236</v>
      </c>
      <c r="G168" s="13">
        <v>240</v>
      </c>
      <c r="H168" s="59">
        <v>45228</v>
      </c>
      <c r="I168" s="15">
        <v>45192</v>
      </c>
      <c r="J168" s="15">
        <f t="shared" si="57"/>
        <v>45467</v>
      </c>
      <c r="K168" s="13">
        <v>80</v>
      </c>
      <c r="L168" s="49" t="s">
        <v>1368</v>
      </c>
      <c r="M168" s="13">
        <f t="shared" si="58"/>
        <v>19200</v>
      </c>
      <c r="N168" s="13">
        <f t="shared" si="59"/>
        <v>19200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>
        <v>9600</v>
      </c>
      <c r="BW168" s="13"/>
      <c r="BX168" s="13"/>
      <c r="BY168" s="13"/>
      <c r="BZ168" s="13"/>
      <c r="CA168" s="13">
        <v>9600</v>
      </c>
      <c r="CB168" s="13"/>
      <c r="CC168" s="13"/>
      <c r="CD168" s="13"/>
      <c r="CE168" s="13"/>
      <c r="CF168" s="13"/>
      <c r="CG168" s="13"/>
      <c r="CH168" s="13"/>
      <c r="CI168" s="13"/>
      <c r="CJ168" s="13">
        <f t="shared" si="46"/>
        <v>0</v>
      </c>
      <c r="CK168" s="9"/>
    </row>
    <row r="169" spans="1:89" s="56" customFormat="1" hidden="1" x14ac:dyDescent="0.25">
      <c r="A169" s="17">
        <v>5302866</v>
      </c>
      <c r="B169" s="17" t="s">
        <v>1332</v>
      </c>
      <c r="C169" s="13" t="s">
        <v>1369</v>
      </c>
      <c r="D169" s="13"/>
      <c r="E169" s="7">
        <v>0</v>
      </c>
      <c r="F169" s="13">
        <v>8299233</v>
      </c>
      <c r="G169" s="13">
        <v>210</v>
      </c>
      <c r="H169" s="59">
        <v>45228</v>
      </c>
      <c r="I169" s="15">
        <v>45112</v>
      </c>
      <c r="J169" s="15">
        <f t="shared" ref="J169:J172" si="60">+I169+365</f>
        <v>45477</v>
      </c>
      <c r="K169" s="13">
        <v>62</v>
      </c>
      <c r="L169" s="54" t="s">
        <v>1370</v>
      </c>
      <c r="M169" s="13">
        <f t="shared" si="58"/>
        <v>13020</v>
      </c>
      <c r="N169" s="13">
        <f t="shared" si="59"/>
        <v>13020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>
        <f t="shared" si="46"/>
        <v>13020</v>
      </c>
      <c r="CK169" s="9"/>
    </row>
    <row r="170" spans="1:89" s="56" customFormat="1" hidden="1" x14ac:dyDescent="0.25">
      <c r="A170" s="17">
        <v>5302866</v>
      </c>
      <c r="B170" s="17" t="s">
        <v>1332</v>
      </c>
      <c r="C170" s="13" t="s">
        <v>1369</v>
      </c>
      <c r="D170" s="13"/>
      <c r="E170" s="7">
        <v>0</v>
      </c>
      <c r="F170" s="13">
        <v>8299233</v>
      </c>
      <c r="G170" s="13">
        <v>210</v>
      </c>
      <c r="H170" s="59">
        <v>45228</v>
      </c>
      <c r="I170" s="15">
        <v>45112</v>
      </c>
      <c r="J170" s="15">
        <f t="shared" si="60"/>
        <v>45477</v>
      </c>
      <c r="K170" s="13">
        <v>13</v>
      </c>
      <c r="L170" s="54" t="s">
        <v>1371</v>
      </c>
      <c r="M170" s="13">
        <f t="shared" si="58"/>
        <v>2730</v>
      </c>
      <c r="N170" s="13">
        <f t="shared" si="59"/>
        <v>2730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>
        <f t="shared" si="46"/>
        <v>2730</v>
      </c>
      <c r="CK170" s="9"/>
    </row>
    <row r="171" spans="1:89" s="56" customFormat="1" hidden="1" x14ac:dyDescent="0.25">
      <c r="A171" s="17">
        <v>5303117</v>
      </c>
      <c r="B171" s="17" t="s">
        <v>36</v>
      </c>
      <c r="C171" s="13" t="s">
        <v>1369</v>
      </c>
      <c r="D171" s="13"/>
      <c r="E171" s="7">
        <v>0</v>
      </c>
      <c r="F171" s="13">
        <v>8299233</v>
      </c>
      <c r="G171" s="13">
        <v>210</v>
      </c>
      <c r="H171" s="59">
        <v>45228</v>
      </c>
      <c r="I171" s="15">
        <v>45112</v>
      </c>
      <c r="J171" s="15">
        <f t="shared" si="60"/>
        <v>45477</v>
      </c>
      <c r="K171" s="13">
        <v>3</v>
      </c>
      <c r="L171" s="54" t="s">
        <v>1372</v>
      </c>
      <c r="M171" s="13">
        <f t="shared" si="58"/>
        <v>630</v>
      </c>
      <c r="N171" s="13">
        <f t="shared" si="59"/>
        <v>630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>
        <v>630</v>
      </c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>
        <f t="shared" si="46"/>
        <v>0</v>
      </c>
      <c r="CK171" s="9"/>
    </row>
    <row r="172" spans="1:89" s="56" customFormat="1" hidden="1" x14ac:dyDescent="0.25">
      <c r="A172" s="17">
        <v>5302866</v>
      </c>
      <c r="B172" s="17" t="s">
        <v>1332</v>
      </c>
      <c r="C172" s="13" t="s">
        <v>1369</v>
      </c>
      <c r="D172" s="13"/>
      <c r="E172" s="7">
        <v>0</v>
      </c>
      <c r="F172" s="13">
        <v>8299233</v>
      </c>
      <c r="G172" s="13">
        <v>210</v>
      </c>
      <c r="H172" s="59">
        <v>45228</v>
      </c>
      <c r="I172" s="15">
        <v>45112</v>
      </c>
      <c r="J172" s="15">
        <f t="shared" si="60"/>
        <v>45477</v>
      </c>
      <c r="K172" s="13">
        <v>2</v>
      </c>
      <c r="L172" s="54" t="s">
        <v>1373</v>
      </c>
      <c r="M172" s="13">
        <f t="shared" si="58"/>
        <v>420</v>
      </c>
      <c r="N172" s="13">
        <f t="shared" si="59"/>
        <v>420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>
        <f t="shared" si="46"/>
        <v>420</v>
      </c>
      <c r="CK172" s="9"/>
    </row>
    <row r="173" spans="1:89" s="56" customFormat="1" hidden="1" x14ac:dyDescent="0.25">
      <c r="A173" s="17">
        <v>5212252</v>
      </c>
      <c r="B173" s="17" t="s">
        <v>23</v>
      </c>
      <c r="C173" s="13" t="s">
        <v>1374</v>
      </c>
      <c r="D173" s="13"/>
      <c r="E173" s="7">
        <v>0</v>
      </c>
      <c r="F173" s="13">
        <v>8017652</v>
      </c>
      <c r="G173" s="13">
        <v>25</v>
      </c>
      <c r="H173" s="46">
        <v>45228</v>
      </c>
      <c r="I173" s="15">
        <v>45170</v>
      </c>
      <c r="J173" s="15">
        <f>+I173+365+365</f>
        <v>45900</v>
      </c>
      <c r="K173" s="13">
        <v>1040</v>
      </c>
      <c r="L173" s="31" t="s">
        <v>1441</v>
      </c>
      <c r="M173" s="13">
        <f t="shared" ref="M173:M236" si="61">K173*G173</f>
        <v>26000</v>
      </c>
      <c r="N173" s="13">
        <f t="shared" ref="N173:N236" si="62">M173</f>
        <v>26000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>
        <v>10375</v>
      </c>
      <c r="AU173" s="13">
        <v>15575</v>
      </c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>
        <v>50</v>
      </c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>
        <f t="shared" si="46"/>
        <v>0</v>
      </c>
      <c r="CK173" s="9"/>
    </row>
    <row r="174" spans="1:89" s="56" customFormat="1" hidden="1" x14ac:dyDescent="0.25">
      <c r="A174" s="73">
        <v>5212252</v>
      </c>
      <c r="B174" s="73" t="s">
        <v>23</v>
      </c>
      <c r="C174" s="70" t="s">
        <v>1374</v>
      </c>
      <c r="D174" s="13"/>
      <c r="E174" s="7">
        <v>0</v>
      </c>
      <c r="F174" s="69">
        <v>8017652</v>
      </c>
      <c r="G174" s="72">
        <v>25</v>
      </c>
      <c r="H174" s="71">
        <v>45229</v>
      </c>
      <c r="I174" s="15">
        <v>45170</v>
      </c>
      <c r="J174" s="15">
        <f t="shared" ref="J174:J184" si="63">+I174+365+365</f>
        <v>45900</v>
      </c>
      <c r="K174" s="51">
        <v>680</v>
      </c>
      <c r="L174" s="70" t="s">
        <v>1306</v>
      </c>
      <c r="M174" s="13">
        <f t="shared" si="61"/>
        <v>17000</v>
      </c>
      <c r="N174" s="13">
        <f t="shared" si="62"/>
        <v>17000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>
        <v>17000</v>
      </c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>
        <f t="shared" si="46"/>
        <v>0</v>
      </c>
      <c r="CK174" s="9"/>
    </row>
    <row r="175" spans="1:89" s="56" customFormat="1" hidden="1" x14ac:dyDescent="0.25">
      <c r="A175" s="73">
        <v>5212252</v>
      </c>
      <c r="B175" s="73" t="s">
        <v>23</v>
      </c>
      <c r="C175" s="70" t="s">
        <v>1374</v>
      </c>
      <c r="D175" s="13"/>
      <c r="E175" s="7">
        <v>0</v>
      </c>
      <c r="F175" s="69">
        <v>8017652</v>
      </c>
      <c r="G175" s="72">
        <v>25</v>
      </c>
      <c r="H175" s="71">
        <v>45229</v>
      </c>
      <c r="I175" s="15">
        <v>45170</v>
      </c>
      <c r="J175" s="15">
        <f t="shared" si="63"/>
        <v>45900</v>
      </c>
      <c r="K175" s="51">
        <v>248</v>
      </c>
      <c r="L175" s="70" t="s">
        <v>1166</v>
      </c>
      <c r="M175" s="13">
        <f t="shared" si="61"/>
        <v>6200</v>
      </c>
      <c r="N175" s="13">
        <f t="shared" si="62"/>
        <v>6200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>
        <v>6200</v>
      </c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>
        <f t="shared" si="46"/>
        <v>0</v>
      </c>
      <c r="CK175" s="9"/>
    </row>
    <row r="176" spans="1:89" s="56" customFormat="1" hidden="1" x14ac:dyDescent="0.25">
      <c r="A176" s="73">
        <v>5212252</v>
      </c>
      <c r="B176" s="73" t="s">
        <v>23</v>
      </c>
      <c r="C176" s="70" t="s">
        <v>1374</v>
      </c>
      <c r="D176" s="13"/>
      <c r="E176" s="7">
        <v>0</v>
      </c>
      <c r="F176" s="69">
        <v>8017652</v>
      </c>
      <c r="G176" s="72">
        <v>25</v>
      </c>
      <c r="H176" s="71">
        <v>45229</v>
      </c>
      <c r="I176" s="15">
        <v>45170</v>
      </c>
      <c r="J176" s="15">
        <f t="shared" si="63"/>
        <v>45900</v>
      </c>
      <c r="K176" s="51">
        <v>52</v>
      </c>
      <c r="L176" s="70" t="s">
        <v>1219</v>
      </c>
      <c r="M176" s="13">
        <f t="shared" si="61"/>
        <v>1300</v>
      </c>
      <c r="N176" s="13">
        <f t="shared" si="62"/>
        <v>1300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>
        <v>1300</v>
      </c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>
        <f t="shared" si="46"/>
        <v>0</v>
      </c>
      <c r="CK176" s="9"/>
    </row>
    <row r="177" spans="1:89" s="56" customFormat="1" hidden="1" x14ac:dyDescent="0.25">
      <c r="A177" s="73">
        <v>5212252</v>
      </c>
      <c r="B177" s="73" t="s">
        <v>23</v>
      </c>
      <c r="C177" s="70" t="s">
        <v>1374</v>
      </c>
      <c r="D177" s="13"/>
      <c r="E177" s="7">
        <v>0</v>
      </c>
      <c r="F177" s="69">
        <v>8017652</v>
      </c>
      <c r="G177" s="72">
        <v>25</v>
      </c>
      <c r="H177" s="71">
        <v>45229</v>
      </c>
      <c r="I177" s="15">
        <v>45170</v>
      </c>
      <c r="J177" s="15">
        <f t="shared" si="63"/>
        <v>45900</v>
      </c>
      <c r="K177" s="51">
        <v>60</v>
      </c>
      <c r="L177" s="69">
        <v>2021640709</v>
      </c>
      <c r="M177" s="13">
        <f t="shared" si="61"/>
        <v>1500</v>
      </c>
      <c r="N177" s="13">
        <f t="shared" si="62"/>
        <v>1500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>
        <v>1500</v>
      </c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>
        <f t="shared" si="46"/>
        <v>0</v>
      </c>
      <c r="CK177" s="9"/>
    </row>
    <row r="178" spans="1:89" s="56" customFormat="1" hidden="1" x14ac:dyDescent="0.25">
      <c r="A178" s="17">
        <v>5212252</v>
      </c>
      <c r="B178" s="17" t="s">
        <v>23</v>
      </c>
      <c r="C178" s="51" t="s">
        <v>1376</v>
      </c>
      <c r="D178" s="13"/>
      <c r="E178" s="7">
        <v>0</v>
      </c>
      <c r="F178" s="50">
        <v>8404720</v>
      </c>
      <c r="G178" s="50">
        <v>25</v>
      </c>
      <c r="H178" s="46">
        <v>45229</v>
      </c>
      <c r="I178" s="15">
        <v>45229</v>
      </c>
      <c r="J178" s="15">
        <f t="shared" si="63"/>
        <v>45959</v>
      </c>
      <c r="K178" s="51">
        <v>1040</v>
      </c>
      <c r="L178" s="51" t="s">
        <v>1377</v>
      </c>
      <c r="M178" s="13">
        <f t="shared" si="61"/>
        <v>26000</v>
      </c>
      <c r="N178" s="13">
        <f t="shared" si="62"/>
        <v>26000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>
        <v>8425</v>
      </c>
      <c r="AV178" s="13"/>
      <c r="AW178" s="13"/>
      <c r="AX178" s="13">
        <v>10000</v>
      </c>
      <c r="AY178" s="13">
        <v>5050</v>
      </c>
      <c r="AZ178" s="13">
        <v>2000</v>
      </c>
      <c r="BA178" s="13">
        <v>275</v>
      </c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>
        <v>250</v>
      </c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>
        <f t="shared" si="46"/>
        <v>0</v>
      </c>
      <c r="CK178" s="9"/>
    </row>
    <row r="179" spans="1:89" s="56" customFormat="1" hidden="1" x14ac:dyDescent="0.25">
      <c r="A179" s="17">
        <v>5212252</v>
      </c>
      <c r="B179" s="17" t="s">
        <v>23</v>
      </c>
      <c r="C179" s="51" t="s">
        <v>1364</v>
      </c>
      <c r="D179" s="13"/>
      <c r="E179" s="7">
        <v>0</v>
      </c>
      <c r="F179" s="51">
        <v>8368021</v>
      </c>
      <c r="G179" s="13">
        <v>25</v>
      </c>
      <c r="H179" s="46">
        <v>45229</v>
      </c>
      <c r="I179" s="15">
        <v>45229</v>
      </c>
      <c r="J179" s="15">
        <f t="shared" si="63"/>
        <v>45959</v>
      </c>
      <c r="K179" s="51">
        <v>430</v>
      </c>
      <c r="L179" s="50" t="s">
        <v>1365</v>
      </c>
      <c r="M179" s="13">
        <f t="shared" si="61"/>
        <v>10750</v>
      </c>
      <c r="N179" s="13">
        <f t="shared" si="62"/>
        <v>10750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>
        <v>10750</v>
      </c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>
        <f t="shared" si="46"/>
        <v>0</v>
      </c>
      <c r="CK179" s="9"/>
    </row>
    <row r="180" spans="1:89" s="56" customFormat="1" hidden="1" x14ac:dyDescent="0.25">
      <c r="A180" s="17">
        <v>5212252</v>
      </c>
      <c r="B180" s="17" t="s">
        <v>23</v>
      </c>
      <c r="C180" s="51" t="s">
        <v>1364</v>
      </c>
      <c r="D180" s="13"/>
      <c r="E180" s="7">
        <v>0</v>
      </c>
      <c r="F180" s="51">
        <v>8368021</v>
      </c>
      <c r="G180" s="13">
        <v>25</v>
      </c>
      <c r="H180" s="46">
        <v>45229</v>
      </c>
      <c r="I180" s="15">
        <v>45229</v>
      </c>
      <c r="J180" s="15">
        <f t="shared" si="63"/>
        <v>45959</v>
      </c>
      <c r="K180" s="50">
        <v>559</v>
      </c>
      <c r="L180" s="67" t="s">
        <v>1443</v>
      </c>
      <c r="M180" s="13">
        <f t="shared" si="61"/>
        <v>13975</v>
      </c>
      <c r="N180" s="13">
        <f t="shared" si="62"/>
        <v>13975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>
        <v>13975</v>
      </c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>
        <f t="shared" si="46"/>
        <v>0</v>
      </c>
      <c r="CK180" s="9"/>
    </row>
    <row r="181" spans="1:89" s="56" customFormat="1" hidden="1" x14ac:dyDescent="0.25">
      <c r="A181" s="17">
        <v>5212252</v>
      </c>
      <c r="B181" s="17" t="s">
        <v>23</v>
      </c>
      <c r="C181" s="51" t="s">
        <v>1364</v>
      </c>
      <c r="D181" s="13"/>
      <c r="E181" s="7">
        <v>0</v>
      </c>
      <c r="F181" s="51">
        <v>8368021</v>
      </c>
      <c r="G181" s="13">
        <v>25</v>
      </c>
      <c r="H181" s="46">
        <v>45229</v>
      </c>
      <c r="I181" s="15">
        <v>45229</v>
      </c>
      <c r="J181" s="15">
        <f t="shared" si="63"/>
        <v>45959</v>
      </c>
      <c r="K181" s="50">
        <v>51</v>
      </c>
      <c r="L181" s="67" t="s">
        <v>1301</v>
      </c>
      <c r="M181" s="13">
        <f t="shared" si="61"/>
        <v>1275</v>
      </c>
      <c r="N181" s="13">
        <f t="shared" si="62"/>
        <v>1275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>
        <v>1275</v>
      </c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>
        <f t="shared" si="46"/>
        <v>0</v>
      </c>
      <c r="CK181" s="9"/>
    </row>
    <row r="182" spans="1:89" s="56" customFormat="1" hidden="1" x14ac:dyDescent="0.25">
      <c r="A182" s="17">
        <v>5212252</v>
      </c>
      <c r="B182" s="17" t="s">
        <v>23</v>
      </c>
      <c r="C182" s="50" t="s">
        <v>1376</v>
      </c>
      <c r="D182" s="13"/>
      <c r="E182" s="7">
        <v>0</v>
      </c>
      <c r="F182" s="50">
        <v>8404720</v>
      </c>
      <c r="G182" s="13">
        <v>25</v>
      </c>
      <c r="H182" s="46">
        <v>45229</v>
      </c>
      <c r="I182" s="15">
        <v>45229</v>
      </c>
      <c r="J182" s="15">
        <f t="shared" si="63"/>
        <v>45959</v>
      </c>
      <c r="K182" s="50">
        <v>413</v>
      </c>
      <c r="L182" s="51" t="s">
        <v>1377</v>
      </c>
      <c r="M182" s="13">
        <f t="shared" si="61"/>
        <v>10325</v>
      </c>
      <c r="N182" s="13">
        <f t="shared" si="62"/>
        <v>10325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>
        <v>9000</v>
      </c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>
        <v>1325</v>
      </c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>
        <f t="shared" si="46"/>
        <v>0</v>
      </c>
      <c r="CK182" s="9"/>
    </row>
    <row r="183" spans="1:89" s="56" customFormat="1" hidden="1" x14ac:dyDescent="0.25">
      <c r="A183" s="17">
        <v>5212252</v>
      </c>
      <c r="B183" s="17" t="s">
        <v>23</v>
      </c>
      <c r="C183" s="50" t="s">
        <v>1376</v>
      </c>
      <c r="D183" s="13"/>
      <c r="E183" s="7">
        <v>0</v>
      </c>
      <c r="F183" s="50">
        <v>8404720</v>
      </c>
      <c r="G183" s="13">
        <v>25</v>
      </c>
      <c r="H183" s="46">
        <v>45229</v>
      </c>
      <c r="I183" s="15">
        <v>45229</v>
      </c>
      <c r="J183" s="15">
        <f t="shared" si="63"/>
        <v>45959</v>
      </c>
      <c r="K183" s="51">
        <v>527</v>
      </c>
      <c r="L183" s="51" t="s">
        <v>1442</v>
      </c>
      <c r="M183" s="13">
        <f t="shared" si="61"/>
        <v>13175</v>
      </c>
      <c r="N183" s="13">
        <f t="shared" si="62"/>
        <v>13175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>
        <v>13175</v>
      </c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>
        <f t="shared" si="46"/>
        <v>0</v>
      </c>
      <c r="CK183" s="9"/>
    </row>
    <row r="184" spans="1:89" s="56" customFormat="1" hidden="1" x14ac:dyDescent="0.25">
      <c r="A184" s="17">
        <v>5212252</v>
      </c>
      <c r="B184" s="17" t="s">
        <v>23</v>
      </c>
      <c r="C184" s="50" t="s">
        <v>1376</v>
      </c>
      <c r="D184" s="13"/>
      <c r="E184" s="7">
        <v>0</v>
      </c>
      <c r="F184" s="50">
        <v>8404720</v>
      </c>
      <c r="G184" s="13">
        <v>25</v>
      </c>
      <c r="H184" s="46">
        <v>45229</v>
      </c>
      <c r="I184" s="15">
        <v>45229</v>
      </c>
      <c r="J184" s="15">
        <f t="shared" si="63"/>
        <v>45959</v>
      </c>
      <c r="K184" s="51">
        <v>20</v>
      </c>
      <c r="L184" s="51" t="s">
        <v>1301</v>
      </c>
      <c r="M184" s="13">
        <f t="shared" si="61"/>
        <v>500</v>
      </c>
      <c r="N184" s="13">
        <f t="shared" si="62"/>
        <v>500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>
        <v>500</v>
      </c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>
        <f t="shared" si="46"/>
        <v>0</v>
      </c>
      <c r="CK184" s="9"/>
    </row>
    <row r="185" spans="1:89" s="56" customFormat="1" hidden="1" x14ac:dyDescent="0.25">
      <c r="A185" s="17" t="s">
        <v>30</v>
      </c>
      <c r="B185" s="17" t="s">
        <v>1390</v>
      </c>
      <c r="C185" s="50" t="s">
        <v>1376</v>
      </c>
      <c r="D185" s="13"/>
      <c r="E185" s="7">
        <v>0</v>
      </c>
      <c r="F185" s="50">
        <v>8404720</v>
      </c>
      <c r="G185" s="13">
        <v>25</v>
      </c>
      <c r="H185" s="46">
        <v>45229</v>
      </c>
      <c r="I185" s="15">
        <v>45229</v>
      </c>
      <c r="J185" s="15">
        <f t="shared" ref="J185:J186" si="64">+I185+365</f>
        <v>45594</v>
      </c>
      <c r="K185" s="51">
        <v>60</v>
      </c>
      <c r="L185" s="50" t="s">
        <v>1393</v>
      </c>
      <c r="M185" s="13">
        <f t="shared" si="61"/>
        <v>1500</v>
      </c>
      <c r="N185" s="13">
        <f t="shared" si="62"/>
        <v>1500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>
        <v>500</v>
      </c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>
        <f t="shared" si="46"/>
        <v>1000</v>
      </c>
      <c r="CK185" s="9"/>
    </row>
    <row r="186" spans="1:89" s="56" customFormat="1" hidden="1" x14ac:dyDescent="0.25">
      <c r="A186" s="17" t="s">
        <v>30</v>
      </c>
      <c r="B186" s="17" t="s">
        <v>1391</v>
      </c>
      <c r="C186" s="50" t="s">
        <v>1376</v>
      </c>
      <c r="D186" s="13"/>
      <c r="E186" s="7">
        <v>0</v>
      </c>
      <c r="F186" s="50">
        <v>8404720</v>
      </c>
      <c r="G186" s="13">
        <v>25</v>
      </c>
      <c r="H186" s="46">
        <v>45229</v>
      </c>
      <c r="I186" s="15">
        <v>45229</v>
      </c>
      <c r="J186" s="15">
        <f t="shared" si="64"/>
        <v>45594</v>
      </c>
      <c r="K186" s="51">
        <v>20</v>
      </c>
      <c r="L186" s="50" t="s">
        <v>1392</v>
      </c>
      <c r="M186" s="13">
        <f t="shared" si="61"/>
        <v>500</v>
      </c>
      <c r="N186" s="13">
        <f t="shared" si="62"/>
        <v>500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>
        <f t="shared" si="46"/>
        <v>500</v>
      </c>
      <c r="CK186" s="9"/>
    </row>
    <row r="187" spans="1:89" s="56" customFormat="1" hidden="1" x14ac:dyDescent="0.25">
      <c r="A187" s="17">
        <v>5302866</v>
      </c>
      <c r="B187" s="17" t="s">
        <v>1332</v>
      </c>
      <c r="C187" s="51" t="s">
        <v>1412</v>
      </c>
      <c r="D187" s="13"/>
      <c r="E187" s="7">
        <v>0</v>
      </c>
      <c r="F187" s="51">
        <v>8299229</v>
      </c>
      <c r="G187" s="13">
        <v>210</v>
      </c>
      <c r="H187" s="46">
        <v>45230</v>
      </c>
      <c r="I187" s="15">
        <v>45188</v>
      </c>
      <c r="J187" s="15">
        <v>45553</v>
      </c>
      <c r="K187" s="50">
        <v>120</v>
      </c>
      <c r="L187" s="51" t="s">
        <v>1413</v>
      </c>
      <c r="M187" s="13">
        <f t="shared" si="61"/>
        <v>25200</v>
      </c>
      <c r="N187" s="13">
        <f t="shared" si="62"/>
        <v>25200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>
        <f t="shared" si="46"/>
        <v>25200</v>
      </c>
      <c r="CK187" s="9"/>
    </row>
    <row r="188" spans="1:89" hidden="1" x14ac:dyDescent="0.25">
      <c r="A188" s="17">
        <v>5302866</v>
      </c>
      <c r="B188" s="17" t="s">
        <v>1332</v>
      </c>
      <c r="C188" s="51" t="s">
        <v>1412</v>
      </c>
      <c r="D188" s="13"/>
      <c r="E188" s="7">
        <v>0</v>
      </c>
      <c r="F188" s="51">
        <v>8299229</v>
      </c>
      <c r="G188" s="13">
        <v>210</v>
      </c>
      <c r="H188" s="46">
        <v>45230</v>
      </c>
      <c r="I188" s="15">
        <v>45174</v>
      </c>
      <c r="J188" s="15">
        <v>45539</v>
      </c>
      <c r="K188" s="50">
        <v>120</v>
      </c>
      <c r="L188" s="51" t="s">
        <v>1413</v>
      </c>
      <c r="M188" s="13">
        <f t="shared" si="61"/>
        <v>25200</v>
      </c>
      <c r="N188" s="13">
        <f t="shared" si="62"/>
        <v>25200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>
        <f t="shared" si="46"/>
        <v>25200</v>
      </c>
      <c r="CK188" s="9"/>
    </row>
    <row r="189" spans="1:89" hidden="1" x14ac:dyDescent="0.25">
      <c r="A189" s="17">
        <v>5211013</v>
      </c>
      <c r="B189" s="17" t="s">
        <v>27</v>
      </c>
      <c r="C189" s="51" t="s">
        <v>1416</v>
      </c>
      <c r="D189" s="58"/>
      <c r="E189" s="7">
        <v>0</v>
      </c>
      <c r="F189" s="51">
        <v>8373156</v>
      </c>
      <c r="G189" s="13">
        <v>25</v>
      </c>
      <c r="H189" s="46">
        <v>45230</v>
      </c>
      <c r="I189" s="15">
        <v>45172</v>
      </c>
      <c r="J189" s="15">
        <v>45902</v>
      </c>
      <c r="K189" s="51">
        <v>1040</v>
      </c>
      <c r="L189" s="51" t="s">
        <v>1417</v>
      </c>
      <c r="M189" s="13">
        <f t="shared" si="61"/>
        <v>26000</v>
      </c>
      <c r="N189" s="13">
        <f t="shared" si="62"/>
        <v>26000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>
        <v>500</v>
      </c>
      <c r="CB189" s="13">
        <v>15000</v>
      </c>
      <c r="CC189" s="13"/>
      <c r="CD189" s="13">
        <v>10000</v>
      </c>
      <c r="CE189" s="13"/>
      <c r="CF189" s="13"/>
      <c r="CG189" s="13">
        <v>500</v>
      </c>
      <c r="CH189" s="13"/>
      <c r="CI189" s="13"/>
      <c r="CJ189" s="13">
        <f t="shared" si="46"/>
        <v>0</v>
      </c>
      <c r="CK189" s="9"/>
    </row>
    <row r="190" spans="1:89" hidden="1" x14ac:dyDescent="0.25">
      <c r="A190" s="17">
        <v>5211013</v>
      </c>
      <c r="B190" s="17" t="s">
        <v>27</v>
      </c>
      <c r="C190" s="51" t="s">
        <v>1416</v>
      </c>
      <c r="D190" s="58"/>
      <c r="E190" s="7">
        <v>0</v>
      </c>
      <c r="F190" s="51">
        <v>8373156</v>
      </c>
      <c r="G190" s="13">
        <v>25</v>
      </c>
      <c r="H190" s="46">
        <v>45230</v>
      </c>
      <c r="I190" s="15">
        <v>45172</v>
      </c>
      <c r="J190" s="15">
        <v>45902</v>
      </c>
      <c r="K190" s="51">
        <v>812</v>
      </c>
      <c r="L190" s="50" t="s">
        <v>1420</v>
      </c>
      <c r="M190" s="13">
        <f t="shared" si="61"/>
        <v>20300</v>
      </c>
      <c r="N190" s="13">
        <f t="shared" si="62"/>
        <v>20300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>
        <v>2500</v>
      </c>
      <c r="CH190" s="13"/>
      <c r="CI190" s="13"/>
      <c r="CJ190" s="13">
        <f t="shared" si="46"/>
        <v>17800</v>
      </c>
      <c r="CK190" s="9"/>
    </row>
    <row r="191" spans="1:89" hidden="1" x14ac:dyDescent="0.25">
      <c r="A191" s="17">
        <v>5211013</v>
      </c>
      <c r="B191" s="17" t="s">
        <v>27</v>
      </c>
      <c r="C191" s="51" t="s">
        <v>1416</v>
      </c>
      <c r="D191" s="58"/>
      <c r="E191" s="7">
        <v>0</v>
      </c>
      <c r="F191" s="51">
        <v>8373156</v>
      </c>
      <c r="G191" s="13">
        <v>25</v>
      </c>
      <c r="H191" s="46">
        <v>45230</v>
      </c>
      <c r="I191" s="15">
        <v>45172</v>
      </c>
      <c r="J191" s="15">
        <v>45902</v>
      </c>
      <c r="K191" s="51">
        <v>228</v>
      </c>
      <c r="L191" s="62" t="s">
        <v>1417</v>
      </c>
      <c r="M191" s="13">
        <f t="shared" si="61"/>
        <v>5700</v>
      </c>
      <c r="N191" s="13">
        <f t="shared" si="62"/>
        <v>5700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>
        <v>5700</v>
      </c>
      <c r="CA191" s="13"/>
      <c r="CB191" s="13"/>
      <c r="CC191" s="13"/>
      <c r="CD191" s="13"/>
      <c r="CE191" s="13"/>
      <c r="CF191" s="13"/>
      <c r="CG191" s="13"/>
      <c r="CH191" s="13"/>
      <c r="CI191" s="13"/>
      <c r="CJ191" s="13">
        <f t="shared" si="46"/>
        <v>0</v>
      </c>
      <c r="CK191" s="9"/>
    </row>
    <row r="192" spans="1:89" hidden="1" x14ac:dyDescent="0.25">
      <c r="A192" s="17">
        <v>5212259</v>
      </c>
      <c r="B192" s="17" t="s">
        <v>26</v>
      </c>
      <c r="C192" s="90" t="s">
        <v>1477</v>
      </c>
      <c r="D192" s="51"/>
      <c r="E192" s="7">
        <v>0</v>
      </c>
      <c r="F192" s="90">
        <v>8439832</v>
      </c>
      <c r="G192" s="13">
        <v>25</v>
      </c>
      <c r="H192" s="46">
        <v>45238</v>
      </c>
      <c r="I192" s="59">
        <v>45108</v>
      </c>
      <c r="J192" s="15">
        <f t="shared" ref="J192" si="65">+I192+365+365</f>
        <v>45838</v>
      </c>
      <c r="K192" s="51">
        <v>1040</v>
      </c>
      <c r="L192" s="62" t="s">
        <v>1477</v>
      </c>
      <c r="M192" s="13">
        <f t="shared" si="61"/>
        <v>26000</v>
      </c>
      <c r="N192" s="13">
        <f t="shared" si="62"/>
        <v>26000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>
        <v>26000</v>
      </c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>
        <f t="shared" si="46"/>
        <v>0</v>
      </c>
      <c r="CK192" s="9"/>
    </row>
    <row r="193" spans="1:90" hidden="1" x14ac:dyDescent="0.25">
      <c r="A193" s="17">
        <v>5230831</v>
      </c>
      <c r="B193" s="17" t="s">
        <v>35</v>
      </c>
      <c r="C193" s="90">
        <v>523011001</v>
      </c>
      <c r="D193" s="51"/>
      <c r="E193" s="7">
        <v>0</v>
      </c>
      <c r="F193" s="90">
        <v>8378218</v>
      </c>
      <c r="G193" s="13">
        <v>240</v>
      </c>
      <c r="H193" s="46">
        <v>45238</v>
      </c>
      <c r="I193" s="15">
        <v>45196</v>
      </c>
      <c r="J193" s="15">
        <f>+I193+275</f>
        <v>45471</v>
      </c>
      <c r="K193" s="51">
        <v>80</v>
      </c>
      <c r="L193" s="94" t="s">
        <v>1488</v>
      </c>
      <c r="M193" s="13">
        <f t="shared" si="61"/>
        <v>19200</v>
      </c>
      <c r="N193" s="13">
        <f t="shared" si="62"/>
        <v>19200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>
        <v>19200</v>
      </c>
      <c r="CB193" s="13"/>
      <c r="CC193" s="13"/>
      <c r="CD193" s="13"/>
      <c r="CE193" s="13"/>
      <c r="CF193" s="13"/>
      <c r="CG193" s="13"/>
      <c r="CH193" s="13"/>
      <c r="CI193" s="13"/>
      <c r="CJ193" s="13">
        <f t="shared" si="46"/>
        <v>0</v>
      </c>
      <c r="CK193" s="9"/>
    </row>
    <row r="194" spans="1:90" hidden="1" x14ac:dyDescent="0.25">
      <c r="A194" s="17">
        <v>5230831</v>
      </c>
      <c r="B194" s="17" t="s">
        <v>35</v>
      </c>
      <c r="C194" s="90">
        <v>523011001</v>
      </c>
      <c r="D194" s="51"/>
      <c r="E194" s="7">
        <v>0</v>
      </c>
      <c r="F194" s="90">
        <v>8378218</v>
      </c>
      <c r="G194" s="13">
        <v>240</v>
      </c>
      <c r="H194" s="46">
        <v>45238</v>
      </c>
      <c r="I194" s="15">
        <v>45196</v>
      </c>
      <c r="J194" s="15">
        <f t="shared" ref="J194:J195" si="66">+I194+275</f>
        <v>45471</v>
      </c>
      <c r="K194" s="51">
        <v>80</v>
      </c>
      <c r="L194" s="94" t="s">
        <v>1488</v>
      </c>
      <c r="M194" s="13">
        <f t="shared" si="61"/>
        <v>19200</v>
      </c>
      <c r="N194" s="13">
        <f t="shared" si="62"/>
        <v>19200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>
        <v>16320</v>
      </c>
      <c r="CB194" s="13">
        <v>2880</v>
      </c>
      <c r="CC194" s="13"/>
      <c r="CD194" s="13"/>
      <c r="CE194" s="13"/>
      <c r="CF194" s="13"/>
      <c r="CG194" s="13"/>
      <c r="CH194" s="13"/>
      <c r="CI194" s="13"/>
      <c r="CJ194" s="13">
        <f t="shared" si="46"/>
        <v>0</v>
      </c>
      <c r="CK194" s="9"/>
    </row>
    <row r="195" spans="1:90" hidden="1" x14ac:dyDescent="0.25">
      <c r="A195" s="17">
        <v>5230831</v>
      </c>
      <c r="B195" s="17" t="s">
        <v>35</v>
      </c>
      <c r="C195" s="90">
        <v>523011001</v>
      </c>
      <c r="D195" s="51"/>
      <c r="E195" s="7">
        <v>0</v>
      </c>
      <c r="F195" s="90">
        <v>8378218</v>
      </c>
      <c r="G195" s="13">
        <v>240</v>
      </c>
      <c r="H195" s="46">
        <v>45238</v>
      </c>
      <c r="I195" s="15">
        <v>45196</v>
      </c>
      <c r="J195" s="15">
        <f t="shared" si="66"/>
        <v>45471</v>
      </c>
      <c r="K195" s="51">
        <v>80</v>
      </c>
      <c r="L195" s="14" t="s">
        <v>1488</v>
      </c>
      <c r="M195" s="13">
        <f t="shared" si="61"/>
        <v>19200</v>
      </c>
      <c r="N195" s="13">
        <f t="shared" si="62"/>
        <v>19200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>
        <v>1920</v>
      </c>
      <c r="CC195" s="13">
        <v>17280</v>
      </c>
      <c r="CD195" s="13"/>
      <c r="CE195" s="13"/>
      <c r="CF195" s="13"/>
      <c r="CG195" s="13"/>
      <c r="CH195" s="13"/>
      <c r="CI195" s="13"/>
      <c r="CJ195" s="13">
        <f t="shared" si="46"/>
        <v>0</v>
      </c>
      <c r="CK195" s="9"/>
    </row>
    <row r="196" spans="1:90" hidden="1" x14ac:dyDescent="0.25">
      <c r="A196" s="17">
        <v>5212252</v>
      </c>
      <c r="B196" s="17" t="s">
        <v>23</v>
      </c>
      <c r="C196" s="90" t="s">
        <v>1443</v>
      </c>
      <c r="D196" s="51"/>
      <c r="E196" s="7">
        <v>0</v>
      </c>
      <c r="F196" s="90">
        <v>8367062</v>
      </c>
      <c r="G196" s="13">
        <v>25</v>
      </c>
      <c r="H196" s="59">
        <v>45239</v>
      </c>
      <c r="I196" s="46">
        <v>45190</v>
      </c>
      <c r="J196" s="15">
        <v>45890</v>
      </c>
      <c r="K196" s="51">
        <v>488</v>
      </c>
      <c r="L196" s="90" t="s">
        <v>1443</v>
      </c>
      <c r="M196" s="13">
        <f t="shared" si="61"/>
        <v>12200</v>
      </c>
      <c r="N196" s="13">
        <f t="shared" si="62"/>
        <v>12200</v>
      </c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>
        <v>3775</v>
      </c>
      <c r="BM196" s="13">
        <v>8425</v>
      </c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>
        <f t="shared" si="46"/>
        <v>0</v>
      </c>
      <c r="CK196" s="9"/>
    </row>
    <row r="197" spans="1:90" hidden="1" x14ac:dyDescent="0.25">
      <c r="A197" s="17">
        <v>5212252</v>
      </c>
      <c r="B197" s="17" t="s">
        <v>23</v>
      </c>
      <c r="C197" s="90" t="s">
        <v>1490</v>
      </c>
      <c r="D197" s="51"/>
      <c r="E197" s="7">
        <v>0</v>
      </c>
      <c r="F197" s="90">
        <v>8367062</v>
      </c>
      <c r="G197" s="13">
        <v>25</v>
      </c>
      <c r="H197" s="59">
        <v>45239</v>
      </c>
      <c r="I197" s="46">
        <v>45190</v>
      </c>
      <c r="J197" s="15">
        <v>45890</v>
      </c>
      <c r="K197" s="51">
        <v>401</v>
      </c>
      <c r="L197" s="90" t="s">
        <v>1490</v>
      </c>
      <c r="M197" s="13">
        <f t="shared" si="61"/>
        <v>10025</v>
      </c>
      <c r="N197" s="13">
        <f t="shared" si="62"/>
        <v>10025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>
        <v>10025</v>
      </c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>
        <f t="shared" si="46"/>
        <v>0</v>
      </c>
      <c r="CK197" s="9"/>
    </row>
    <row r="198" spans="1:90" hidden="1" x14ac:dyDescent="0.25">
      <c r="A198" s="17">
        <v>5212252</v>
      </c>
      <c r="B198" s="17" t="s">
        <v>23</v>
      </c>
      <c r="C198" s="90" t="s">
        <v>1491</v>
      </c>
      <c r="D198" s="51"/>
      <c r="E198" s="7">
        <v>0</v>
      </c>
      <c r="F198" s="90">
        <v>8367062</v>
      </c>
      <c r="G198" s="13">
        <v>25</v>
      </c>
      <c r="H198" s="59">
        <v>45239</v>
      </c>
      <c r="I198" s="46">
        <v>45190</v>
      </c>
      <c r="J198" s="15">
        <v>45890</v>
      </c>
      <c r="K198" s="51">
        <v>151</v>
      </c>
      <c r="L198" s="90" t="s">
        <v>1491</v>
      </c>
      <c r="M198" s="13">
        <f t="shared" si="61"/>
        <v>3775</v>
      </c>
      <c r="N198" s="13">
        <f t="shared" si="62"/>
        <v>3775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>
        <v>3775</v>
      </c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>
        <f t="shared" si="46"/>
        <v>0</v>
      </c>
      <c r="CK198" s="9"/>
    </row>
    <row r="199" spans="1:90" hidden="1" x14ac:dyDescent="0.25">
      <c r="A199" s="17">
        <v>5212252</v>
      </c>
      <c r="B199" s="17" t="s">
        <v>23</v>
      </c>
      <c r="C199" s="90" t="s">
        <v>1490</v>
      </c>
      <c r="D199" s="51"/>
      <c r="E199" s="7">
        <v>0</v>
      </c>
      <c r="F199" s="90">
        <v>8367062</v>
      </c>
      <c r="G199" s="13">
        <v>25</v>
      </c>
      <c r="H199" s="59">
        <v>45239</v>
      </c>
      <c r="I199" s="46">
        <v>45190</v>
      </c>
      <c r="J199" s="15">
        <v>45890</v>
      </c>
      <c r="K199" s="51">
        <v>1040</v>
      </c>
      <c r="L199" s="90" t="s">
        <v>1490</v>
      </c>
      <c r="M199" s="13">
        <f t="shared" si="61"/>
        <v>26000</v>
      </c>
      <c r="N199" s="13">
        <f t="shared" si="62"/>
        <v>26000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>
        <v>22700</v>
      </c>
      <c r="BM199" s="13"/>
      <c r="BN199" s="13"/>
      <c r="BO199" s="13"/>
      <c r="BP199" s="13">
        <v>3300</v>
      </c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>
        <f t="shared" ref="CJ199:CJ262" si="67">N199-O199-P199-Q199-R199-S199-T199-U199-V199-W199-X199-Y199-Z199-AA199-AB199-AC199-AD199-AE199-AF199-AG199-AH199-AI199-AJ199-AK199-AL199-AM199-AN199-AO199-AP199-AQ199-AR199-AS199-AT199-AU199-AV199-AW199-AX199-AY199-AZ199-BA199-BB199-BC199-BD199-BE199-BF199-BG199-BH199-BI199-BJ199-BK199-BL199-BM199-BN199-BO199-BP199-BQ199-BR199-BS199-BT199-BU199-BV199-BW199-BX199-BY199-BZ199-CA199-CB199-CC199-CD199-CE199-CF199-CG199-CH199-CI199</f>
        <v>0</v>
      </c>
      <c r="CK199" s="9"/>
    </row>
    <row r="200" spans="1:90" hidden="1" x14ac:dyDescent="0.25">
      <c r="A200" s="17">
        <v>5205449</v>
      </c>
      <c r="B200" s="17" t="s">
        <v>39</v>
      </c>
      <c r="C200" s="90">
        <v>1230455862</v>
      </c>
      <c r="D200" s="51"/>
      <c r="E200" s="7">
        <v>0</v>
      </c>
      <c r="F200" s="90">
        <v>8381635</v>
      </c>
      <c r="G200" s="13">
        <v>25</v>
      </c>
      <c r="H200" s="59">
        <v>45239</v>
      </c>
      <c r="I200" s="46">
        <v>45191</v>
      </c>
      <c r="J200" s="15">
        <v>45890</v>
      </c>
      <c r="K200" s="51">
        <v>1080</v>
      </c>
      <c r="L200" s="90">
        <v>1230455862</v>
      </c>
      <c r="M200" s="13">
        <f t="shared" si="61"/>
        <v>27000</v>
      </c>
      <c r="N200" s="13">
        <f t="shared" si="62"/>
        <v>27000</v>
      </c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>
        <v>6375</v>
      </c>
      <c r="CB200" s="13">
        <v>20625</v>
      </c>
      <c r="CC200" s="13"/>
      <c r="CD200" s="13"/>
      <c r="CE200" s="13"/>
      <c r="CF200" s="13"/>
      <c r="CG200" s="13"/>
      <c r="CH200" s="13"/>
      <c r="CI200" s="13"/>
      <c r="CJ200" s="13">
        <f t="shared" si="67"/>
        <v>0</v>
      </c>
      <c r="CK200" s="9"/>
    </row>
    <row r="201" spans="1:90" hidden="1" x14ac:dyDescent="0.25">
      <c r="A201" s="17">
        <v>5306988</v>
      </c>
      <c r="B201" s="17" t="s">
        <v>55</v>
      </c>
      <c r="C201" s="90">
        <v>423902301</v>
      </c>
      <c r="D201" s="51"/>
      <c r="E201" s="7">
        <v>0</v>
      </c>
      <c r="F201" s="90">
        <v>8374281</v>
      </c>
      <c r="G201" s="13">
        <v>200</v>
      </c>
      <c r="H201" s="59">
        <v>45239</v>
      </c>
      <c r="I201" s="15">
        <v>45187</v>
      </c>
      <c r="J201" s="15">
        <v>45553</v>
      </c>
      <c r="K201" s="51">
        <v>50</v>
      </c>
      <c r="L201" s="92" t="s">
        <v>1502</v>
      </c>
      <c r="M201" s="13">
        <f t="shared" si="61"/>
        <v>10000</v>
      </c>
      <c r="N201" s="13">
        <f t="shared" si="62"/>
        <v>10000</v>
      </c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>
        <f t="shared" si="67"/>
        <v>10000</v>
      </c>
      <c r="CK201" s="9"/>
    </row>
    <row r="202" spans="1:90" hidden="1" x14ac:dyDescent="0.25">
      <c r="A202" s="17">
        <v>5306988</v>
      </c>
      <c r="B202" s="17" t="s">
        <v>55</v>
      </c>
      <c r="C202" s="50">
        <v>423902201</v>
      </c>
      <c r="D202" s="51"/>
      <c r="E202" s="7">
        <v>0</v>
      </c>
      <c r="F202" s="90">
        <v>8374281</v>
      </c>
      <c r="G202" s="13">
        <v>200</v>
      </c>
      <c r="H202" s="59">
        <v>45239</v>
      </c>
      <c r="I202" s="15">
        <v>45187</v>
      </c>
      <c r="J202" s="15">
        <v>45553</v>
      </c>
      <c r="K202" s="51">
        <v>30</v>
      </c>
      <c r="L202" s="96" t="s">
        <v>1503</v>
      </c>
      <c r="M202" s="13">
        <f t="shared" si="61"/>
        <v>6000</v>
      </c>
      <c r="N202" s="13">
        <f t="shared" si="62"/>
        <v>6000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>
        <f t="shared" si="67"/>
        <v>6000</v>
      </c>
      <c r="CK202" s="9"/>
    </row>
    <row r="203" spans="1:90" hidden="1" x14ac:dyDescent="0.25">
      <c r="A203" s="17">
        <v>5306988</v>
      </c>
      <c r="B203" s="17" t="s">
        <v>55</v>
      </c>
      <c r="C203" s="90">
        <v>423902201</v>
      </c>
      <c r="D203" s="51"/>
      <c r="E203" s="7">
        <v>0</v>
      </c>
      <c r="F203" s="90">
        <v>8374281</v>
      </c>
      <c r="G203" s="13">
        <v>200</v>
      </c>
      <c r="H203" s="59">
        <v>45239</v>
      </c>
      <c r="I203" s="15">
        <v>45187</v>
      </c>
      <c r="J203" s="15">
        <v>45553</v>
      </c>
      <c r="K203" s="51">
        <v>10</v>
      </c>
      <c r="L203" s="92" t="s">
        <v>1503</v>
      </c>
      <c r="M203" s="13">
        <f t="shared" si="61"/>
        <v>2000</v>
      </c>
      <c r="N203" s="13">
        <f t="shared" si="62"/>
        <v>2000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>
        <f t="shared" si="67"/>
        <v>2000</v>
      </c>
      <c r="CK203" s="9"/>
    </row>
    <row r="204" spans="1:90" hidden="1" x14ac:dyDescent="0.25">
      <c r="A204" s="17">
        <v>5306988</v>
      </c>
      <c r="B204" s="17" t="s">
        <v>55</v>
      </c>
      <c r="C204" s="90">
        <v>423902501</v>
      </c>
      <c r="D204" s="51"/>
      <c r="E204" s="7">
        <v>0</v>
      </c>
      <c r="F204" s="90">
        <v>8374281</v>
      </c>
      <c r="G204" s="13">
        <v>200</v>
      </c>
      <c r="H204" s="59">
        <v>45239</v>
      </c>
      <c r="I204" s="15">
        <v>45187</v>
      </c>
      <c r="J204" s="15">
        <v>45553</v>
      </c>
      <c r="K204" s="51">
        <v>20</v>
      </c>
      <c r="L204" s="92" t="s">
        <v>1504</v>
      </c>
      <c r="M204" s="13">
        <f t="shared" si="61"/>
        <v>4000</v>
      </c>
      <c r="N204" s="13">
        <f t="shared" si="62"/>
        <v>4000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>
        <f t="shared" si="67"/>
        <v>4000</v>
      </c>
      <c r="CK204" s="9"/>
    </row>
    <row r="205" spans="1:90" hidden="1" x14ac:dyDescent="0.25">
      <c r="A205" s="17">
        <v>5306988</v>
      </c>
      <c r="B205" s="17" t="s">
        <v>55</v>
      </c>
      <c r="C205" s="90">
        <v>423902401</v>
      </c>
      <c r="D205" s="51"/>
      <c r="E205" s="7">
        <v>0</v>
      </c>
      <c r="F205" s="90">
        <v>8374281</v>
      </c>
      <c r="G205" s="13">
        <v>200</v>
      </c>
      <c r="H205" s="59">
        <v>45239</v>
      </c>
      <c r="I205" s="15">
        <v>45187</v>
      </c>
      <c r="J205" s="15">
        <v>45553</v>
      </c>
      <c r="K205" s="51">
        <v>50</v>
      </c>
      <c r="L205" s="92" t="s">
        <v>1505</v>
      </c>
      <c r="M205" s="13">
        <f t="shared" si="61"/>
        <v>10000</v>
      </c>
      <c r="N205" s="13">
        <f t="shared" si="62"/>
        <v>10000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>
        <f t="shared" si="67"/>
        <v>10000</v>
      </c>
      <c r="CK205" s="9"/>
    </row>
    <row r="206" spans="1:90" hidden="1" x14ac:dyDescent="0.25">
      <c r="A206" s="17">
        <v>5205449</v>
      </c>
      <c r="B206" s="17" t="s">
        <v>39</v>
      </c>
      <c r="C206" s="90">
        <v>1230455862</v>
      </c>
      <c r="D206" s="51"/>
      <c r="E206" s="7">
        <v>0</v>
      </c>
      <c r="F206" s="90">
        <v>8381635</v>
      </c>
      <c r="G206" s="13">
        <v>25</v>
      </c>
      <c r="H206" s="59">
        <v>45239</v>
      </c>
      <c r="I206" s="15">
        <v>45191</v>
      </c>
      <c r="J206" s="15">
        <v>45891</v>
      </c>
      <c r="K206" s="51">
        <v>1080</v>
      </c>
      <c r="L206" s="90">
        <v>1230455862</v>
      </c>
      <c r="M206" s="13">
        <f t="shared" si="61"/>
        <v>27000</v>
      </c>
      <c r="N206" s="13">
        <f t="shared" si="62"/>
        <v>27000</v>
      </c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>
        <v>10000</v>
      </c>
      <c r="BU206" s="13"/>
      <c r="BV206" s="13"/>
      <c r="BW206" s="13"/>
      <c r="BX206" s="13"/>
      <c r="BY206" s="13"/>
      <c r="BZ206" s="13"/>
      <c r="CA206" s="13"/>
      <c r="CB206" s="13">
        <v>14375</v>
      </c>
      <c r="CC206" s="13"/>
      <c r="CD206" s="13"/>
      <c r="CE206" s="13"/>
      <c r="CF206" s="13"/>
      <c r="CG206" s="13">
        <v>2625</v>
      </c>
      <c r="CH206" s="13"/>
      <c r="CI206" s="13"/>
      <c r="CJ206" s="13">
        <f t="shared" si="67"/>
        <v>0</v>
      </c>
      <c r="CK206" s="9"/>
      <c r="CL206">
        <f>21650/25</f>
        <v>866</v>
      </c>
    </row>
    <row r="207" spans="1:90" hidden="1" x14ac:dyDescent="0.25">
      <c r="A207" s="17">
        <v>5230874</v>
      </c>
      <c r="B207" s="17" t="s">
        <v>1316</v>
      </c>
      <c r="C207" s="80" t="s">
        <v>1509</v>
      </c>
      <c r="D207" s="13"/>
      <c r="E207" s="7">
        <v>0</v>
      </c>
      <c r="F207" s="80">
        <v>8516509</v>
      </c>
      <c r="G207" s="13">
        <v>250</v>
      </c>
      <c r="H207" s="15">
        <v>45240</v>
      </c>
      <c r="I207" s="15">
        <v>45185</v>
      </c>
      <c r="J207" s="15">
        <v>45551</v>
      </c>
      <c r="K207" s="13">
        <v>80</v>
      </c>
      <c r="L207" s="93" t="s">
        <v>1512</v>
      </c>
      <c r="M207" s="13">
        <f t="shared" si="61"/>
        <v>20000</v>
      </c>
      <c r="N207" s="13">
        <f t="shared" si="62"/>
        <v>20000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>
        <f>8000-CD209-CD211</f>
        <v>3250</v>
      </c>
      <c r="CE207" s="13"/>
      <c r="CF207" s="13"/>
      <c r="CG207" s="13">
        <v>8000</v>
      </c>
      <c r="CH207" s="13"/>
      <c r="CI207" s="13"/>
      <c r="CJ207" s="13">
        <f t="shared" si="67"/>
        <v>8750</v>
      </c>
      <c r="CK207" s="9"/>
    </row>
    <row r="208" spans="1:90" hidden="1" x14ac:dyDescent="0.25">
      <c r="A208" s="17">
        <v>5230874</v>
      </c>
      <c r="B208" s="17" t="s">
        <v>1316</v>
      </c>
      <c r="C208" s="80" t="s">
        <v>1509</v>
      </c>
      <c r="D208" s="13"/>
      <c r="E208" s="7">
        <v>0</v>
      </c>
      <c r="F208" s="80">
        <v>8516509</v>
      </c>
      <c r="G208" s="13">
        <v>250</v>
      </c>
      <c r="H208" s="15">
        <v>45240</v>
      </c>
      <c r="I208" s="15">
        <v>45185</v>
      </c>
      <c r="J208" s="15">
        <v>45551</v>
      </c>
      <c r="K208" s="13">
        <v>78</v>
      </c>
      <c r="L208" s="93" t="s">
        <v>1295</v>
      </c>
      <c r="M208" s="13">
        <f t="shared" si="61"/>
        <v>19500</v>
      </c>
      <c r="N208" s="13">
        <f t="shared" si="62"/>
        <v>19500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>
        <v>8000</v>
      </c>
      <c r="BW208" s="13"/>
      <c r="BX208" s="13"/>
      <c r="BY208" s="13"/>
      <c r="BZ208" s="13">
        <v>8000</v>
      </c>
      <c r="CA208" s="13"/>
      <c r="CB208" s="13"/>
      <c r="CC208" s="13"/>
      <c r="CD208" s="13"/>
      <c r="CE208" s="13"/>
      <c r="CF208" s="13"/>
      <c r="CG208" s="13"/>
      <c r="CH208" s="13"/>
      <c r="CI208" s="13"/>
      <c r="CJ208" s="13">
        <f t="shared" si="67"/>
        <v>3500</v>
      </c>
      <c r="CK208" s="9"/>
    </row>
    <row r="209" spans="1:89" hidden="1" x14ac:dyDescent="0.25">
      <c r="A209" s="17">
        <v>5230874</v>
      </c>
      <c r="B209" s="17" t="s">
        <v>1316</v>
      </c>
      <c r="C209" s="80" t="s">
        <v>1509</v>
      </c>
      <c r="D209" s="13"/>
      <c r="E209" s="7">
        <v>0</v>
      </c>
      <c r="F209" s="80">
        <v>8516509</v>
      </c>
      <c r="G209" s="13">
        <v>250</v>
      </c>
      <c r="H209" s="15">
        <v>45240</v>
      </c>
      <c r="I209" s="15">
        <v>45185</v>
      </c>
      <c r="J209" s="15">
        <v>45551</v>
      </c>
      <c r="K209" s="13">
        <v>2</v>
      </c>
      <c r="L209" s="93" t="s">
        <v>1512</v>
      </c>
      <c r="M209" s="13">
        <f t="shared" si="61"/>
        <v>500</v>
      </c>
      <c r="N209" s="13">
        <f t="shared" si="62"/>
        <v>500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>
        <v>500</v>
      </c>
      <c r="CE209" s="13"/>
      <c r="CF209" s="13"/>
      <c r="CG209" s="13"/>
      <c r="CH209" s="13"/>
      <c r="CI209" s="13"/>
      <c r="CJ209" s="13">
        <f t="shared" si="67"/>
        <v>0</v>
      </c>
      <c r="CK209" s="9"/>
    </row>
    <row r="210" spans="1:89" hidden="1" x14ac:dyDescent="0.25">
      <c r="A210" s="17">
        <v>5230874</v>
      </c>
      <c r="B210" s="17" t="s">
        <v>1316</v>
      </c>
      <c r="C210" s="80" t="s">
        <v>1510</v>
      </c>
      <c r="D210" s="13"/>
      <c r="E210" s="7">
        <v>0</v>
      </c>
      <c r="F210" s="80">
        <v>8516527</v>
      </c>
      <c r="G210" s="13">
        <v>250</v>
      </c>
      <c r="H210" s="15">
        <v>45240</v>
      </c>
      <c r="I210" s="15">
        <v>45197</v>
      </c>
      <c r="J210" s="15">
        <v>45563</v>
      </c>
      <c r="K210" s="13">
        <v>20</v>
      </c>
      <c r="L210" s="93" t="s">
        <v>1513</v>
      </c>
      <c r="M210" s="13">
        <f t="shared" si="61"/>
        <v>5000</v>
      </c>
      <c r="N210" s="13">
        <f t="shared" si="62"/>
        <v>5000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>
        <f t="shared" si="67"/>
        <v>5000</v>
      </c>
      <c r="CK210" s="9"/>
    </row>
    <row r="211" spans="1:89" hidden="1" x14ac:dyDescent="0.25">
      <c r="A211" s="17">
        <v>5230874</v>
      </c>
      <c r="B211" s="17" t="s">
        <v>1316</v>
      </c>
      <c r="C211" s="80" t="s">
        <v>1510</v>
      </c>
      <c r="D211" s="13"/>
      <c r="E211" s="7">
        <v>0</v>
      </c>
      <c r="F211" s="80">
        <v>8516527</v>
      </c>
      <c r="G211" s="13">
        <v>250</v>
      </c>
      <c r="H211" s="15">
        <v>45240</v>
      </c>
      <c r="I211" s="15">
        <v>45197</v>
      </c>
      <c r="J211" s="15">
        <v>45563</v>
      </c>
      <c r="K211" s="13">
        <v>17</v>
      </c>
      <c r="L211" s="93" t="s">
        <v>1512</v>
      </c>
      <c r="M211" s="13">
        <f t="shared" si="61"/>
        <v>4250</v>
      </c>
      <c r="N211" s="13">
        <f t="shared" si="62"/>
        <v>4250</v>
      </c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>
        <v>4250</v>
      </c>
      <c r="CE211" s="13"/>
      <c r="CF211" s="13"/>
      <c r="CG211" s="13"/>
      <c r="CH211" s="13"/>
      <c r="CI211" s="13"/>
      <c r="CJ211" s="13">
        <f t="shared" si="67"/>
        <v>0</v>
      </c>
      <c r="CK211" s="9"/>
    </row>
    <row r="212" spans="1:89" hidden="1" x14ac:dyDescent="0.25">
      <c r="A212" s="17">
        <v>5230874</v>
      </c>
      <c r="B212" s="17" t="s">
        <v>1316</v>
      </c>
      <c r="C212" s="80" t="s">
        <v>1510</v>
      </c>
      <c r="D212" s="13"/>
      <c r="E212" s="7">
        <v>0</v>
      </c>
      <c r="F212" s="80">
        <v>8516527</v>
      </c>
      <c r="G212" s="13">
        <v>250</v>
      </c>
      <c r="H212" s="15">
        <v>45240</v>
      </c>
      <c r="I212" s="15">
        <v>45197</v>
      </c>
      <c r="J212" s="15">
        <v>45563</v>
      </c>
      <c r="K212" s="13">
        <v>43</v>
      </c>
      <c r="L212" s="93" t="s">
        <v>1514</v>
      </c>
      <c r="M212" s="13">
        <f t="shared" si="61"/>
        <v>10750</v>
      </c>
      <c r="N212" s="13">
        <f t="shared" si="62"/>
        <v>10750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>
        <f t="shared" si="67"/>
        <v>10750</v>
      </c>
      <c r="CK212" s="9"/>
    </row>
    <row r="213" spans="1:89" hidden="1" x14ac:dyDescent="0.25">
      <c r="A213" s="17">
        <v>5230874</v>
      </c>
      <c r="B213" s="17" t="s">
        <v>1316</v>
      </c>
      <c r="C213" s="80" t="s">
        <v>1510</v>
      </c>
      <c r="D213" s="13"/>
      <c r="E213" s="7">
        <v>0</v>
      </c>
      <c r="F213" s="80">
        <v>8516527</v>
      </c>
      <c r="G213" s="13">
        <v>250</v>
      </c>
      <c r="H213" s="15">
        <v>45240</v>
      </c>
      <c r="I213" s="15">
        <v>45197</v>
      </c>
      <c r="J213" s="15">
        <v>45563</v>
      </c>
      <c r="K213" s="13">
        <v>80</v>
      </c>
      <c r="L213" s="93" t="s">
        <v>1513</v>
      </c>
      <c r="M213" s="13">
        <f t="shared" si="61"/>
        <v>20000</v>
      </c>
      <c r="N213" s="13">
        <f t="shared" si="62"/>
        <v>20000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>
        <v>10000</v>
      </c>
      <c r="CI213" s="13"/>
      <c r="CJ213" s="13">
        <f t="shared" si="67"/>
        <v>10000</v>
      </c>
      <c r="CK213" s="9"/>
    </row>
    <row r="214" spans="1:89" hidden="1" x14ac:dyDescent="0.25">
      <c r="A214" s="67" t="s">
        <v>30</v>
      </c>
      <c r="B214" s="67" t="s">
        <v>1519</v>
      </c>
      <c r="C214" s="80" t="s">
        <v>1515</v>
      </c>
      <c r="D214" s="13"/>
      <c r="E214" s="7">
        <v>0</v>
      </c>
      <c r="F214" s="80">
        <v>8588158</v>
      </c>
      <c r="G214" s="13">
        <v>25</v>
      </c>
      <c r="H214" s="15">
        <v>45243</v>
      </c>
      <c r="I214" s="15">
        <v>45231</v>
      </c>
      <c r="J214" s="15">
        <v>45962</v>
      </c>
      <c r="K214" s="13">
        <v>240</v>
      </c>
      <c r="L214" s="50" t="s">
        <v>1516</v>
      </c>
      <c r="M214" s="13">
        <f t="shared" si="61"/>
        <v>6000</v>
      </c>
      <c r="N214" s="13">
        <f t="shared" si="62"/>
        <v>6000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>
        <v>3000</v>
      </c>
      <c r="BM214" s="13">
        <v>3000</v>
      </c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>
        <f t="shared" si="67"/>
        <v>0</v>
      </c>
      <c r="CK214" s="9"/>
    </row>
    <row r="215" spans="1:89" hidden="1" x14ac:dyDescent="0.25">
      <c r="A215" s="17">
        <v>5212252</v>
      </c>
      <c r="B215" s="17" t="s">
        <v>23</v>
      </c>
      <c r="C215" s="80" t="s">
        <v>1515</v>
      </c>
      <c r="D215" s="13"/>
      <c r="E215" s="7">
        <v>0</v>
      </c>
      <c r="F215" s="80">
        <v>8588158</v>
      </c>
      <c r="G215" s="13">
        <v>25</v>
      </c>
      <c r="H215" s="15">
        <v>45243</v>
      </c>
      <c r="I215" s="15">
        <v>45231</v>
      </c>
      <c r="J215" s="15">
        <v>45962</v>
      </c>
      <c r="K215" s="13">
        <v>711</v>
      </c>
      <c r="L215" s="50" t="s">
        <v>1517</v>
      </c>
      <c r="M215" s="13">
        <f t="shared" si="61"/>
        <v>17775</v>
      </c>
      <c r="N215" s="13">
        <f t="shared" si="62"/>
        <v>17775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>
        <v>7000</v>
      </c>
      <c r="CA215" s="13"/>
      <c r="CB215" s="13"/>
      <c r="CC215" s="13"/>
      <c r="CD215" s="13"/>
      <c r="CE215" s="13"/>
      <c r="CF215" s="13"/>
      <c r="CG215" s="13"/>
      <c r="CH215" s="13"/>
      <c r="CI215" s="13"/>
      <c r="CJ215" s="13">
        <f t="shared" si="67"/>
        <v>10775</v>
      </c>
      <c r="CK215" s="9"/>
    </row>
    <row r="216" spans="1:89" hidden="1" x14ac:dyDescent="0.25">
      <c r="A216" s="17">
        <v>5212252</v>
      </c>
      <c r="B216" s="17" t="s">
        <v>23</v>
      </c>
      <c r="C216" s="80" t="s">
        <v>1515</v>
      </c>
      <c r="D216" s="13"/>
      <c r="E216" s="7">
        <v>0</v>
      </c>
      <c r="F216" s="80">
        <v>8588158</v>
      </c>
      <c r="G216" s="13">
        <v>25</v>
      </c>
      <c r="H216" s="15">
        <v>45243</v>
      </c>
      <c r="I216" s="15">
        <v>45231</v>
      </c>
      <c r="J216" s="15">
        <v>45962</v>
      </c>
      <c r="K216" s="13">
        <v>89</v>
      </c>
      <c r="L216" s="50" t="s">
        <v>1518</v>
      </c>
      <c r="M216" s="13">
        <f t="shared" si="61"/>
        <v>2225</v>
      </c>
      <c r="N216" s="13">
        <f t="shared" si="62"/>
        <v>2225</v>
      </c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>
        <v>2225</v>
      </c>
      <c r="CE216" s="13"/>
      <c r="CF216" s="13"/>
      <c r="CG216" s="13"/>
      <c r="CH216" s="13"/>
      <c r="CI216" s="13"/>
      <c r="CJ216" s="13">
        <f t="shared" si="67"/>
        <v>0</v>
      </c>
      <c r="CK216" s="9"/>
    </row>
    <row r="217" spans="1:89" hidden="1" x14ac:dyDescent="0.25">
      <c r="A217" s="17">
        <v>5212252</v>
      </c>
      <c r="B217" s="17" t="s">
        <v>23</v>
      </c>
      <c r="C217" s="80" t="s">
        <v>1520</v>
      </c>
      <c r="D217" s="13"/>
      <c r="E217" s="7">
        <v>0</v>
      </c>
      <c r="F217" s="80">
        <v>8590364</v>
      </c>
      <c r="G217" s="13">
        <v>25</v>
      </c>
      <c r="H217" s="15">
        <v>45243</v>
      </c>
      <c r="I217" s="15">
        <v>45231</v>
      </c>
      <c r="J217" s="15">
        <v>45962</v>
      </c>
      <c r="K217" s="13">
        <v>733</v>
      </c>
      <c r="L217" s="90" t="s">
        <v>1521</v>
      </c>
      <c r="M217" s="13">
        <f t="shared" si="61"/>
        <v>18325</v>
      </c>
      <c r="N217" s="13">
        <f t="shared" si="62"/>
        <v>18325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>
        <v>17750</v>
      </c>
      <c r="BQ217" s="13"/>
      <c r="BR217" s="13"/>
      <c r="BS217" s="13"/>
      <c r="BT217" s="13">
        <v>575</v>
      </c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>
        <f t="shared" si="67"/>
        <v>0</v>
      </c>
      <c r="CK217" s="9"/>
    </row>
    <row r="218" spans="1:89" hidden="1" x14ac:dyDescent="0.25">
      <c r="A218" s="17">
        <v>5212252</v>
      </c>
      <c r="B218" s="17" t="s">
        <v>23</v>
      </c>
      <c r="C218" s="80" t="s">
        <v>1520</v>
      </c>
      <c r="D218" s="13"/>
      <c r="E218" s="7">
        <v>0</v>
      </c>
      <c r="F218" s="80">
        <v>8590364</v>
      </c>
      <c r="G218" s="13">
        <v>25</v>
      </c>
      <c r="H218" s="15">
        <v>45243</v>
      </c>
      <c r="I218" s="15">
        <v>45231</v>
      </c>
      <c r="J218" s="15">
        <v>45962</v>
      </c>
      <c r="K218" s="13">
        <v>268</v>
      </c>
      <c r="L218" s="90" t="s">
        <v>1491</v>
      </c>
      <c r="M218" s="13">
        <f t="shared" si="61"/>
        <v>6700</v>
      </c>
      <c r="N218" s="13">
        <f t="shared" si="62"/>
        <v>6700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>
        <f t="shared" si="67"/>
        <v>6700</v>
      </c>
      <c r="CK218" s="9"/>
    </row>
    <row r="219" spans="1:89" hidden="1" x14ac:dyDescent="0.25">
      <c r="A219" s="17">
        <v>5212252</v>
      </c>
      <c r="B219" s="17" t="s">
        <v>23</v>
      </c>
      <c r="C219" s="80" t="s">
        <v>1520</v>
      </c>
      <c r="D219" s="13"/>
      <c r="E219" s="7">
        <v>0</v>
      </c>
      <c r="F219" s="80">
        <v>8590364</v>
      </c>
      <c r="G219" s="13">
        <v>25</v>
      </c>
      <c r="H219" s="15">
        <v>45243</v>
      </c>
      <c r="I219" s="15">
        <v>45231</v>
      </c>
      <c r="J219" s="15">
        <v>45962</v>
      </c>
      <c r="K219" s="13">
        <v>39</v>
      </c>
      <c r="L219" s="90" t="s">
        <v>844</v>
      </c>
      <c r="M219" s="13">
        <f t="shared" si="61"/>
        <v>975</v>
      </c>
      <c r="N219" s="13">
        <f t="shared" si="62"/>
        <v>975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>
        <f t="shared" si="67"/>
        <v>975</v>
      </c>
      <c r="CK219" s="9"/>
    </row>
    <row r="220" spans="1:89" hidden="1" x14ac:dyDescent="0.25">
      <c r="A220" s="17">
        <v>5212252</v>
      </c>
      <c r="B220" s="17" t="s">
        <v>23</v>
      </c>
      <c r="C220" s="80" t="s">
        <v>1520</v>
      </c>
      <c r="D220" s="13"/>
      <c r="E220" s="7">
        <v>0</v>
      </c>
      <c r="F220" s="80">
        <v>8590364</v>
      </c>
      <c r="G220" s="13">
        <v>25</v>
      </c>
      <c r="H220" s="15">
        <v>45243</v>
      </c>
      <c r="I220" s="15">
        <v>45231</v>
      </c>
      <c r="J220" s="15">
        <v>45962</v>
      </c>
      <c r="K220" s="13">
        <v>1040</v>
      </c>
      <c r="L220" s="90" t="s">
        <v>1491</v>
      </c>
      <c r="M220" s="13">
        <f t="shared" si="61"/>
        <v>26000</v>
      </c>
      <c r="N220" s="13">
        <f t="shared" si="62"/>
        <v>26000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>
        <f t="shared" si="67"/>
        <v>26000</v>
      </c>
      <c r="CK220" s="9"/>
    </row>
    <row r="221" spans="1:89" hidden="1" x14ac:dyDescent="0.25">
      <c r="A221" s="17">
        <v>5212252</v>
      </c>
      <c r="B221" s="17" t="s">
        <v>23</v>
      </c>
      <c r="C221" s="80" t="s">
        <v>1531</v>
      </c>
      <c r="D221" s="13"/>
      <c r="E221" s="7">
        <v>0</v>
      </c>
      <c r="F221" s="80">
        <v>8572068</v>
      </c>
      <c r="G221" s="13">
        <v>25</v>
      </c>
      <c r="H221" s="15">
        <v>45247</v>
      </c>
      <c r="I221" s="15">
        <v>45201</v>
      </c>
      <c r="J221" s="15">
        <f t="shared" ref="J221:J222" si="68">+I221+365+365</f>
        <v>45931</v>
      </c>
      <c r="K221" s="13">
        <v>1040</v>
      </c>
      <c r="L221" s="80" t="s">
        <v>1534</v>
      </c>
      <c r="M221" s="13">
        <f t="shared" si="61"/>
        <v>26000</v>
      </c>
      <c r="N221" s="13">
        <f t="shared" si="62"/>
        <v>26000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>
        <v>3125</v>
      </c>
      <c r="BQ221" s="13"/>
      <c r="BR221" s="13"/>
      <c r="BS221" s="13"/>
      <c r="BT221" s="13">
        <v>22175</v>
      </c>
      <c r="BU221" s="13">
        <v>700</v>
      </c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>
        <f t="shared" si="67"/>
        <v>0</v>
      </c>
      <c r="CK221" s="9"/>
    </row>
    <row r="222" spans="1:89" hidden="1" x14ac:dyDescent="0.25">
      <c r="A222" s="17">
        <v>5212252</v>
      </c>
      <c r="B222" s="17" t="s">
        <v>23</v>
      </c>
      <c r="C222" s="80" t="s">
        <v>1532</v>
      </c>
      <c r="D222" s="13"/>
      <c r="E222" s="7">
        <v>0</v>
      </c>
      <c r="F222" s="80">
        <v>8477407</v>
      </c>
      <c r="G222" s="13">
        <v>25</v>
      </c>
      <c r="H222" s="15">
        <v>45247</v>
      </c>
      <c r="I222" s="15">
        <v>45205</v>
      </c>
      <c r="J222" s="15">
        <f t="shared" si="68"/>
        <v>45935</v>
      </c>
      <c r="K222" s="13">
        <v>554</v>
      </c>
      <c r="L222" s="80" t="s">
        <v>1517</v>
      </c>
      <c r="M222" s="13">
        <f t="shared" si="61"/>
        <v>13850</v>
      </c>
      <c r="N222" s="13">
        <f t="shared" si="62"/>
        <v>13850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>
        <v>11000</v>
      </c>
      <c r="CA222" s="13"/>
      <c r="CB222" s="13"/>
      <c r="CC222" s="13"/>
      <c r="CD222" s="13"/>
      <c r="CE222" s="13"/>
      <c r="CF222" s="13"/>
      <c r="CG222" s="13"/>
      <c r="CH222" s="13"/>
      <c r="CI222" s="13"/>
      <c r="CJ222" s="13">
        <f t="shared" si="67"/>
        <v>2850</v>
      </c>
      <c r="CK222" s="9"/>
    </row>
    <row r="223" spans="1:89" hidden="1" x14ac:dyDescent="0.25">
      <c r="A223" s="17">
        <v>5212252</v>
      </c>
      <c r="B223" s="17" t="s">
        <v>23</v>
      </c>
      <c r="C223" s="80" t="s">
        <v>1532</v>
      </c>
      <c r="D223" s="13"/>
      <c r="E223" s="7">
        <v>0</v>
      </c>
      <c r="F223" s="80">
        <v>8477407</v>
      </c>
      <c r="G223" s="13">
        <v>25</v>
      </c>
      <c r="H223" s="15">
        <v>45247</v>
      </c>
      <c r="I223" s="15">
        <v>45204</v>
      </c>
      <c r="J223" s="15">
        <f t="shared" ref="J223:J224" si="69">+I223+365+365</f>
        <v>45934</v>
      </c>
      <c r="K223" s="13">
        <v>404</v>
      </c>
      <c r="L223" s="80" t="s">
        <v>1533</v>
      </c>
      <c r="M223" s="13">
        <f t="shared" si="61"/>
        <v>10100</v>
      </c>
      <c r="N223" s="13">
        <f t="shared" si="62"/>
        <v>10100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>
        <v>10100</v>
      </c>
      <c r="CE223" s="13"/>
      <c r="CF223" s="13"/>
      <c r="CG223" s="13"/>
      <c r="CH223" s="13"/>
      <c r="CI223" s="13"/>
      <c r="CJ223" s="13">
        <f t="shared" si="67"/>
        <v>0</v>
      </c>
      <c r="CK223" s="9"/>
    </row>
    <row r="224" spans="1:89" hidden="1" x14ac:dyDescent="0.25">
      <c r="A224" s="17">
        <v>5212252</v>
      </c>
      <c r="B224" s="17" t="s">
        <v>23</v>
      </c>
      <c r="C224" s="80" t="s">
        <v>1532</v>
      </c>
      <c r="D224" s="13"/>
      <c r="E224" s="7">
        <v>0</v>
      </c>
      <c r="F224" s="80">
        <v>8477407</v>
      </c>
      <c r="G224" s="13">
        <v>25</v>
      </c>
      <c r="H224" s="15">
        <v>45247</v>
      </c>
      <c r="I224" s="15">
        <v>45201</v>
      </c>
      <c r="J224" s="15">
        <f t="shared" si="69"/>
        <v>45931</v>
      </c>
      <c r="K224" s="13">
        <v>82</v>
      </c>
      <c r="L224" s="80" t="s">
        <v>1534</v>
      </c>
      <c r="M224" s="13">
        <f t="shared" si="61"/>
        <v>2050</v>
      </c>
      <c r="N224" s="13">
        <f t="shared" si="62"/>
        <v>2050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>
        <v>2050</v>
      </c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>
        <f t="shared" si="67"/>
        <v>0</v>
      </c>
      <c r="CK224" s="9"/>
    </row>
    <row r="225" spans="1:89" hidden="1" x14ac:dyDescent="0.25">
      <c r="A225" s="17">
        <v>5309040</v>
      </c>
      <c r="B225" s="17" t="s">
        <v>105</v>
      </c>
      <c r="C225" s="101">
        <v>91524839</v>
      </c>
      <c r="D225" s="13"/>
      <c r="E225" s="7">
        <v>0</v>
      </c>
      <c r="F225" s="80">
        <v>8648192</v>
      </c>
      <c r="G225" s="13">
        <v>250</v>
      </c>
      <c r="H225" s="15">
        <v>45247</v>
      </c>
      <c r="I225" s="15">
        <v>45190</v>
      </c>
      <c r="J225" s="15">
        <v>45555</v>
      </c>
      <c r="K225" s="13">
        <v>80</v>
      </c>
      <c r="L225" s="80" t="s">
        <v>1536</v>
      </c>
      <c r="M225" s="13">
        <f t="shared" si="61"/>
        <v>20000</v>
      </c>
      <c r="N225" s="13">
        <f t="shared" si="62"/>
        <v>20000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>
        <v>20000</v>
      </c>
      <c r="CC225" s="13"/>
      <c r="CD225" s="13"/>
      <c r="CE225" s="13"/>
      <c r="CF225" s="13"/>
      <c r="CG225" s="13"/>
      <c r="CH225" s="13"/>
      <c r="CI225" s="13"/>
      <c r="CJ225" s="13">
        <f t="shared" si="67"/>
        <v>0</v>
      </c>
      <c r="CK225" s="9"/>
    </row>
    <row r="226" spans="1:89" hidden="1" x14ac:dyDescent="0.25">
      <c r="A226" s="17">
        <v>5230874</v>
      </c>
      <c r="B226" s="17" t="s">
        <v>1316</v>
      </c>
      <c r="C226" s="80" t="s">
        <v>1537</v>
      </c>
      <c r="D226" s="13"/>
      <c r="E226" s="7">
        <v>0</v>
      </c>
      <c r="F226" s="80">
        <v>8656376</v>
      </c>
      <c r="G226" s="13">
        <v>250</v>
      </c>
      <c r="H226" s="15">
        <v>45247</v>
      </c>
      <c r="I226" s="15">
        <v>45205</v>
      </c>
      <c r="J226" s="15">
        <f>+I226+365</f>
        <v>45570</v>
      </c>
      <c r="K226" s="13">
        <v>80</v>
      </c>
      <c r="L226" s="93" t="s">
        <v>1538</v>
      </c>
      <c r="M226" s="13">
        <f t="shared" si="61"/>
        <v>20000</v>
      </c>
      <c r="N226" s="13">
        <f t="shared" si="62"/>
        <v>20000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>
        <v>10000</v>
      </c>
      <c r="CF226" s="13"/>
      <c r="CG226" s="13"/>
      <c r="CH226" s="13"/>
      <c r="CI226" s="13"/>
      <c r="CJ226" s="13">
        <f t="shared" si="67"/>
        <v>10000</v>
      </c>
      <c r="CK226" s="9"/>
    </row>
    <row r="227" spans="1:89" hidden="1" x14ac:dyDescent="0.25">
      <c r="A227" s="17">
        <v>5212252</v>
      </c>
      <c r="B227" s="17" t="s">
        <v>23</v>
      </c>
      <c r="C227" s="80" t="s">
        <v>1532</v>
      </c>
      <c r="D227" s="13"/>
      <c r="E227" s="7">
        <v>0</v>
      </c>
      <c r="F227" s="80">
        <v>8477407</v>
      </c>
      <c r="G227" s="13">
        <v>25</v>
      </c>
      <c r="H227" s="15">
        <v>45247</v>
      </c>
      <c r="I227" s="15">
        <v>45204</v>
      </c>
      <c r="J227" s="15">
        <f t="shared" ref="J227" si="70">+I227+365+365</f>
        <v>45934</v>
      </c>
      <c r="K227" s="13">
        <v>1040</v>
      </c>
      <c r="L227" s="80" t="s">
        <v>1533</v>
      </c>
      <c r="M227" s="13">
        <f t="shared" si="61"/>
        <v>26000</v>
      </c>
      <c r="N227" s="13">
        <f t="shared" si="62"/>
        <v>26000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>
        <v>23500</v>
      </c>
      <c r="BU227" s="13"/>
      <c r="BV227" s="13"/>
      <c r="BW227" s="13"/>
      <c r="BX227" s="13"/>
      <c r="BY227" s="13"/>
      <c r="BZ227" s="13"/>
      <c r="CA227" s="13"/>
      <c r="CB227" s="13"/>
      <c r="CC227" s="13"/>
      <c r="CD227" s="13">
        <v>2500</v>
      </c>
      <c r="CE227" s="13"/>
      <c r="CF227" s="13"/>
      <c r="CG227" s="13"/>
      <c r="CH227" s="13"/>
      <c r="CI227" s="13"/>
      <c r="CJ227" s="13">
        <f t="shared" si="67"/>
        <v>0</v>
      </c>
      <c r="CK227" s="9"/>
    </row>
    <row r="228" spans="1:89" hidden="1" x14ac:dyDescent="0.25">
      <c r="A228" s="17">
        <v>5309040</v>
      </c>
      <c r="B228" s="17" t="s">
        <v>105</v>
      </c>
      <c r="C228" s="101">
        <v>91524839</v>
      </c>
      <c r="D228" s="13"/>
      <c r="E228" s="7">
        <v>0</v>
      </c>
      <c r="F228" s="80">
        <v>8648192</v>
      </c>
      <c r="G228" s="13">
        <v>250</v>
      </c>
      <c r="H228" s="15">
        <v>45247</v>
      </c>
      <c r="I228" s="15">
        <v>45190</v>
      </c>
      <c r="J228" s="15">
        <v>45555</v>
      </c>
      <c r="K228" s="13">
        <v>80</v>
      </c>
      <c r="L228" s="80" t="s">
        <v>1536</v>
      </c>
      <c r="M228" s="13">
        <f t="shared" si="61"/>
        <v>20000</v>
      </c>
      <c r="N228" s="13">
        <f t="shared" si="62"/>
        <v>20000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>
        <v>7500</v>
      </c>
      <c r="CC228" s="13"/>
      <c r="CD228" s="13"/>
      <c r="CE228" s="13"/>
      <c r="CF228" s="13"/>
      <c r="CG228" s="13"/>
      <c r="CH228" s="13"/>
      <c r="CI228" s="13"/>
      <c r="CJ228" s="13">
        <f t="shared" si="67"/>
        <v>12500</v>
      </c>
      <c r="CK228" s="9"/>
    </row>
    <row r="229" spans="1:89" hidden="1" x14ac:dyDescent="0.25">
      <c r="A229" s="17">
        <v>5212252</v>
      </c>
      <c r="B229" s="17" t="s">
        <v>23</v>
      </c>
      <c r="C229" s="80" t="s">
        <v>1531</v>
      </c>
      <c r="D229" s="13"/>
      <c r="E229" s="7">
        <v>0</v>
      </c>
      <c r="F229" s="80">
        <v>8572068</v>
      </c>
      <c r="G229" s="13">
        <v>25</v>
      </c>
      <c r="H229" s="15">
        <v>45247</v>
      </c>
      <c r="I229" s="15">
        <v>45201</v>
      </c>
      <c r="J229" s="15">
        <f t="shared" ref="J229:J230" si="71">+I229+365+365</f>
        <v>45931</v>
      </c>
      <c r="K229" s="13">
        <v>330</v>
      </c>
      <c r="L229" s="80" t="s">
        <v>1534</v>
      </c>
      <c r="M229" s="13">
        <f t="shared" si="61"/>
        <v>8250</v>
      </c>
      <c r="N229" s="13">
        <f t="shared" si="62"/>
        <v>8250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>
        <v>8250</v>
      </c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>
        <f t="shared" si="67"/>
        <v>0</v>
      </c>
      <c r="CK229" s="9"/>
    </row>
    <row r="230" spans="1:89" hidden="1" x14ac:dyDescent="0.25">
      <c r="A230" s="17">
        <v>5212252</v>
      </c>
      <c r="B230" s="17" t="s">
        <v>23</v>
      </c>
      <c r="C230" s="80" t="s">
        <v>1531</v>
      </c>
      <c r="D230" s="13"/>
      <c r="E230" s="7">
        <v>0</v>
      </c>
      <c r="F230" s="80">
        <v>8572068</v>
      </c>
      <c r="G230" s="13">
        <v>25</v>
      </c>
      <c r="H230" s="15">
        <v>45247</v>
      </c>
      <c r="I230" s="15">
        <v>45197</v>
      </c>
      <c r="J230" s="15">
        <f t="shared" si="71"/>
        <v>45927</v>
      </c>
      <c r="K230" s="13">
        <v>710</v>
      </c>
      <c r="L230" s="80" t="s">
        <v>1521</v>
      </c>
      <c r="M230" s="13">
        <f t="shared" si="61"/>
        <v>17750</v>
      </c>
      <c r="N230" s="13">
        <f t="shared" si="62"/>
        <v>17750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>
        <v>15000</v>
      </c>
      <c r="BT230" s="13">
        <v>2750</v>
      </c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>
        <f t="shared" si="67"/>
        <v>0</v>
      </c>
      <c r="CK230" s="9"/>
    </row>
    <row r="231" spans="1:89" hidden="1" x14ac:dyDescent="0.25">
      <c r="A231" s="17">
        <v>5309040</v>
      </c>
      <c r="B231" s="17" t="s">
        <v>105</v>
      </c>
      <c r="C231" s="101">
        <v>91524839</v>
      </c>
      <c r="D231" s="13"/>
      <c r="E231" s="7">
        <v>0</v>
      </c>
      <c r="F231" s="80">
        <v>8648192</v>
      </c>
      <c r="G231" s="13">
        <v>250</v>
      </c>
      <c r="H231" s="15">
        <v>45247</v>
      </c>
      <c r="I231" s="15">
        <v>45190</v>
      </c>
      <c r="J231" s="15">
        <v>45555</v>
      </c>
      <c r="K231" s="13">
        <v>80</v>
      </c>
      <c r="L231" s="80" t="s">
        <v>1536</v>
      </c>
      <c r="M231" s="13">
        <f t="shared" si="61"/>
        <v>20000</v>
      </c>
      <c r="N231" s="13">
        <f t="shared" si="62"/>
        <v>20000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>
        <v>20000</v>
      </c>
      <c r="CD231" s="13"/>
      <c r="CE231" s="13"/>
      <c r="CF231" s="13"/>
      <c r="CG231" s="13"/>
      <c r="CH231" s="13"/>
      <c r="CI231" s="13"/>
      <c r="CJ231" s="13">
        <f t="shared" si="67"/>
        <v>0</v>
      </c>
      <c r="CK231" s="9"/>
    </row>
    <row r="232" spans="1:89" hidden="1" x14ac:dyDescent="0.25">
      <c r="A232" s="17">
        <v>5230831</v>
      </c>
      <c r="B232" s="17" t="s">
        <v>35</v>
      </c>
      <c r="C232" s="80" t="s">
        <v>1543</v>
      </c>
      <c r="D232" s="13"/>
      <c r="E232" s="7">
        <v>0</v>
      </c>
      <c r="F232" s="80">
        <v>8604214</v>
      </c>
      <c r="G232" s="13">
        <v>240</v>
      </c>
      <c r="H232" s="15">
        <v>45248</v>
      </c>
      <c r="I232" s="15">
        <v>45219</v>
      </c>
      <c r="J232" s="15">
        <f>+I232+275</f>
        <v>45494</v>
      </c>
      <c r="K232" s="80">
        <v>80</v>
      </c>
      <c r="L232" s="97" t="s">
        <v>1556</v>
      </c>
      <c r="M232" s="13">
        <f t="shared" si="61"/>
        <v>19200</v>
      </c>
      <c r="N232" s="13">
        <f t="shared" si="62"/>
        <v>19200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>
        <f t="shared" si="67"/>
        <v>19200</v>
      </c>
      <c r="CK232" s="9"/>
    </row>
    <row r="233" spans="1:89" hidden="1" x14ac:dyDescent="0.25">
      <c r="A233" s="17">
        <v>5212252</v>
      </c>
      <c r="B233" s="17" t="s">
        <v>23</v>
      </c>
      <c r="C233" s="80" t="s">
        <v>1544</v>
      </c>
      <c r="D233" s="13"/>
      <c r="E233" s="7">
        <v>0</v>
      </c>
      <c r="F233" s="80">
        <v>8477658</v>
      </c>
      <c r="G233" s="13">
        <v>25</v>
      </c>
      <c r="H233" s="15">
        <v>45248</v>
      </c>
      <c r="I233" s="15">
        <v>45201</v>
      </c>
      <c r="J233" s="15">
        <f t="shared" ref="J233" si="72">+I233+365+365</f>
        <v>45931</v>
      </c>
      <c r="K233" s="80">
        <v>1040</v>
      </c>
      <c r="L233" s="50" t="s">
        <v>1518</v>
      </c>
      <c r="M233" s="13">
        <f t="shared" si="61"/>
        <v>26000</v>
      </c>
      <c r="N233" s="13">
        <f t="shared" si="62"/>
        <v>26000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>
        <v>26000</v>
      </c>
      <c r="CE233" s="13"/>
      <c r="CF233" s="13"/>
      <c r="CG233" s="13"/>
      <c r="CH233" s="13"/>
      <c r="CI233" s="13"/>
      <c r="CJ233" s="13">
        <f t="shared" si="67"/>
        <v>0</v>
      </c>
      <c r="CK233" s="9"/>
    </row>
    <row r="234" spans="1:89" hidden="1" x14ac:dyDescent="0.25">
      <c r="A234" s="17">
        <v>5212252</v>
      </c>
      <c r="B234" s="17" t="s">
        <v>23</v>
      </c>
      <c r="C234" s="80" t="s">
        <v>1544</v>
      </c>
      <c r="D234" s="13"/>
      <c r="E234" s="7">
        <v>0</v>
      </c>
      <c r="F234" s="80">
        <v>8477658</v>
      </c>
      <c r="G234" s="13">
        <v>25</v>
      </c>
      <c r="H234" s="15">
        <v>45248</v>
      </c>
      <c r="I234" s="15">
        <v>45201</v>
      </c>
      <c r="J234" s="15">
        <f t="shared" ref="J234:J235" si="73">+I234+365+365</f>
        <v>45931</v>
      </c>
      <c r="K234" s="80">
        <v>853</v>
      </c>
      <c r="L234" s="50" t="s">
        <v>1545</v>
      </c>
      <c r="M234" s="13">
        <f t="shared" si="61"/>
        <v>21325</v>
      </c>
      <c r="N234" s="13">
        <f t="shared" si="62"/>
        <v>21325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>
        <v>10000</v>
      </c>
      <c r="BX234" s="13"/>
      <c r="BY234" s="13"/>
      <c r="BZ234" s="13"/>
      <c r="CA234" s="13">
        <v>11325</v>
      </c>
      <c r="CB234" s="13"/>
      <c r="CC234" s="13"/>
      <c r="CD234" s="13"/>
      <c r="CE234" s="13"/>
      <c r="CF234" s="13"/>
      <c r="CG234" s="13"/>
      <c r="CH234" s="13"/>
      <c r="CI234" s="13"/>
      <c r="CJ234" s="13">
        <f t="shared" si="67"/>
        <v>0</v>
      </c>
      <c r="CK234" s="9"/>
    </row>
    <row r="235" spans="1:89" hidden="1" x14ac:dyDescent="0.25">
      <c r="A235" s="17">
        <v>5212252</v>
      </c>
      <c r="B235" s="17" t="s">
        <v>23</v>
      </c>
      <c r="C235" s="80" t="s">
        <v>1544</v>
      </c>
      <c r="D235" s="13"/>
      <c r="E235" s="7">
        <v>0</v>
      </c>
      <c r="F235" s="80">
        <v>8477658</v>
      </c>
      <c r="G235" s="13">
        <v>25</v>
      </c>
      <c r="H235" s="15">
        <v>45248</v>
      </c>
      <c r="I235" s="15">
        <v>45201</v>
      </c>
      <c r="J235" s="15">
        <f t="shared" si="73"/>
        <v>45931</v>
      </c>
      <c r="K235" s="80">
        <v>187</v>
      </c>
      <c r="L235" s="50" t="s">
        <v>1518</v>
      </c>
      <c r="M235" s="13">
        <f t="shared" si="61"/>
        <v>4675</v>
      </c>
      <c r="N235" s="13">
        <f t="shared" si="62"/>
        <v>4675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>
        <v>4675</v>
      </c>
      <c r="CE235" s="13"/>
      <c r="CF235" s="13"/>
      <c r="CG235" s="13"/>
      <c r="CH235" s="13"/>
      <c r="CI235" s="13"/>
      <c r="CJ235" s="13">
        <f t="shared" si="67"/>
        <v>0</v>
      </c>
      <c r="CK235" s="9"/>
    </row>
    <row r="236" spans="1:89" hidden="1" x14ac:dyDescent="0.25">
      <c r="A236" s="17">
        <v>5215404</v>
      </c>
      <c r="B236" s="17" t="s">
        <v>1284</v>
      </c>
      <c r="C236" s="80" t="s">
        <v>1546</v>
      </c>
      <c r="D236" s="13"/>
      <c r="E236" s="7">
        <v>0</v>
      </c>
      <c r="F236" s="80">
        <v>8667438</v>
      </c>
      <c r="G236" s="13">
        <v>180</v>
      </c>
      <c r="H236" s="15">
        <v>45248</v>
      </c>
      <c r="I236" s="15">
        <v>45114</v>
      </c>
      <c r="J236" s="15">
        <v>45480</v>
      </c>
      <c r="K236" s="80">
        <v>61</v>
      </c>
      <c r="L236" s="80">
        <v>123012301</v>
      </c>
      <c r="M236" s="13">
        <f t="shared" si="61"/>
        <v>10980</v>
      </c>
      <c r="N236" s="13">
        <f t="shared" si="62"/>
        <v>10980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>
        <f t="shared" si="67"/>
        <v>10980</v>
      </c>
      <c r="CK236" s="9"/>
    </row>
    <row r="237" spans="1:89" hidden="1" x14ac:dyDescent="0.25">
      <c r="A237" s="17">
        <v>5215404</v>
      </c>
      <c r="B237" s="17" t="s">
        <v>1284</v>
      </c>
      <c r="C237" s="80" t="s">
        <v>1546</v>
      </c>
      <c r="D237" s="13"/>
      <c r="E237" s="7">
        <v>0</v>
      </c>
      <c r="F237" s="80">
        <v>8667438</v>
      </c>
      <c r="G237" s="13">
        <v>180</v>
      </c>
      <c r="H237" s="15">
        <v>45248</v>
      </c>
      <c r="I237" s="15">
        <v>45110</v>
      </c>
      <c r="J237" s="15">
        <v>45476</v>
      </c>
      <c r="K237" s="80">
        <v>19</v>
      </c>
      <c r="L237" s="80">
        <v>123011801</v>
      </c>
      <c r="M237" s="13">
        <f t="shared" ref="M237:M249" si="74">K237*G237</f>
        <v>3420</v>
      </c>
      <c r="N237" s="13">
        <f t="shared" ref="N237:N249" si="75">M237</f>
        <v>3420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>
        <f t="shared" si="67"/>
        <v>3420</v>
      </c>
      <c r="CK237" s="9"/>
    </row>
    <row r="238" spans="1:89" hidden="1" x14ac:dyDescent="0.25">
      <c r="A238" s="103">
        <v>5309040</v>
      </c>
      <c r="B238" s="103" t="s">
        <v>105</v>
      </c>
      <c r="C238" s="50">
        <v>91524839</v>
      </c>
      <c r="D238" s="13"/>
      <c r="E238" s="7">
        <v>0</v>
      </c>
      <c r="F238" s="80">
        <v>8648192</v>
      </c>
      <c r="G238" s="13">
        <v>250</v>
      </c>
      <c r="H238" s="15">
        <v>45248</v>
      </c>
      <c r="I238" s="15">
        <v>45187</v>
      </c>
      <c r="J238" s="15">
        <v>45553</v>
      </c>
      <c r="K238" s="80">
        <v>80</v>
      </c>
      <c r="L238" s="90" t="s">
        <v>1549</v>
      </c>
      <c r="M238" s="13">
        <f t="shared" si="74"/>
        <v>20000</v>
      </c>
      <c r="N238" s="13">
        <f t="shared" si="75"/>
        <v>20000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>
        <v>20000</v>
      </c>
      <c r="CD238" s="13"/>
      <c r="CE238" s="13"/>
      <c r="CF238" s="13"/>
      <c r="CG238" s="13"/>
      <c r="CH238" s="13"/>
      <c r="CI238" s="13"/>
      <c r="CJ238" s="13">
        <f t="shared" si="67"/>
        <v>0</v>
      </c>
      <c r="CK238" s="9"/>
    </row>
    <row r="239" spans="1:89" hidden="1" x14ac:dyDescent="0.25">
      <c r="A239" s="17">
        <v>5230831</v>
      </c>
      <c r="B239" s="17" t="s">
        <v>35</v>
      </c>
      <c r="C239" s="80" t="s">
        <v>1543</v>
      </c>
      <c r="D239" s="13"/>
      <c r="E239" s="7">
        <v>0</v>
      </c>
      <c r="F239" s="80">
        <v>8604214</v>
      </c>
      <c r="G239" s="13">
        <v>240</v>
      </c>
      <c r="H239" s="15">
        <v>45248</v>
      </c>
      <c r="I239" s="15">
        <v>45219</v>
      </c>
      <c r="J239" s="15">
        <v>45493</v>
      </c>
      <c r="K239" s="80">
        <v>80</v>
      </c>
      <c r="L239" s="97" t="s">
        <v>1556</v>
      </c>
      <c r="M239" s="13">
        <f t="shared" si="74"/>
        <v>19200</v>
      </c>
      <c r="N239" s="13">
        <f t="shared" si="75"/>
        <v>19200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>
        <f t="shared" si="67"/>
        <v>19200</v>
      </c>
      <c r="CK239" s="9"/>
    </row>
    <row r="240" spans="1:89" hidden="1" x14ac:dyDescent="0.25">
      <c r="A240" s="17">
        <v>5306988</v>
      </c>
      <c r="B240" s="17" t="s">
        <v>55</v>
      </c>
      <c r="C240" s="80" t="s">
        <v>1551</v>
      </c>
      <c r="D240" s="13"/>
      <c r="E240" s="7">
        <v>0</v>
      </c>
      <c r="F240" s="80">
        <v>8478958</v>
      </c>
      <c r="G240" s="13">
        <v>200</v>
      </c>
      <c r="H240" s="15">
        <v>45248</v>
      </c>
      <c r="I240" s="15">
        <v>45209</v>
      </c>
      <c r="J240" s="15">
        <v>45575</v>
      </c>
      <c r="K240" s="80">
        <v>50</v>
      </c>
      <c r="L240" s="50">
        <v>423902901</v>
      </c>
      <c r="M240" s="13">
        <f t="shared" si="74"/>
        <v>10000</v>
      </c>
      <c r="N240" s="13">
        <f t="shared" si="75"/>
        <v>10000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>
        <f t="shared" si="67"/>
        <v>10000</v>
      </c>
      <c r="CK240" s="9"/>
    </row>
    <row r="241" spans="1:89" hidden="1" x14ac:dyDescent="0.25">
      <c r="A241" s="17">
        <v>5306988</v>
      </c>
      <c r="B241" s="17" t="s">
        <v>55</v>
      </c>
      <c r="C241" s="80" t="s">
        <v>1551</v>
      </c>
      <c r="D241" s="13"/>
      <c r="E241" s="7">
        <v>0</v>
      </c>
      <c r="F241" s="80">
        <v>8478958</v>
      </c>
      <c r="G241" s="13">
        <v>200</v>
      </c>
      <c r="H241" s="15">
        <v>45248</v>
      </c>
      <c r="I241" s="15">
        <v>45211</v>
      </c>
      <c r="J241" s="15">
        <v>45577</v>
      </c>
      <c r="K241" s="80">
        <v>30</v>
      </c>
      <c r="L241" s="50">
        <v>423903001</v>
      </c>
      <c r="M241" s="13">
        <f t="shared" si="74"/>
        <v>6000</v>
      </c>
      <c r="N241" s="13">
        <f t="shared" si="75"/>
        <v>6000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>
        <f t="shared" si="67"/>
        <v>6000</v>
      </c>
      <c r="CK241" s="9"/>
    </row>
    <row r="242" spans="1:89" hidden="1" x14ac:dyDescent="0.25">
      <c r="A242" s="103">
        <v>5309040</v>
      </c>
      <c r="B242" s="103" t="s">
        <v>105</v>
      </c>
      <c r="C242" s="50">
        <v>91524839</v>
      </c>
      <c r="D242" s="13"/>
      <c r="E242" s="7">
        <v>0</v>
      </c>
      <c r="F242" s="80">
        <v>8648192</v>
      </c>
      <c r="G242" s="13">
        <v>250</v>
      </c>
      <c r="H242" s="15">
        <v>45248</v>
      </c>
      <c r="I242" s="15">
        <v>45170</v>
      </c>
      <c r="J242" s="15">
        <v>45536</v>
      </c>
      <c r="K242" s="80">
        <v>80</v>
      </c>
      <c r="L242" s="67" t="s">
        <v>1552</v>
      </c>
      <c r="M242" s="13">
        <f t="shared" si="74"/>
        <v>20000</v>
      </c>
      <c r="N242" s="13">
        <f t="shared" si="75"/>
        <v>20000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>
        <v>20000</v>
      </c>
      <c r="CC242" s="13"/>
      <c r="CD242" s="13"/>
      <c r="CE242" s="13"/>
      <c r="CF242" s="13"/>
      <c r="CG242" s="13"/>
      <c r="CH242" s="13"/>
      <c r="CI242" s="13"/>
      <c r="CJ242" s="13">
        <f t="shared" si="67"/>
        <v>0</v>
      </c>
      <c r="CK242" s="9"/>
    </row>
    <row r="243" spans="1:89" hidden="1" x14ac:dyDescent="0.25">
      <c r="A243" s="17">
        <v>5230874</v>
      </c>
      <c r="B243" s="17" t="s">
        <v>1316</v>
      </c>
      <c r="C243" s="80" t="s">
        <v>1554</v>
      </c>
      <c r="D243" s="13"/>
      <c r="E243" s="7">
        <v>0</v>
      </c>
      <c r="F243" s="80">
        <v>8492218</v>
      </c>
      <c r="G243" s="13">
        <v>250</v>
      </c>
      <c r="H243" s="15">
        <v>45248</v>
      </c>
      <c r="I243" s="15">
        <v>45204</v>
      </c>
      <c r="J243" s="15">
        <v>45570</v>
      </c>
      <c r="K243" s="80">
        <v>80</v>
      </c>
      <c r="L243" s="50">
        <v>423014101</v>
      </c>
      <c r="M243" s="13">
        <f t="shared" si="74"/>
        <v>20000</v>
      </c>
      <c r="N243" s="13">
        <f t="shared" si="75"/>
        <v>20000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>
        <v>8000</v>
      </c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>
        <f t="shared" si="67"/>
        <v>12000</v>
      </c>
      <c r="CK243" s="9"/>
    </row>
    <row r="244" spans="1:89" hidden="1" x14ac:dyDescent="0.25">
      <c r="A244" s="17">
        <v>5230874</v>
      </c>
      <c r="B244" s="17" t="s">
        <v>1316</v>
      </c>
      <c r="C244" s="80" t="s">
        <v>1554</v>
      </c>
      <c r="D244" s="13"/>
      <c r="E244" s="7">
        <v>0</v>
      </c>
      <c r="F244" s="80">
        <v>8492218</v>
      </c>
      <c r="G244" s="13">
        <v>250</v>
      </c>
      <c r="H244" s="15">
        <v>45248</v>
      </c>
      <c r="I244" s="15">
        <v>45205</v>
      </c>
      <c r="J244" s="15">
        <v>45571</v>
      </c>
      <c r="K244" s="80">
        <v>4</v>
      </c>
      <c r="L244" s="80">
        <v>423014201</v>
      </c>
      <c r="M244" s="13">
        <f t="shared" si="74"/>
        <v>1000</v>
      </c>
      <c r="N244" s="13">
        <f t="shared" si="75"/>
        <v>1000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>
        <f t="shared" si="67"/>
        <v>1000</v>
      </c>
      <c r="CK244" s="9"/>
    </row>
    <row r="245" spans="1:89" hidden="1" x14ac:dyDescent="0.25">
      <c r="A245" s="17">
        <v>5230874</v>
      </c>
      <c r="B245" s="17" t="s">
        <v>1316</v>
      </c>
      <c r="C245" s="80" t="s">
        <v>1554</v>
      </c>
      <c r="D245" s="13"/>
      <c r="E245" s="7">
        <v>0</v>
      </c>
      <c r="F245" s="80">
        <v>8492218</v>
      </c>
      <c r="G245" s="13">
        <v>250</v>
      </c>
      <c r="H245" s="15">
        <v>45248</v>
      </c>
      <c r="I245" s="15">
        <v>45204</v>
      </c>
      <c r="J245" s="15">
        <v>45570</v>
      </c>
      <c r="K245" s="80">
        <v>20</v>
      </c>
      <c r="L245" s="90">
        <v>423014101</v>
      </c>
      <c r="M245" s="13">
        <f t="shared" si="74"/>
        <v>5000</v>
      </c>
      <c r="N245" s="13">
        <f t="shared" si="75"/>
        <v>5000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>
        <f t="shared" si="67"/>
        <v>5000</v>
      </c>
      <c r="CK245" s="9"/>
    </row>
    <row r="246" spans="1:89" hidden="1" x14ac:dyDescent="0.25">
      <c r="A246" s="17">
        <v>5230874</v>
      </c>
      <c r="B246" s="17" t="s">
        <v>1316</v>
      </c>
      <c r="C246" s="80" t="s">
        <v>1554</v>
      </c>
      <c r="D246" s="13"/>
      <c r="E246" s="7">
        <v>0</v>
      </c>
      <c r="F246" s="80">
        <v>8492218</v>
      </c>
      <c r="G246" s="13">
        <v>250</v>
      </c>
      <c r="H246" s="15">
        <v>45248</v>
      </c>
      <c r="I246" s="15">
        <v>45198</v>
      </c>
      <c r="J246" s="15">
        <v>45564</v>
      </c>
      <c r="K246" s="80">
        <v>56</v>
      </c>
      <c r="L246" s="90">
        <v>423014001</v>
      </c>
      <c r="M246" s="13">
        <f t="shared" si="74"/>
        <v>14000</v>
      </c>
      <c r="N246" s="13">
        <f t="shared" si="75"/>
        <v>14000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>
        <f t="shared" si="67"/>
        <v>14000</v>
      </c>
      <c r="CK246" s="9"/>
    </row>
    <row r="247" spans="1:89" hidden="1" x14ac:dyDescent="0.25">
      <c r="A247" s="17">
        <v>5230874</v>
      </c>
      <c r="B247" s="17" t="s">
        <v>1316</v>
      </c>
      <c r="C247" s="80" t="s">
        <v>1557</v>
      </c>
      <c r="D247" s="13"/>
      <c r="E247" s="7">
        <v>0</v>
      </c>
      <c r="F247" s="80">
        <v>8734862</v>
      </c>
      <c r="G247" s="13">
        <v>250</v>
      </c>
      <c r="H247" s="15">
        <v>45249</v>
      </c>
      <c r="I247" s="15">
        <v>45198</v>
      </c>
      <c r="J247" s="15">
        <v>45564</v>
      </c>
      <c r="K247" s="80">
        <v>80</v>
      </c>
      <c r="L247" s="97" t="s">
        <v>1558</v>
      </c>
      <c r="M247" s="13">
        <f t="shared" si="74"/>
        <v>20000</v>
      </c>
      <c r="N247" s="13">
        <f t="shared" si="75"/>
        <v>20000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>
        <f t="shared" si="67"/>
        <v>20000</v>
      </c>
      <c r="CK247" s="9"/>
    </row>
    <row r="248" spans="1:89" hidden="1" x14ac:dyDescent="0.25">
      <c r="A248" s="17">
        <v>5230831</v>
      </c>
      <c r="B248" s="17" t="s">
        <v>35</v>
      </c>
      <c r="C248" s="80" t="s">
        <v>1543</v>
      </c>
      <c r="D248" s="13"/>
      <c r="E248" s="7">
        <v>0</v>
      </c>
      <c r="F248" s="80">
        <v>8604214</v>
      </c>
      <c r="G248" s="13">
        <v>240</v>
      </c>
      <c r="H248" s="15">
        <v>45250</v>
      </c>
      <c r="I248" s="15">
        <v>45219</v>
      </c>
      <c r="J248" s="15">
        <f>+I248+275</f>
        <v>45494</v>
      </c>
      <c r="K248" s="80">
        <v>80</v>
      </c>
      <c r="L248" s="97" t="s">
        <v>1556</v>
      </c>
      <c r="M248" s="13">
        <f t="shared" si="74"/>
        <v>19200</v>
      </c>
      <c r="N248" s="13">
        <f t="shared" si="75"/>
        <v>19200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>
        <f t="shared" si="67"/>
        <v>19200</v>
      </c>
      <c r="CK248" s="9"/>
    </row>
    <row r="249" spans="1:89" hidden="1" x14ac:dyDescent="0.25">
      <c r="A249" s="17">
        <v>5230874</v>
      </c>
      <c r="B249" s="17" t="s">
        <v>1316</v>
      </c>
      <c r="C249" s="80" t="s">
        <v>1557</v>
      </c>
      <c r="D249" s="13"/>
      <c r="E249" s="7">
        <v>0</v>
      </c>
      <c r="F249" s="80">
        <v>8734862</v>
      </c>
      <c r="G249" s="13">
        <v>250</v>
      </c>
      <c r="H249" s="15">
        <v>45250</v>
      </c>
      <c r="I249" s="15">
        <v>45198</v>
      </c>
      <c r="J249" s="15">
        <v>45564</v>
      </c>
      <c r="K249" s="80">
        <v>21</v>
      </c>
      <c r="L249" s="97" t="s">
        <v>1558</v>
      </c>
      <c r="M249" s="13">
        <f t="shared" si="74"/>
        <v>5250</v>
      </c>
      <c r="N249" s="13">
        <f t="shared" si="75"/>
        <v>5250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>
        <f t="shared" si="67"/>
        <v>5250</v>
      </c>
      <c r="CK249" s="9"/>
    </row>
    <row r="250" spans="1:89" hidden="1" x14ac:dyDescent="0.25">
      <c r="A250" s="17">
        <v>5230874</v>
      </c>
      <c r="B250" s="17" t="s">
        <v>1316</v>
      </c>
      <c r="C250" s="80" t="s">
        <v>1557</v>
      </c>
      <c r="D250" s="13"/>
      <c r="E250" s="7">
        <v>0</v>
      </c>
      <c r="F250" s="80">
        <v>8734862</v>
      </c>
      <c r="G250" s="13">
        <v>250</v>
      </c>
      <c r="H250" s="15">
        <v>45250</v>
      </c>
      <c r="I250" s="15">
        <v>45198</v>
      </c>
      <c r="J250" s="15">
        <v>45564</v>
      </c>
      <c r="K250" s="80">
        <v>15</v>
      </c>
      <c r="L250" s="97" t="s">
        <v>1538</v>
      </c>
      <c r="M250" s="13">
        <f t="shared" ref="M250:M342" si="76">K250*G250</f>
        <v>3750</v>
      </c>
      <c r="N250" s="13">
        <f t="shared" ref="N250:N342" si="77">M250</f>
        <v>3750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>
        <f t="shared" si="67"/>
        <v>3750</v>
      </c>
      <c r="CK250" s="9"/>
    </row>
    <row r="251" spans="1:89" hidden="1" x14ac:dyDescent="0.25">
      <c r="A251" s="17">
        <v>5230874</v>
      </c>
      <c r="B251" s="17" t="s">
        <v>1316</v>
      </c>
      <c r="C251" s="80" t="s">
        <v>1557</v>
      </c>
      <c r="D251" s="13"/>
      <c r="E251" s="7">
        <v>0</v>
      </c>
      <c r="F251" s="80">
        <v>8734862</v>
      </c>
      <c r="G251" s="13">
        <v>250</v>
      </c>
      <c r="H251" s="15">
        <v>45250</v>
      </c>
      <c r="I251" s="15">
        <v>45198</v>
      </c>
      <c r="J251" s="15">
        <v>45564</v>
      </c>
      <c r="K251" s="80">
        <v>4</v>
      </c>
      <c r="L251" s="97" t="s">
        <v>1559</v>
      </c>
      <c r="M251" s="13">
        <f t="shared" si="76"/>
        <v>1000</v>
      </c>
      <c r="N251" s="13">
        <f t="shared" si="77"/>
        <v>1000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>
        <v>1000</v>
      </c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>
        <f t="shared" si="67"/>
        <v>0</v>
      </c>
      <c r="CK251" s="9"/>
    </row>
    <row r="252" spans="1:89" hidden="1" x14ac:dyDescent="0.25">
      <c r="A252" s="17">
        <v>5230874</v>
      </c>
      <c r="B252" s="17" t="s">
        <v>1316</v>
      </c>
      <c r="C252" s="80" t="s">
        <v>1557</v>
      </c>
      <c r="D252" s="13"/>
      <c r="E252" s="7">
        <v>0</v>
      </c>
      <c r="F252" s="80">
        <v>8734862</v>
      </c>
      <c r="G252" s="13">
        <v>250</v>
      </c>
      <c r="H252" s="15">
        <v>45250</v>
      </c>
      <c r="I252" s="15">
        <v>45198</v>
      </c>
      <c r="J252" s="15">
        <v>45564</v>
      </c>
      <c r="K252" s="80">
        <v>40</v>
      </c>
      <c r="L252" s="97" t="s">
        <v>1560</v>
      </c>
      <c r="M252" s="13">
        <f t="shared" si="76"/>
        <v>10000</v>
      </c>
      <c r="N252" s="13">
        <f t="shared" si="77"/>
        <v>10000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>
        <v>10000</v>
      </c>
      <c r="CD252" s="13"/>
      <c r="CE252" s="13"/>
      <c r="CF252" s="13"/>
      <c r="CG252" s="13"/>
      <c r="CH252" s="13"/>
      <c r="CI252" s="13"/>
      <c r="CJ252" s="13">
        <f t="shared" si="67"/>
        <v>0</v>
      </c>
      <c r="CK252" s="9"/>
    </row>
    <row r="253" spans="1:89" hidden="1" x14ac:dyDescent="0.25">
      <c r="A253" s="17">
        <v>5230831</v>
      </c>
      <c r="B253" s="17" t="s">
        <v>35</v>
      </c>
      <c r="C253" s="80" t="s">
        <v>1573</v>
      </c>
      <c r="D253" s="13"/>
      <c r="E253" s="7">
        <v>0</v>
      </c>
      <c r="F253" s="80">
        <v>8734231</v>
      </c>
      <c r="G253" s="13">
        <v>240</v>
      </c>
      <c r="H253" s="15">
        <v>45251</v>
      </c>
      <c r="I253" s="15">
        <v>45206</v>
      </c>
      <c r="J253" s="15">
        <v>45480</v>
      </c>
      <c r="K253" s="80">
        <v>80</v>
      </c>
      <c r="L253" s="97" t="s">
        <v>1574</v>
      </c>
      <c r="M253" s="13">
        <f t="shared" si="76"/>
        <v>19200</v>
      </c>
      <c r="N253" s="13">
        <f t="shared" si="77"/>
        <v>19200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>
        <v>9600</v>
      </c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>
        <v>9600</v>
      </c>
      <c r="CI253" s="13"/>
      <c r="CJ253" s="13">
        <f t="shared" si="67"/>
        <v>0</v>
      </c>
      <c r="CK253" s="9"/>
    </row>
    <row r="254" spans="1:89" hidden="1" x14ac:dyDescent="0.25">
      <c r="A254" s="17">
        <v>5230831</v>
      </c>
      <c r="B254" s="17" t="s">
        <v>35</v>
      </c>
      <c r="C254" s="80" t="s">
        <v>1573</v>
      </c>
      <c r="D254" s="13"/>
      <c r="E254" s="7">
        <v>0</v>
      </c>
      <c r="F254" s="80">
        <v>8734231</v>
      </c>
      <c r="G254" s="13">
        <v>240</v>
      </c>
      <c r="H254" s="15">
        <v>45251</v>
      </c>
      <c r="I254" s="15">
        <v>45206</v>
      </c>
      <c r="J254" s="15">
        <v>45480</v>
      </c>
      <c r="K254" s="80">
        <v>80</v>
      </c>
      <c r="L254" s="93" t="s">
        <v>1575</v>
      </c>
      <c r="M254" s="13">
        <f t="shared" si="76"/>
        <v>19200</v>
      </c>
      <c r="N254" s="13">
        <f t="shared" si="77"/>
        <v>19200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>
        <v>2880</v>
      </c>
      <c r="CD254" s="13">
        <v>9600</v>
      </c>
      <c r="CE254" s="13"/>
      <c r="CF254" s="13"/>
      <c r="CG254" s="13">
        <v>2400</v>
      </c>
      <c r="CH254" s="13"/>
      <c r="CI254" s="13"/>
      <c r="CJ254" s="13">
        <f t="shared" si="67"/>
        <v>4320</v>
      </c>
      <c r="CK254" s="9"/>
    </row>
    <row r="255" spans="1:89" hidden="1" x14ac:dyDescent="0.25">
      <c r="A255" s="17">
        <v>5230831</v>
      </c>
      <c r="B255" s="17" t="s">
        <v>35</v>
      </c>
      <c r="C255" s="80" t="s">
        <v>1573</v>
      </c>
      <c r="D255" s="13"/>
      <c r="E255" s="7">
        <v>0</v>
      </c>
      <c r="F255" s="80">
        <v>8734231</v>
      </c>
      <c r="G255" s="13">
        <v>240</v>
      </c>
      <c r="H255" s="15">
        <v>45251</v>
      </c>
      <c r="I255" s="15">
        <v>45206</v>
      </c>
      <c r="J255" s="15">
        <v>45480</v>
      </c>
      <c r="K255" s="80">
        <v>80</v>
      </c>
      <c r="L255" s="97" t="s">
        <v>1574</v>
      </c>
      <c r="M255" s="13">
        <f t="shared" si="76"/>
        <v>19200</v>
      </c>
      <c r="N255" s="13">
        <f t="shared" si="77"/>
        <v>19200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>
        <f t="shared" si="67"/>
        <v>19200</v>
      </c>
      <c r="CK255" s="9"/>
    </row>
    <row r="256" spans="1:89" hidden="1" x14ac:dyDescent="0.25">
      <c r="A256" s="17">
        <v>5230831</v>
      </c>
      <c r="B256" s="17" t="s">
        <v>35</v>
      </c>
      <c r="C256" s="80" t="s">
        <v>1573</v>
      </c>
      <c r="D256" s="13"/>
      <c r="E256" s="7">
        <v>0</v>
      </c>
      <c r="F256" s="80">
        <v>8734231</v>
      </c>
      <c r="G256" s="13">
        <v>240</v>
      </c>
      <c r="H256" s="15">
        <v>45251</v>
      </c>
      <c r="I256" s="15">
        <v>45206</v>
      </c>
      <c r="J256" s="15">
        <v>45480</v>
      </c>
      <c r="K256" s="80">
        <v>80</v>
      </c>
      <c r="L256" s="93" t="s">
        <v>1575</v>
      </c>
      <c r="M256" s="13">
        <f t="shared" si="76"/>
        <v>19200</v>
      </c>
      <c r="N256" s="13">
        <f t="shared" si="77"/>
        <v>19200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>
        <v>16800</v>
      </c>
      <c r="CH256" s="13"/>
      <c r="CI256" s="13"/>
      <c r="CJ256" s="13">
        <f t="shared" si="67"/>
        <v>2400</v>
      </c>
      <c r="CK256" s="9"/>
    </row>
    <row r="257" spans="1:90" hidden="1" x14ac:dyDescent="0.25">
      <c r="A257" s="17" t="s">
        <v>1607</v>
      </c>
      <c r="B257" s="17" t="s">
        <v>29</v>
      </c>
      <c r="C257" s="80" t="s">
        <v>1593</v>
      </c>
      <c r="D257" s="13"/>
      <c r="E257" s="7">
        <v>0</v>
      </c>
      <c r="F257" s="80">
        <v>8745118</v>
      </c>
      <c r="G257" s="13">
        <v>25</v>
      </c>
      <c r="H257" s="15">
        <v>45252</v>
      </c>
      <c r="I257" s="15">
        <v>45209</v>
      </c>
      <c r="J257" s="15">
        <f t="shared" ref="J257:J274" si="78">+I257+365+365</f>
        <v>45939</v>
      </c>
      <c r="K257" s="80">
        <v>1040</v>
      </c>
      <c r="L257" s="106" t="s">
        <v>1594</v>
      </c>
      <c r="M257" s="13">
        <f t="shared" si="76"/>
        <v>26000</v>
      </c>
      <c r="N257" s="13">
        <f t="shared" si="77"/>
        <v>26000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>
        <v>13000</v>
      </c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>
        <v>5000</v>
      </c>
      <c r="CE257" s="13"/>
      <c r="CF257" s="13"/>
      <c r="CG257" s="13">
        <v>8000</v>
      </c>
      <c r="CH257" s="13"/>
      <c r="CI257" s="13"/>
      <c r="CJ257" s="13">
        <f t="shared" si="67"/>
        <v>0</v>
      </c>
      <c r="CK257" s="9"/>
    </row>
    <row r="258" spans="1:90" hidden="1" x14ac:dyDescent="0.25">
      <c r="A258" s="17">
        <v>5212259</v>
      </c>
      <c r="B258" s="17" t="s">
        <v>26</v>
      </c>
      <c r="C258" s="80" t="s">
        <v>1595</v>
      </c>
      <c r="D258" s="13"/>
      <c r="E258" s="7">
        <v>0</v>
      </c>
      <c r="F258" s="80">
        <v>8601970</v>
      </c>
      <c r="G258" s="13">
        <v>25</v>
      </c>
      <c r="H258" s="15">
        <v>45252</v>
      </c>
      <c r="I258" s="15">
        <v>45107</v>
      </c>
      <c r="J258" s="15">
        <f t="shared" si="78"/>
        <v>45837</v>
      </c>
      <c r="K258" s="80">
        <v>203</v>
      </c>
      <c r="L258" s="97" t="s">
        <v>1606</v>
      </c>
      <c r="M258" s="13">
        <f t="shared" si="76"/>
        <v>5075</v>
      </c>
      <c r="N258" s="13">
        <f t="shared" si="77"/>
        <v>5075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>
        <v>5075</v>
      </c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>
        <f t="shared" si="67"/>
        <v>0</v>
      </c>
      <c r="CK258" s="9"/>
    </row>
    <row r="259" spans="1:90" hidden="1" x14ac:dyDescent="0.25">
      <c r="A259" s="17">
        <v>5212259</v>
      </c>
      <c r="B259" s="17" t="s">
        <v>26</v>
      </c>
      <c r="C259" s="80" t="s">
        <v>1595</v>
      </c>
      <c r="D259" s="13"/>
      <c r="E259" s="7">
        <v>0</v>
      </c>
      <c r="F259" s="80">
        <v>8601970</v>
      </c>
      <c r="G259" s="13">
        <v>25</v>
      </c>
      <c r="H259" s="15">
        <v>45252</v>
      </c>
      <c r="I259" s="15">
        <v>45214</v>
      </c>
      <c r="J259" s="15">
        <f t="shared" si="78"/>
        <v>45944</v>
      </c>
      <c r="K259" s="80">
        <v>837</v>
      </c>
      <c r="L259" s="106" t="s">
        <v>1596</v>
      </c>
      <c r="M259" s="13">
        <f t="shared" si="76"/>
        <v>20925</v>
      </c>
      <c r="N259" s="13">
        <f t="shared" si="77"/>
        <v>20925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>
        <v>6925</v>
      </c>
      <c r="BT259" s="13"/>
      <c r="BU259" s="13">
        <v>14000</v>
      </c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>
        <f t="shared" si="67"/>
        <v>0</v>
      </c>
      <c r="CK259" s="9"/>
    </row>
    <row r="260" spans="1:90" hidden="1" x14ac:dyDescent="0.25">
      <c r="A260" s="17">
        <v>5212252</v>
      </c>
      <c r="B260" s="17" t="s">
        <v>23</v>
      </c>
      <c r="C260" s="80" t="s">
        <v>1597</v>
      </c>
      <c r="D260" s="13"/>
      <c r="E260" s="7">
        <v>0</v>
      </c>
      <c r="F260" s="80">
        <v>8657969</v>
      </c>
      <c r="G260" s="13">
        <v>25</v>
      </c>
      <c r="H260" s="15">
        <v>45252</v>
      </c>
      <c r="I260" s="15">
        <v>45212</v>
      </c>
      <c r="J260" s="15">
        <f t="shared" si="78"/>
        <v>45942</v>
      </c>
      <c r="K260" s="80">
        <v>1040</v>
      </c>
      <c r="L260" s="97" t="s">
        <v>1603</v>
      </c>
      <c r="M260" s="13">
        <f t="shared" si="76"/>
        <v>26000</v>
      </c>
      <c r="N260" s="13">
        <f t="shared" si="77"/>
        <v>26000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>
        <v>13000</v>
      </c>
      <c r="CH260" s="13">
        <v>12000</v>
      </c>
      <c r="CI260" s="13"/>
      <c r="CJ260" s="13">
        <f t="shared" si="67"/>
        <v>1000</v>
      </c>
      <c r="CK260" s="9"/>
    </row>
    <row r="261" spans="1:90" hidden="1" x14ac:dyDescent="0.25">
      <c r="A261" s="17">
        <v>5212256</v>
      </c>
      <c r="B261" s="17" t="s">
        <v>22</v>
      </c>
      <c r="C261" s="80" t="s">
        <v>1598</v>
      </c>
      <c r="D261" s="13"/>
      <c r="E261" s="7">
        <v>0</v>
      </c>
      <c r="F261" s="80">
        <v>8606264</v>
      </c>
      <c r="G261" s="13">
        <v>25</v>
      </c>
      <c r="H261" s="15">
        <v>45252</v>
      </c>
      <c r="I261" s="15">
        <v>45178</v>
      </c>
      <c r="J261" s="15">
        <f t="shared" si="78"/>
        <v>45908</v>
      </c>
      <c r="K261" s="80">
        <v>17</v>
      </c>
      <c r="L261" s="106" t="s">
        <v>1334</v>
      </c>
      <c r="M261" s="13">
        <f t="shared" si="76"/>
        <v>425</v>
      </c>
      <c r="N261" s="13">
        <f t="shared" si="77"/>
        <v>425</v>
      </c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>
        <v>425</v>
      </c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>
        <f t="shared" si="67"/>
        <v>0</v>
      </c>
      <c r="CK261" s="9"/>
    </row>
    <row r="262" spans="1:90" hidden="1" x14ac:dyDescent="0.25">
      <c r="A262" s="17">
        <v>5212256</v>
      </c>
      <c r="B262" s="17" t="s">
        <v>22</v>
      </c>
      <c r="C262" s="80" t="s">
        <v>1598</v>
      </c>
      <c r="D262" s="13"/>
      <c r="E262" s="7">
        <v>0</v>
      </c>
      <c r="F262" s="80">
        <v>8606264</v>
      </c>
      <c r="G262" s="13">
        <v>25</v>
      </c>
      <c r="H262" s="15">
        <v>45252</v>
      </c>
      <c r="I262" s="15">
        <v>45192</v>
      </c>
      <c r="J262" s="15">
        <f t="shared" si="78"/>
        <v>45922</v>
      </c>
      <c r="K262" s="80">
        <v>133</v>
      </c>
      <c r="L262" s="106" t="s">
        <v>1599</v>
      </c>
      <c r="M262" s="13">
        <f t="shared" si="76"/>
        <v>3325</v>
      </c>
      <c r="N262" s="13">
        <f t="shared" si="77"/>
        <v>3325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>
        <v>3325</v>
      </c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>
        <f t="shared" si="67"/>
        <v>0</v>
      </c>
      <c r="CK262" s="9"/>
    </row>
    <row r="263" spans="1:90" hidden="1" x14ac:dyDescent="0.25">
      <c r="A263" s="17">
        <v>5212256</v>
      </c>
      <c r="B263" s="17" t="s">
        <v>22</v>
      </c>
      <c r="C263" s="80" t="s">
        <v>1598</v>
      </c>
      <c r="D263" s="13"/>
      <c r="E263" s="7">
        <v>0</v>
      </c>
      <c r="F263" s="80">
        <v>8606264</v>
      </c>
      <c r="G263" s="13">
        <v>25</v>
      </c>
      <c r="H263" s="15">
        <v>45252</v>
      </c>
      <c r="I263" s="15">
        <v>45184</v>
      </c>
      <c r="J263" s="15">
        <f t="shared" si="78"/>
        <v>45914</v>
      </c>
      <c r="K263" s="80">
        <v>42</v>
      </c>
      <c r="L263" s="106" t="s">
        <v>1600</v>
      </c>
      <c r="M263" s="13">
        <f t="shared" si="76"/>
        <v>1050</v>
      </c>
      <c r="N263" s="13">
        <f t="shared" si="77"/>
        <v>1050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>
        <v>1050</v>
      </c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>
        <f t="shared" ref="CJ263:CJ326" si="79">N263-O263-P263-Q263-R263-S263-T263-U263-V263-W263-X263-Y263-Z263-AA263-AB263-AC263-AD263-AE263-AF263-AG263-AH263-AI263-AJ263-AK263-AL263-AM263-AN263-AO263-AP263-AQ263-AR263-AS263-AT263-AU263-AV263-AW263-AX263-AY263-AZ263-BA263-BB263-BC263-BD263-BE263-BF263-BG263-BH263-BI263-BJ263-BK263-BL263-BM263-BN263-BO263-BP263-BQ263-BR263-BS263-BT263-BU263-BV263-BW263-BX263-BY263-BZ263-CA263-CB263-CC263-CD263-CE263-CF263-CG263-CH263-CI263</f>
        <v>0</v>
      </c>
      <c r="CK263" s="9"/>
    </row>
    <row r="264" spans="1:90" hidden="1" x14ac:dyDescent="0.25">
      <c r="A264" s="17">
        <v>5212256</v>
      </c>
      <c r="B264" s="17" t="s">
        <v>22</v>
      </c>
      <c r="C264" s="80" t="s">
        <v>1598</v>
      </c>
      <c r="D264" s="13"/>
      <c r="E264" s="7">
        <v>0</v>
      </c>
      <c r="F264" s="80">
        <v>8606264</v>
      </c>
      <c r="G264" s="13">
        <v>25</v>
      </c>
      <c r="H264" s="15">
        <v>45252</v>
      </c>
      <c r="I264" s="15">
        <v>45199</v>
      </c>
      <c r="J264" s="15">
        <f t="shared" si="78"/>
        <v>45929</v>
      </c>
      <c r="K264" s="80">
        <v>439</v>
      </c>
      <c r="L264" s="106" t="s">
        <v>1601</v>
      </c>
      <c r="M264" s="13">
        <f t="shared" si="76"/>
        <v>10975</v>
      </c>
      <c r="N264" s="13">
        <f t="shared" si="77"/>
        <v>10975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>
        <v>4975</v>
      </c>
      <c r="BP264" s="13"/>
      <c r="BQ264" s="13"/>
      <c r="BR264" s="13"/>
      <c r="BS264" s="13"/>
      <c r="BT264" s="13">
        <v>6000</v>
      </c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>
        <f t="shared" si="79"/>
        <v>0</v>
      </c>
      <c r="CK264" s="9"/>
    </row>
    <row r="265" spans="1:90" hidden="1" x14ac:dyDescent="0.25">
      <c r="A265" s="17">
        <v>5212256</v>
      </c>
      <c r="B265" s="17" t="s">
        <v>22</v>
      </c>
      <c r="C265" s="80" t="s">
        <v>1598</v>
      </c>
      <c r="D265" s="13"/>
      <c r="E265" s="7">
        <v>0</v>
      </c>
      <c r="F265" s="80">
        <v>8606264</v>
      </c>
      <c r="G265" s="13">
        <v>25</v>
      </c>
      <c r="H265" s="15">
        <v>45252</v>
      </c>
      <c r="I265" s="15">
        <v>45197</v>
      </c>
      <c r="J265" s="15">
        <f t="shared" si="78"/>
        <v>45927</v>
      </c>
      <c r="K265" s="80">
        <v>409</v>
      </c>
      <c r="L265" s="106" t="s">
        <v>1602</v>
      </c>
      <c r="M265" s="13">
        <f t="shared" si="76"/>
        <v>10225</v>
      </c>
      <c r="N265" s="13">
        <f t="shared" si="77"/>
        <v>10225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>
        <v>10225</v>
      </c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>
        <f t="shared" si="79"/>
        <v>0</v>
      </c>
      <c r="CK265" s="9"/>
    </row>
    <row r="266" spans="1:90" hidden="1" x14ac:dyDescent="0.25">
      <c r="A266" s="17">
        <v>5212252</v>
      </c>
      <c r="B266" s="17" t="s">
        <v>23</v>
      </c>
      <c r="C266" s="80" t="s">
        <v>1597</v>
      </c>
      <c r="D266" s="13"/>
      <c r="E266" s="7">
        <v>0</v>
      </c>
      <c r="F266" s="80">
        <v>8657969</v>
      </c>
      <c r="G266" s="13">
        <v>25</v>
      </c>
      <c r="H266" s="15">
        <v>45252</v>
      </c>
      <c r="I266" s="15">
        <v>45212</v>
      </c>
      <c r="J266" s="15">
        <f t="shared" si="78"/>
        <v>45942</v>
      </c>
      <c r="K266" s="80">
        <v>394</v>
      </c>
      <c r="L266" s="106" t="s">
        <v>1603</v>
      </c>
      <c r="M266" s="13">
        <f t="shared" si="76"/>
        <v>9850</v>
      </c>
      <c r="N266" s="13">
        <f t="shared" si="77"/>
        <v>9850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>
        <v>9075</v>
      </c>
      <c r="CI266" s="13"/>
      <c r="CJ266" s="13">
        <f t="shared" si="79"/>
        <v>775</v>
      </c>
      <c r="CK266" s="9"/>
    </row>
    <row r="267" spans="1:90" hidden="1" x14ac:dyDescent="0.25">
      <c r="A267" s="17">
        <v>5212252</v>
      </c>
      <c r="B267" s="17" t="s">
        <v>23</v>
      </c>
      <c r="C267" s="80" t="s">
        <v>1597</v>
      </c>
      <c r="D267" s="13"/>
      <c r="E267" s="7">
        <v>0</v>
      </c>
      <c r="F267" s="80">
        <v>8657969</v>
      </c>
      <c r="G267" s="13">
        <v>25</v>
      </c>
      <c r="H267" s="15">
        <v>45252</v>
      </c>
      <c r="I267" s="15">
        <v>45216</v>
      </c>
      <c r="J267" s="15">
        <f t="shared" si="78"/>
        <v>45946</v>
      </c>
      <c r="K267" s="80">
        <v>22</v>
      </c>
      <c r="L267" s="80" t="s">
        <v>1604</v>
      </c>
      <c r="M267" s="13">
        <f t="shared" si="76"/>
        <v>550</v>
      </c>
      <c r="N267" s="13">
        <f t="shared" si="77"/>
        <v>550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>
        <f t="shared" si="79"/>
        <v>550</v>
      </c>
      <c r="CK267" s="9"/>
    </row>
    <row r="268" spans="1:90" hidden="1" x14ac:dyDescent="0.25">
      <c r="A268" s="17">
        <v>5212252</v>
      </c>
      <c r="B268" s="17" t="s">
        <v>23</v>
      </c>
      <c r="C268" s="80" t="s">
        <v>1597</v>
      </c>
      <c r="D268" s="13"/>
      <c r="E268" s="7">
        <v>0</v>
      </c>
      <c r="F268" s="80">
        <v>8657969</v>
      </c>
      <c r="G268" s="13">
        <v>25</v>
      </c>
      <c r="H268" s="15">
        <v>45252</v>
      </c>
      <c r="I268" s="15">
        <v>45209</v>
      </c>
      <c r="J268" s="15">
        <f t="shared" si="78"/>
        <v>45939</v>
      </c>
      <c r="K268" s="80">
        <v>624</v>
      </c>
      <c r="L268" s="80" t="s">
        <v>1545</v>
      </c>
      <c r="M268" s="13">
        <f t="shared" si="76"/>
        <v>15600</v>
      </c>
      <c r="N268" s="13">
        <f t="shared" si="77"/>
        <v>15600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>
        <v>8175</v>
      </c>
      <c r="CB268" s="13"/>
      <c r="CC268" s="13"/>
      <c r="CD268" s="13">
        <v>6500</v>
      </c>
      <c r="CE268" s="13"/>
      <c r="CF268" s="13"/>
      <c r="CG268" s="13"/>
      <c r="CH268" s="13">
        <v>925</v>
      </c>
      <c r="CI268" s="13"/>
      <c r="CJ268" s="13">
        <f t="shared" si="79"/>
        <v>0</v>
      </c>
      <c r="CK268" s="9"/>
      <c r="CL268">
        <f>925/25</f>
        <v>37</v>
      </c>
    </row>
    <row r="269" spans="1:90" hidden="1" x14ac:dyDescent="0.25">
      <c r="A269" s="17">
        <v>5211013</v>
      </c>
      <c r="B269" s="17" t="s">
        <v>27</v>
      </c>
      <c r="C269" s="80" t="s">
        <v>1617</v>
      </c>
      <c r="D269" s="13"/>
      <c r="E269" s="7">
        <v>0</v>
      </c>
      <c r="F269" s="80">
        <v>8606063</v>
      </c>
      <c r="G269" s="13">
        <v>25</v>
      </c>
      <c r="H269" s="15">
        <v>45253</v>
      </c>
      <c r="I269" s="15">
        <v>45202</v>
      </c>
      <c r="J269" s="15">
        <f t="shared" si="78"/>
        <v>45932</v>
      </c>
      <c r="K269" s="80">
        <v>1040</v>
      </c>
      <c r="L269" s="106" t="s">
        <v>1616</v>
      </c>
      <c r="M269" s="13">
        <f t="shared" si="76"/>
        <v>26000</v>
      </c>
      <c r="N269" s="13">
        <f t="shared" si="77"/>
        <v>26000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>
        <f t="shared" si="79"/>
        <v>26000</v>
      </c>
      <c r="CK269" s="9"/>
    </row>
    <row r="270" spans="1:90" hidden="1" x14ac:dyDescent="0.25">
      <c r="A270" s="17">
        <v>5211013</v>
      </c>
      <c r="B270" s="17" t="s">
        <v>27</v>
      </c>
      <c r="C270" s="80" t="s">
        <v>1617</v>
      </c>
      <c r="D270" s="13"/>
      <c r="E270" s="7">
        <v>0</v>
      </c>
      <c r="F270" s="80">
        <v>8606063</v>
      </c>
      <c r="G270" s="13">
        <v>25</v>
      </c>
      <c r="H270" s="15">
        <v>45253</v>
      </c>
      <c r="I270" s="15">
        <v>45202</v>
      </c>
      <c r="J270" s="15">
        <f t="shared" si="78"/>
        <v>45932</v>
      </c>
      <c r="K270" s="80">
        <v>212</v>
      </c>
      <c r="L270" s="106" t="s">
        <v>1616</v>
      </c>
      <c r="M270" s="13">
        <f t="shared" si="76"/>
        <v>5300</v>
      </c>
      <c r="N270" s="13">
        <f t="shared" si="77"/>
        <v>5300</v>
      </c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>
        <f t="shared" si="79"/>
        <v>5300</v>
      </c>
      <c r="CK270" s="9"/>
    </row>
    <row r="271" spans="1:90" hidden="1" x14ac:dyDescent="0.25">
      <c r="A271" s="17">
        <v>5211013</v>
      </c>
      <c r="B271" s="17" t="s">
        <v>27</v>
      </c>
      <c r="C271" s="80" t="s">
        <v>1617</v>
      </c>
      <c r="D271" s="13"/>
      <c r="E271" s="7">
        <v>0</v>
      </c>
      <c r="F271" s="80">
        <v>8606063</v>
      </c>
      <c r="G271" s="13">
        <v>25</v>
      </c>
      <c r="H271" s="15">
        <v>45253</v>
      </c>
      <c r="I271" s="15">
        <v>45205</v>
      </c>
      <c r="J271" s="15">
        <f t="shared" si="78"/>
        <v>45935</v>
      </c>
      <c r="K271" s="80">
        <v>29</v>
      </c>
      <c r="L271" s="106" t="s">
        <v>1618</v>
      </c>
      <c r="M271" s="13">
        <f t="shared" si="76"/>
        <v>725</v>
      </c>
      <c r="N271" s="13">
        <f t="shared" si="77"/>
        <v>725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>
        <f t="shared" si="79"/>
        <v>725</v>
      </c>
      <c r="CK271" s="9"/>
    </row>
    <row r="272" spans="1:90" hidden="1" x14ac:dyDescent="0.25">
      <c r="A272" s="17">
        <v>5211013</v>
      </c>
      <c r="B272" s="17" t="s">
        <v>27</v>
      </c>
      <c r="C272" s="80" t="s">
        <v>1617</v>
      </c>
      <c r="D272" s="13"/>
      <c r="E272" s="7">
        <v>0</v>
      </c>
      <c r="F272" s="80">
        <v>8606063</v>
      </c>
      <c r="G272" s="13">
        <v>25</v>
      </c>
      <c r="H272" s="15">
        <v>45253</v>
      </c>
      <c r="I272" s="15">
        <v>45204</v>
      </c>
      <c r="J272" s="15">
        <f t="shared" si="78"/>
        <v>45934</v>
      </c>
      <c r="K272" s="80">
        <v>799</v>
      </c>
      <c r="L272" s="106" t="s">
        <v>1619</v>
      </c>
      <c r="M272" s="13">
        <f t="shared" si="76"/>
        <v>19975</v>
      </c>
      <c r="N272" s="13">
        <f t="shared" si="77"/>
        <v>19975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>
        <f t="shared" si="79"/>
        <v>19975</v>
      </c>
      <c r="CK272" s="9"/>
    </row>
    <row r="273" spans="1:89" hidden="1" x14ac:dyDescent="0.25">
      <c r="A273" s="17">
        <v>5211014</v>
      </c>
      <c r="B273" s="17" t="s">
        <v>38</v>
      </c>
      <c r="C273" s="80" t="s">
        <v>1620</v>
      </c>
      <c r="D273" s="13"/>
      <c r="E273" s="7">
        <v>0</v>
      </c>
      <c r="F273" s="80">
        <v>8750260</v>
      </c>
      <c r="G273" s="13">
        <v>25</v>
      </c>
      <c r="H273" s="15">
        <v>45253</v>
      </c>
      <c r="I273" s="15">
        <v>45216</v>
      </c>
      <c r="J273" s="15">
        <f t="shared" si="78"/>
        <v>45946</v>
      </c>
      <c r="K273" s="80">
        <v>520</v>
      </c>
      <c r="L273" s="106" t="s">
        <v>1621</v>
      </c>
      <c r="M273" s="13">
        <f t="shared" si="76"/>
        <v>13000</v>
      </c>
      <c r="N273" s="13">
        <f t="shared" si="77"/>
        <v>13000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>
        <v>13000</v>
      </c>
      <c r="CA273" s="13"/>
      <c r="CB273" s="13"/>
      <c r="CC273" s="13"/>
      <c r="CD273" s="13"/>
      <c r="CE273" s="13"/>
      <c r="CF273" s="13"/>
      <c r="CG273" s="13"/>
      <c r="CH273" s="13"/>
      <c r="CI273" s="13"/>
      <c r="CJ273" s="13">
        <f t="shared" si="79"/>
        <v>0</v>
      </c>
      <c r="CK273" s="9"/>
    </row>
    <row r="274" spans="1:89" hidden="1" x14ac:dyDescent="0.25">
      <c r="A274" s="17">
        <v>5212259</v>
      </c>
      <c r="B274" s="17" t="s">
        <v>26</v>
      </c>
      <c r="C274" s="80" t="s">
        <v>1620</v>
      </c>
      <c r="D274" s="13"/>
      <c r="E274" s="7">
        <v>0</v>
      </c>
      <c r="F274" s="80">
        <v>8750260</v>
      </c>
      <c r="G274" s="13">
        <v>25</v>
      </c>
      <c r="H274" s="15">
        <v>45253</v>
      </c>
      <c r="I274" s="15">
        <v>45214</v>
      </c>
      <c r="J274" s="15">
        <f t="shared" si="78"/>
        <v>45944</v>
      </c>
      <c r="K274" s="80">
        <v>520</v>
      </c>
      <c r="L274" s="106" t="s">
        <v>1622</v>
      </c>
      <c r="M274" s="13">
        <f t="shared" si="76"/>
        <v>13000</v>
      </c>
      <c r="N274" s="13">
        <f t="shared" si="77"/>
        <v>13000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>
        <v>5000</v>
      </c>
      <c r="BV274" s="13"/>
      <c r="BW274" s="13"/>
      <c r="BX274" s="13"/>
      <c r="BY274" s="13"/>
      <c r="BZ274" s="13"/>
      <c r="CA274" s="13"/>
      <c r="CB274" s="13"/>
      <c r="CC274" s="13"/>
      <c r="CD274" s="13">
        <v>8000</v>
      </c>
      <c r="CE274" s="13"/>
      <c r="CF274" s="13"/>
      <c r="CG274" s="13"/>
      <c r="CH274" s="13"/>
      <c r="CI274" s="13"/>
      <c r="CJ274" s="13">
        <f t="shared" si="79"/>
        <v>0</v>
      </c>
      <c r="CK274" s="9"/>
    </row>
    <row r="275" spans="1:89" hidden="1" x14ac:dyDescent="0.25">
      <c r="A275" s="17">
        <v>5212252</v>
      </c>
      <c r="B275" s="17" t="s">
        <v>23</v>
      </c>
      <c r="C275" s="80" t="s">
        <v>1633</v>
      </c>
      <c r="D275" s="13"/>
      <c r="E275" s="7">
        <v>0</v>
      </c>
      <c r="F275" s="80">
        <v>8603335</v>
      </c>
      <c r="G275" s="13">
        <v>25</v>
      </c>
      <c r="H275" s="15">
        <v>45254</v>
      </c>
      <c r="I275" s="15">
        <v>45218</v>
      </c>
      <c r="J275" s="15">
        <f t="shared" ref="J275:J281" si="80">+I275+365+365</f>
        <v>45948</v>
      </c>
      <c r="K275" s="80">
        <v>1040</v>
      </c>
      <c r="L275" s="106" t="s">
        <v>1634</v>
      </c>
      <c r="M275" s="13">
        <f t="shared" si="76"/>
        <v>26000</v>
      </c>
      <c r="N275" s="13">
        <f t="shared" si="77"/>
        <v>26000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>
        <f t="shared" si="79"/>
        <v>26000</v>
      </c>
      <c r="CK275" s="9"/>
    </row>
    <row r="276" spans="1:89" hidden="1" x14ac:dyDescent="0.25">
      <c r="A276" s="17">
        <v>5211013</v>
      </c>
      <c r="B276" s="17" t="s">
        <v>27</v>
      </c>
      <c r="C276" s="80" t="s">
        <v>1635</v>
      </c>
      <c r="D276" s="13"/>
      <c r="E276" s="7">
        <v>0</v>
      </c>
      <c r="F276" s="80">
        <v>8743920</v>
      </c>
      <c r="G276" s="13">
        <v>25</v>
      </c>
      <c r="H276" s="15">
        <v>45254</v>
      </c>
      <c r="I276" s="15">
        <v>45201</v>
      </c>
      <c r="J276" s="15">
        <f t="shared" si="80"/>
        <v>45931</v>
      </c>
      <c r="K276" s="80">
        <v>1040</v>
      </c>
      <c r="L276" s="85" t="s">
        <v>1636</v>
      </c>
      <c r="M276" s="13">
        <f t="shared" si="76"/>
        <v>26000</v>
      </c>
      <c r="N276" s="13">
        <f t="shared" si="77"/>
        <v>26000</v>
      </c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>
        <f t="shared" si="79"/>
        <v>26000</v>
      </c>
      <c r="CK276" s="9"/>
    </row>
    <row r="277" spans="1:89" hidden="1" x14ac:dyDescent="0.25">
      <c r="A277" s="17">
        <v>5212252</v>
      </c>
      <c r="B277" s="17" t="s">
        <v>23</v>
      </c>
      <c r="C277" s="80" t="s">
        <v>1633</v>
      </c>
      <c r="D277" s="13"/>
      <c r="E277" s="7">
        <v>0</v>
      </c>
      <c r="F277" s="80">
        <v>8603335</v>
      </c>
      <c r="G277" s="13">
        <v>25</v>
      </c>
      <c r="H277" s="15">
        <v>45254</v>
      </c>
      <c r="I277" s="15">
        <v>45217</v>
      </c>
      <c r="J277" s="15">
        <f t="shared" si="80"/>
        <v>45947</v>
      </c>
      <c r="K277" s="80">
        <v>548</v>
      </c>
      <c r="L277" s="106" t="s">
        <v>1638</v>
      </c>
      <c r="M277" s="13">
        <f t="shared" si="76"/>
        <v>13700</v>
      </c>
      <c r="N277" s="13">
        <f t="shared" si="77"/>
        <v>13700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>
        <f t="shared" si="79"/>
        <v>13700</v>
      </c>
      <c r="CK277" s="9"/>
    </row>
    <row r="278" spans="1:89" hidden="1" x14ac:dyDescent="0.25">
      <c r="A278" s="17">
        <v>5212252</v>
      </c>
      <c r="B278" s="17" t="s">
        <v>23</v>
      </c>
      <c r="C278" s="80" t="s">
        <v>1633</v>
      </c>
      <c r="D278" s="13"/>
      <c r="E278" s="7">
        <v>0</v>
      </c>
      <c r="F278" s="80">
        <v>8603335</v>
      </c>
      <c r="G278" s="13">
        <v>25</v>
      </c>
      <c r="H278" s="15">
        <v>45254</v>
      </c>
      <c r="I278" s="15">
        <v>45218</v>
      </c>
      <c r="J278" s="15">
        <f t="shared" si="80"/>
        <v>45948</v>
      </c>
      <c r="K278" s="80">
        <v>320</v>
      </c>
      <c r="L278" s="106" t="s">
        <v>1634</v>
      </c>
      <c r="M278" s="13">
        <f t="shared" si="76"/>
        <v>8000</v>
      </c>
      <c r="N278" s="13">
        <f t="shared" si="77"/>
        <v>8000</v>
      </c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>
        <f t="shared" si="79"/>
        <v>8000</v>
      </c>
      <c r="CK278" s="9"/>
    </row>
    <row r="279" spans="1:89" hidden="1" x14ac:dyDescent="0.25">
      <c r="A279" s="17">
        <v>5212252</v>
      </c>
      <c r="B279" s="17" t="s">
        <v>23</v>
      </c>
      <c r="C279" s="80" t="s">
        <v>1633</v>
      </c>
      <c r="D279" s="13"/>
      <c r="E279" s="7">
        <v>0</v>
      </c>
      <c r="F279" s="80">
        <v>8603335</v>
      </c>
      <c r="G279" s="13">
        <v>25</v>
      </c>
      <c r="H279" s="15">
        <v>45254</v>
      </c>
      <c r="I279" s="15">
        <v>45219</v>
      </c>
      <c r="J279" s="15">
        <f t="shared" si="80"/>
        <v>45949</v>
      </c>
      <c r="K279" s="80">
        <v>172</v>
      </c>
      <c r="L279" s="106" t="s">
        <v>1639</v>
      </c>
      <c r="M279" s="13">
        <f t="shared" si="76"/>
        <v>4300</v>
      </c>
      <c r="N279" s="13">
        <f t="shared" si="77"/>
        <v>4300</v>
      </c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>
        <f t="shared" si="79"/>
        <v>4300</v>
      </c>
      <c r="CK279" s="9"/>
    </row>
    <row r="280" spans="1:89" hidden="1" x14ac:dyDescent="0.25">
      <c r="A280" s="17">
        <v>5211013</v>
      </c>
      <c r="B280" s="17" t="s">
        <v>27</v>
      </c>
      <c r="C280" s="80" t="s">
        <v>1635</v>
      </c>
      <c r="D280" s="13"/>
      <c r="E280" s="7">
        <v>0</v>
      </c>
      <c r="F280" s="80">
        <v>8743920</v>
      </c>
      <c r="G280" s="13">
        <v>25</v>
      </c>
      <c r="H280" s="15">
        <v>45254</v>
      </c>
      <c r="I280" s="15">
        <v>45200</v>
      </c>
      <c r="J280" s="15">
        <f t="shared" si="80"/>
        <v>45930</v>
      </c>
      <c r="K280" s="80">
        <v>885</v>
      </c>
      <c r="L280" s="85" t="s">
        <v>1637</v>
      </c>
      <c r="M280" s="13">
        <f t="shared" si="76"/>
        <v>22125</v>
      </c>
      <c r="N280" s="13">
        <f t="shared" si="77"/>
        <v>22125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>
        <f t="shared" si="79"/>
        <v>22125</v>
      </c>
      <c r="CK280" s="9"/>
    </row>
    <row r="281" spans="1:89" hidden="1" x14ac:dyDescent="0.25">
      <c r="A281" s="17">
        <v>5211013</v>
      </c>
      <c r="B281" s="17" t="s">
        <v>27</v>
      </c>
      <c r="C281" s="80" t="s">
        <v>1635</v>
      </c>
      <c r="D281" s="13"/>
      <c r="E281" s="7">
        <v>0</v>
      </c>
      <c r="F281" s="80">
        <v>8743920</v>
      </c>
      <c r="G281" s="13">
        <v>25</v>
      </c>
      <c r="H281" s="15">
        <v>45254</v>
      </c>
      <c r="I281" s="15">
        <v>45201</v>
      </c>
      <c r="J281" s="15">
        <f t="shared" si="80"/>
        <v>45931</v>
      </c>
      <c r="K281" s="80">
        <v>155</v>
      </c>
      <c r="L281" s="85" t="s">
        <v>1636</v>
      </c>
      <c r="M281" s="13">
        <f t="shared" si="76"/>
        <v>3875</v>
      </c>
      <c r="N281" s="13">
        <f t="shared" si="77"/>
        <v>3875</v>
      </c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>
        <f t="shared" si="79"/>
        <v>3875</v>
      </c>
      <c r="CK281" s="9"/>
    </row>
    <row r="282" spans="1:89" hidden="1" x14ac:dyDescent="0.25">
      <c r="A282" s="17">
        <v>5230831</v>
      </c>
      <c r="B282" s="17" t="s">
        <v>35</v>
      </c>
      <c r="C282" s="80" t="s">
        <v>1645</v>
      </c>
      <c r="D282" s="13"/>
      <c r="E282" s="7">
        <v>0</v>
      </c>
      <c r="F282" s="80">
        <v>8737060</v>
      </c>
      <c r="G282" s="80">
        <v>240</v>
      </c>
      <c r="H282" s="15">
        <v>45256</v>
      </c>
      <c r="I282" s="15">
        <v>45214</v>
      </c>
      <c r="J282" s="15">
        <f>+I282+275</f>
        <v>45489</v>
      </c>
      <c r="K282" s="80">
        <v>80</v>
      </c>
      <c r="L282" s="93" t="s">
        <v>1646</v>
      </c>
      <c r="M282" s="13">
        <f t="shared" si="76"/>
        <v>19200</v>
      </c>
      <c r="N282" s="13">
        <f t="shared" si="77"/>
        <v>19200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>
        <f t="shared" si="79"/>
        <v>19200</v>
      </c>
      <c r="CK282" s="9"/>
    </row>
    <row r="283" spans="1:89" hidden="1" x14ac:dyDescent="0.25">
      <c r="A283" s="17">
        <v>5230831</v>
      </c>
      <c r="B283" s="17" t="s">
        <v>35</v>
      </c>
      <c r="C283" s="80" t="s">
        <v>1645</v>
      </c>
      <c r="D283" s="13"/>
      <c r="E283" s="7">
        <v>0</v>
      </c>
      <c r="F283" s="80">
        <v>8737060</v>
      </c>
      <c r="G283" s="80">
        <v>240</v>
      </c>
      <c r="H283" s="15">
        <v>45256</v>
      </c>
      <c r="I283" s="15">
        <v>45214</v>
      </c>
      <c r="J283" s="15">
        <f>+I283+275</f>
        <v>45489</v>
      </c>
      <c r="K283" s="80">
        <v>80</v>
      </c>
      <c r="L283" s="93" t="s">
        <v>1646</v>
      </c>
      <c r="M283" s="13">
        <f t="shared" si="76"/>
        <v>19200</v>
      </c>
      <c r="N283" s="13">
        <f t="shared" si="77"/>
        <v>19200</v>
      </c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>
        <f t="shared" si="79"/>
        <v>19200</v>
      </c>
      <c r="CK283" s="9"/>
    </row>
    <row r="284" spans="1:89" hidden="1" x14ac:dyDescent="0.25">
      <c r="A284" s="17">
        <v>5230831</v>
      </c>
      <c r="B284" s="17" t="s">
        <v>35</v>
      </c>
      <c r="C284" s="80" t="s">
        <v>1645</v>
      </c>
      <c r="D284" s="13"/>
      <c r="E284" s="7">
        <v>0</v>
      </c>
      <c r="F284" s="80">
        <v>8737060</v>
      </c>
      <c r="G284" s="80">
        <v>240</v>
      </c>
      <c r="H284" s="15">
        <v>45256</v>
      </c>
      <c r="I284" s="15">
        <v>45214</v>
      </c>
      <c r="J284" s="15">
        <f>+I284+275</f>
        <v>45489</v>
      </c>
      <c r="K284" s="80">
        <v>80</v>
      </c>
      <c r="L284" s="93" t="s">
        <v>1646</v>
      </c>
      <c r="M284" s="13">
        <f t="shared" si="76"/>
        <v>19200</v>
      </c>
      <c r="N284" s="13">
        <f t="shared" si="77"/>
        <v>19200</v>
      </c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>
        <f t="shared" si="79"/>
        <v>19200</v>
      </c>
      <c r="CK284" s="9"/>
    </row>
    <row r="285" spans="1:89" hidden="1" x14ac:dyDescent="0.25">
      <c r="A285" s="17">
        <v>5205449</v>
      </c>
      <c r="B285" s="17" t="s">
        <v>39</v>
      </c>
      <c r="C285" s="80" t="s">
        <v>1649</v>
      </c>
      <c r="D285" s="13"/>
      <c r="E285" s="7">
        <v>0</v>
      </c>
      <c r="F285" s="80">
        <v>8562277</v>
      </c>
      <c r="G285" s="80">
        <v>25</v>
      </c>
      <c r="H285" s="15">
        <v>45256</v>
      </c>
      <c r="I285" s="46">
        <v>45200</v>
      </c>
      <c r="J285" s="15">
        <v>45931</v>
      </c>
      <c r="K285" s="80">
        <v>360</v>
      </c>
      <c r="L285" s="80">
        <v>1230467962</v>
      </c>
      <c r="M285" s="13">
        <f t="shared" si="76"/>
        <v>9000</v>
      </c>
      <c r="N285" s="13">
        <f t="shared" si="77"/>
        <v>9000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>
        <v>9000</v>
      </c>
      <c r="CH285" s="13"/>
      <c r="CI285" s="13"/>
      <c r="CJ285" s="13">
        <f t="shared" si="79"/>
        <v>0</v>
      </c>
      <c r="CK285" s="9"/>
    </row>
    <row r="286" spans="1:89" hidden="1" x14ac:dyDescent="0.25">
      <c r="A286" s="17">
        <v>5205449</v>
      </c>
      <c r="B286" s="17" t="s">
        <v>39</v>
      </c>
      <c r="C286" s="80" t="s">
        <v>1649</v>
      </c>
      <c r="D286" s="13"/>
      <c r="E286" s="7">
        <v>0</v>
      </c>
      <c r="F286" s="80">
        <v>8562277</v>
      </c>
      <c r="G286" s="80">
        <v>25</v>
      </c>
      <c r="H286" s="15">
        <v>45256</v>
      </c>
      <c r="I286" s="46">
        <v>45200</v>
      </c>
      <c r="J286" s="15">
        <v>45931</v>
      </c>
      <c r="K286" s="80">
        <v>720</v>
      </c>
      <c r="L286" s="50">
        <v>1230468372</v>
      </c>
      <c r="M286" s="13">
        <f t="shared" si="76"/>
        <v>18000</v>
      </c>
      <c r="N286" s="13">
        <f t="shared" si="77"/>
        <v>18000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>
        <v>18000</v>
      </c>
      <c r="CH286" s="13"/>
      <c r="CI286" s="13"/>
      <c r="CJ286" s="13">
        <f t="shared" si="79"/>
        <v>0</v>
      </c>
      <c r="CK286" s="9"/>
    </row>
    <row r="287" spans="1:89" hidden="1" x14ac:dyDescent="0.25">
      <c r="A287" s="17">
        <v>5212252</v>
      </c>
      <c r="B287" s="17" t="s">
        <v>23</v>
      </c>
      <c r="C287" s="80" t="s">
        <v>1651</v>
      </c>
      <c r="D287" s="13"/>
      <c r="E287" s="7">
        <v>0</v>
      </c>
      <c r="F287" s="80">
        <v>8825078</v>
      </c>
      <c r="G287" s="80">
        <v>25</v>
      </c>
      <c r="H287" s="15">
        <v>45256</v>
      </c>
      <c r="I287" s="15">
        <v>45216</v>
      </c>
      <c r="J287" s="15">
        <v>45947</v>
      </c>
      <c r="K287" s="80">
        <v>1040</v>
      </c>
      <c r="L287" s="80" t="s">
        <v>1604</v>
      </c>
      <c r="M287" s="13">
        <f t="shared" si="76"/>
        <v>26000</v>
      </c>
      <c r="N287" s="13">
        <f t="shared" si="77"/>
        <v>26000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>
        <f t="shared" si="79"/>
        <v>26000</v>
      </c>
      <c r="CK287" s="9"/>
    </row>
    <row r="288" spans="1:89" hidden="1" x14ac:dyDescent="0.25">
      <c r="A288" s="17">
        <v>5212252</v>
      </c>
      <c r="B288" s="17" t="s">
        <v>23</v>
      </c>
      <c r="C288" s="80" t="s">
        <v>1651</v>
      </c>
      <c r="D288" s="13"/>
      <c r="E288" s="7">
        <v>0</v>
      </c>
      <c r="F288" s="80">
        <v>8825078</v>
      </c>
      <c r="G288" s="80">
        <v>25</v>
      </c>
      <c r="H288" s="15">
        <v>45256</v>
      </c>
      <c r="I288" s="15">
        <v>45217</v>
      </c>
      <c r="J288" s="15">
        <v>45948</v>
      </c>
      <c r="K288" s="80">
        <v>960</v>
      </c>
      <c r="L288" s="67" t="s">
        <v>1638</v>
      </c>
      <c r="M288" s="13">
        <f t="shared" si="76"/>
        <v>24000</v>
      </c>
      <c r="N288" s="13">
        <f t="shared" si="77"/>
        <v>24000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>
        <f t="shared" si="79"/>
        <v>24000</v>
      </c>
      <c r="CK288" s="9"/>
    </row>
    <row r="289" spans="1:89" hidden="1" x14ac:dyDescent="0.25">
      <c r="A289" s="17">
        <v>5212252</v>
      </c>
      <c r="B289" s="17" t="s">
        <v>23</v>
      </c>
      <c r="C289" s="80" t="s">
        <v>1651</v>
      </c>
      <c r="D289" s="13"/>
      <c r="E289" s="7">
        <v>0</v>
      </c>
      <c r="F289" s="80">
        <v>8825078</v>
      </c>
      <c r="G289" s="80">
        <v>25</v>
      </c>
      <c r="H289" s="15">
        <v>45256</v>
      </c>
      <c r="I289" s="15">
        <v>45216</v>
      </c>
      <c r="J289" s="15">
        <v>45947</v>
      </c>
      <c r="K289" s="80">
        <v>80</v>
      </c>
      <c r="L289" s="67" t="s">
        <v>1604</v>
      </c>
      <c r="M289" s="13">
        <f t="shared" si="76"/>
        <v>2000</v>
      </c>
      <c r="N289" s="13">
        <f t="shared" si="77"/>
        <v>2000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>
        <f t="shared" si="79"/>
        <v>2000</v>
      </c>
      <c r="CK289" s="9"/>
    </row>
    <row r="290" spans="1:89" hidden="1" x14ac:dyDescent="0.25">
      <c r="A290" s="17">
        <v>5205449</v>
      </c>
      <c r="B290" s="17" t="s">
        <v>39</v>
      </c>
      <c r="C290" s="80" t="s">
        <v>1649</v>
      </c>
      <c r="D290" s="13"/>
      <c r="E290" s="7">
        <v>0</v>
      </c>
      <c r="F290" s="80">
        <v>8562277</v>
      </c>
      <c r="G290" s="80">
        <v>25</v>
      </c>
      <c r="H290" s="15">
        <v>45256</v>
      </c>
      <c r="I290" s="46">
        <v>45200</v>
      </c>
      <c r="J290" s="15">
        <v>45931</v>
      </c>
      <c r="K290" s="80">
        <v>1080</v>
      </c>
      <c r="L290" s="80">
        <v>1230469262</v>
      </c>
      <c r="M290" s="13">
        <f t="shared" si="76"/>
        <v>27000</v>
      </c>
      <c r="N290" s="13">
        <f t="shared" si="77"/>
        <v>27000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>
        <v>5375</v>
      </c>
      <c r="CH290" s="13"/>
      <c r="CI290" s="13"/>
      <c r="CJ290" s="13">
        <f t="shared" si="79"/>
        <v>21625</v>
      </c>
      <c r="CK290" s="9"/>
    </row>
    <row r="291" spans="1:89" hidden="1" x14ac:dyDescent="0.25">
      <c r="A291" s="17">
        <v>5211014</v>
      </c>
      <c r="B291" s="17" t="s">
        <v>38</v>
      </c>
      <c r="C291" s="80" t="s">
        <v>1669</v>
      </c>
      <c r="D291" s="13"/>
      <c r="E291" s="7">
        <v>0</v>
      </c>
      <c r="F291" s="80">
        <v>8659310</v>
      </c>
      <c r="G291" s="80">
        <v>25</v>
      </c>
      <c r="H291" s="15">
        <v>45259</v>
      </c>
      <c r="I291" s="46">
        <v>45220</v>
      </c>
      <c r="J291" s="15">
        <v>45951</v>
      </c>
      <c r="K291" s="80">
        <v>1040</v>
      </c>
      <c r="L291" s="108" t="s">
        <v>1670</v>
      </c>
      <c r="M291" s="13">
        <f t="shared" si="76"/>
        <v>26000</v>
      </c>
      <c r="N291" s="13">
        <f t="shared" si="77"/>
        <v>26000</v>
      </c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>
        <f t="shared" si="79"/>
        <v>26000</v>
      </c>
      <c r="CK291" s="9"/>
    </row>
    <row r="292" spans="1:89" hidden="1" x14ac:dyDescent="0.25">
      <c r="A292" s="17">
        <v>5211014</v>
      </c>
      <c r="B292" s="17" t="s">
        <v>38</v>
      </c>
      <c r="C292" s="80" t="s">
        <v>1673</v>
      </c>
      <c r="D292" s="13"/>
      <c r="E292" s="7">
        <v>0</v>
      </c>
      <c r="F292" s="80">
        <v>8822212</v>
      </c>
      <c r="G292" s="80">
        <v>25</v>
      </c>
      <c r="H292" s="15">
        <v>45259</v>
      </c>
      <c r="I292" s="46">
        <v>45216</v>
      </c>
      <c r="J292" s="15">
        <f t="shared" ref="J292:J293" si="81">+I292+365+365</f>
        <v>45946</v>
      </c>
      <c r="K292" s="80">
        <v>492</v>
      </c>
      <c r="L292" s="108" t="s">
        <v>1621</v>
      </c>
      <c r="M292" s="13">
        <f t="shared" si="76"/>
        <v>12300</v>
      </c>
      <c r="N292" s="13">
        <f t="shared" si="77"/>
        <v>12300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>
        <v>6000</v>
      </c>
      <c r="CA292" s="13"/>
      <c r="CB292" s="13"/>
      <c r="CC292" s="13"/>
      <c r="CD292" s="13"/>
      <c r="CE292" s="13"/>
      <c r="CF292" s="13"/>
      <c r="CG292" s="13">
        <v>1000</v>
      </c>
      <c r="CH292" s="13"/>
      <c r="CI292" s="13"/>
      <c r="CJ292" s="13">
        <f t="shared" si="79"/>
        <v>5300</v>
      </c>
      <c r="CK292" s="9"/>
    </row>
    <row r="293" spans="1:89" hidden="1" x14ac:dyDescent="0.25">
      <c r="A293" s="17">
        <v>5211014</v>
      </c>
      <c r="B293" s="17" t="s">
        <v>38</v>
      </c>
      <c r="C293" s="80" t="s">
        <v>1673</v>
      </c>
      <c r="D293" s="13"/>
      <c r="E293" s="7">
        <v>0</v>
      </c>
      <c r="F293" s="80">
        <v>8822212</v>
      </c>
      <c r="G293" s="80">
        <v>25</v>
      </c>
      <c r="H293" s="15">
        <v>45259</v>
      </c>
      <c r="I293" s="46">
        <v>45217</v>
      </c>
      <c r="J293" s="15">
        <f t="shared" si="81"/>
        <v>45947</v>
      </c>
      <c r="K293" s="80">
        <v>548</v>
      </c>
      <c r="L293" s="111" t="s">
        <v>1674</v>
      </c>
      <c r="M293" s="13">
        <f t="shared" si="76"/>
        <v>13700</v>
      </c>
      <c r="N293" s="13">
        <f t="shared" si="77"/>
        <v>13700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>
        <f t="shared" si="79"/>
        <v>13700</v>
      </c>
      <c r="CK293" s="9"/>
    </row>
    <row r="294" spans="1:89" hidden="1" x14ac:dyDescent="0.25">
      <c r="A294" s="17">
        <v>5212256</v>
      </c>
      <c r="B294" s="17" t="s">
        <v>22</v>
      </c>
      <c r="C294" s="80" t="s">
        <v>1689</v>
      </c>
      <c r="D294" s="13"/>
      <c r="E294" s="7">
        <v>0</v>
      </c>
      <c r="F294" s="80">
        <v>8833204</v>
      </c>
      <c r="G294" s="80">
        <v>25</v>
      </c>
      <c r="H294" s="59">
        <v>45262</v>
      </c>
      <c r="I294" s="15">
        <v>45205</v>
      </c>
      <c r="J294" s="15">
        <v>45936</v>
      </c>
      <c r="K294" s="80">
        <v>954</v>
      </c>
      <c r="L294" s="50" t="s">
        <v>1690</v>
      </c>
      <c r="M294" s="13">
        <f t="shared" si="76"/>
        <v>23850</v>
      </c>
      <c r="N294" s="13">
        <f t="shared" si="77"/>
        <v>23850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>
        <v>17850</v>
      </c>
      <c r="CA294" s="13"/>
      <c r="CB294" s="13"/>
      <c r="CC294" s="13"/>
      <c r="CD294" s="13"/>
      <c r="CE294" s="13"/>
      <c r="CF294" s="13"/>
      <c r="CG294" s="13"/>
      <c r="CH294" s="13">
        <v>3775</v>
      </c>
      <c r="CI294" s="13"/>
      <c r="CJ294" s="13">
        <f t="shared" si="79"/>
        <v>2225</v>
      </c>
      <c r="CK294" s="9"/>
    </row>
    <row r="295" spans="1:89" hidden="1" x14ac:dyDescent="0.25">
      <c r="A295" s="17">
        <v>5212256</v>
      </c>
      <c r="B295" s="17" t="s">
        <v>22</v>
      </c>
      <c r="C295" s="80" t="s">
        <v>1689</v>
      </c>
      <c r="D295" s="13"/>
      <c r="E295" s="7">
        <v>0</v>
      </c>
      <c r="F295" s="80">
        <v>8833204</v>
      </c>
      <c r="G295" s="80">
        <v>25</v>
      </c>
      <c r="H295" s="59">
        <v>45262</v>
      </c>
      <c r="I295" s="15">
        <v>45184</v>
      </c>
      <c r="J295" s="15">
        <v>45915</v>
      </c>
      <c r="K295" s="80">
        <v>86</v>
      </c>
      <c r="L295" s="50" t="s">
        <v>1600</v>
      </c>
      <c r="M295" s="13">
        <f t="shared" si="76"/>
        <v>2150</v>
      </c>
      <c r="N295" s="13">
        <f t="shared" si="77"/>
        <v>2150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>
        <v>2150</v>
      </c>
      <c r="CA295" s="13"/>
      <c r="CB295" s="13"/>
      <c r="CC295" s="13"/>
      <c r="CD295" s="13"/>
      <c r="CE295" s="13"/>
      <c r="CF295" s="13"/>
      <c r="CG295" s="13"/>
      <c r="CH295" s="13"/>
      <c r="CI295" s="13"/>
      <c r="CJ295" s="13">
        <f t="shared" si="79"/>
        <v>0</v>
      </c>
      <c r="CK295" s="9"/>
    </row>
    <row r="296" spans="1:89" hidden="1" x14ac:dyDescent="0.25">
      <c r="A296" s="17">
        <v>5212256</v>
      </c>
      <c r="B296" s="17" t="s">
        <v>22</v>
      </c>
      <c r="C296" s="80" t="s">
        <v>1722</v>
      </c>
      <c r="D296" s="13"/>
      <c r="E296" s="7">
        <v>0</v>
      </c>
      <c r="F296" s="80">
        <v>8846571</v>
      </c>
      <c r="G296" s="80">
        <v>25</v>
      </c>
      <c r="H296" s="59">
        <v>45266</v>
      </c>
      <c r="I296" s="59">
        <v>45208</v>
      </c>
      <c r="J296" s="15">
        <f>+I296+365+365</f>
        <v>45938</v>
      </c>
      <c r="K296" s="80">
        <v>649</v>
      </c>
      <c r="L296" s="112" t="s">
        <v>1723</v>
      </c>
      <c r="M296" s="13">
        <f t="shared" si="76"/>
        <v>16225</v>
      </c>
      <c r="N296" s="13">
        <f t="shared" si="77"/>
        <v>16225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>
        <v>16225</v>
      </c>
      <c r="CI296" s="13"/>
      <c r="CJ296" s="13">
        <f t="shared" si="79"/>
        <v>0</v>
      </c>
      <c r="CK296" s="9"/>
    </row>
    <row r="297" spans="1:89" hidden="1" x14ac:dyDescent="0.25">
      <c r="A297" s="17">
        <v>5212256</v>
      </c>
      <c r="B297" s="17" t="s">
        <v>22</v>
      </c>
      <c r="C297" s="80" t="s">
        <v>1722</v>
      </c>
      <c r="D297" s="13"/>
      <c r="E297" s="7">
        <v>0</v>
      </c>
      <c r="F297" s="80">
        <v>8846571</v>
      </c>
      <c r="G297" s="80">
        <v>25</v>
      </c>
      <c r="H297" s="59">
        <v>45266</v>
      </c>
      <c r="I297" s="59">
        <v>45210</v>
      </c>
      <c r="J297" s="15">
        <f>+I297+365+365</f>
        <v>45940</v>
      </c>
      <c r="K297" s="80">
        <v>391</v>
      </c>
      <c r="L297" s="112" t="s">
        <v>1724</v>
      </c>
      <c r="M297" s="13">
        <f t="shared" si="76"/>
        <v>9775</v>
      </c>
      <c r="N297" s="13">
        <f t="shared" si="77"/>
        <v>9775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>
        <f t="shared" si="79"/>
        <v>9775</v>
      </c>
      <c r="CK297" s="9"/>
    </row>
    <row r="298" spans="1:89" hidden="1" x14ac:dyDescent="0.25">
      <c r="A298" s="17">
        <v>5212252</v>
      </c>
      <c r="B298" s="17" t="s">
        <v>23</v>
      </c>
      <c r="C298" s="80" t="s">
        <v>1737</v>
      </c>
      <c r="D298" s="13"/>
      <c r="E298" s="7">
        <v>0</v>
      </c>
      <c r="F298" s="80">
        <v>8920548</v>
      </c>
      <c r="G298" s="80">
        <v>25</v>
      </c>
      <c r="H298" s="59">
        <v>45267</v>
      </c>
      <c r="I298" s="59">
        <v>45226</v>
      </c>
      <c r="J298" s="15">
        <v>45957</v>
      </c>
      <c r="K298" s="80">
        <v>1040</v>
      </c>
      <c r="L298" s="50" t="s">
        <v>1738</v>
      </c>
      <c r="M298" s="13">
        <f t="shared" si="76"/>
        <v>26000</v>
      </c>
      <c r="N298" s="13">
        <f t="shared" si="77"/>
        <v>26000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>
        <f t="shared" si="79"/>
        <v>26000</v>
      </c>
      <c r="CK298" s="9"/>
    </row>
    <row r="299" spans="1:89" hidden="1" x14ac:dyDescent="0.25">
      <c r="A299" s="17">
        <v>5212252</v>
      </c>
      <c r="B299" s="17" t="s">
        <v>23</v>
      </c>
      <c r="C299" s="80" t="s">
        <v>1737</v>
      </c>
      <c r="D299" s="13"/>
      <c r="E299" s="7">
        <v>0</v>
      </c>
      <c r="F299" s="80">
        <v>8920548</v>
      </c>
      <c r="G299" s="80">
        <v>25</v>
      </c>
      <c r="H299" s="59">
        <v>45267</v>
      </c>
      <c r="I299" s="59">
        <v>45226</v>
      </c>
      <c r="J299" s="15">
        <v>45957</v>
      </c>
      <c r="K299" s="80">
        <v>86</v>
      </c>
      <c r="L299" s="50" t="s">
        <v>1738</v>
      </c>
      <c r="M299" s="13">
        <f t="shared" si="76"/>
        <v>2150</v>
      </c>
      <c r="N299" s="13">
        <f t="shared" si="77"/>
        <v>2150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>
        <f t="shared" si="79"/>
        <v>2150</v>
      </c>
      <c r="CK299" s="9"/>
    </row>
    <row r="300" spans="1:89" hidden="1" x14ac:dyDescent="0.25">
      <c r="A300" s="17">
        <v>5212252</v>
      </c>
      <c r="B300" s="17" t="s">
        <v>23</v>
      </c>
      <c r="C300" s="80" t="s">
        <v>1737</v>
      </c>
      <c r="D300" s="13"/>
      <c r="E300" s="7">
        <v>0</v>
      </c>
      <c r="F300" s="80">
        <v>8920548</v>
      </c>
      <c r="G300" s="80">
        <v>25</v>
      </c>
      <c r="H300" s="59">
        <v>45267</v>
      </c>
      <c r="I300" s="59">
        <v>45225</v>
      </c>
      <c r="J300" s="15">
        <v>45956</v>
      </c>
      <c r="K300" s="80">
        <v>954</v>
      </c>
      <c r="L300" s="50" t="s">
        <v>1739</v>
      </c>
      <c r="M300" s="13">
        <f t="shared" si="76"/>
        <v>23850</v>
      </c>
      <c r="N300" s="13">
        <f t="shared" si="77"/>
        <v>23850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>
        <f t="shared" si="79"/>
        <v>23850</v>
      </c>
      <c r="CK300" s="9"/>
    </row>
    <row r="301" spans="1:89" hidden="1" x14ac:dyDescent="0.25">
      <c r="A301" s="17">
        <v>5212252</v>
      </c>
      <c r="B301" s="17" t="s">
        <v>23</v>
      </c>
      <c r="C301" s="80" t="s">
        <v>1740</v>
      </c>
      <c r="D301" s="13"/>
      <c r="E301" s="7">
        <v>0</v>
      </c>
      <c r="F301" s="80">
        <v>8846053</v>
      </c>
      <c r="G301" s="80">
        <v>25</v>
      </c>
      <c r="H301" s="59">
        <v>45267</v>
      </c>
      <c r="I301" s="59">
        <v>45218</v>
      </c>
      <c r="J301" s="15">
        <v>45949</v>
      </c>
      <c r="K301" s="80">
        <v>87</v>
      </c>
      <c r="L301" s="50" t="s">
        <v>1634</v>
      </c>
      <c r="M301" s="13">
        <f t="shared" si="76"/>
        <v>2175</v>
      </c>
      <c r="N301" s="13">
        <f t="shared" si="77"/>
        <v>2175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>
        <f t="shared" si="79"/>
        <v>2175</v>
      </c>
      <c r="CK301" s="9"/>
    </row>
    <row r="302" spans="1:89" hidden="1" x14ac:dyDescent="0.25">
      <c r="A302" s="17">
        <v>5212252</v>
      </c>
      <c r="B302" s="17" t="s">
        <v>23</v>
      </c>
      <c r="C302" s="80" t="s">
        <v>1740</v>
      </c>
      <c r="D302" s="13"/>
      <c r="E302" s="7">
        <v>0</v>
      </c>
      <c r="F302" s="80">
        <v>8846053</v>
      </c>
      <c r="G302" s="80">
        <v>25</v>
      </c>
      <c r="H302" s="59">
        <v>45267</v>
      </c>
      <c r="I302" s="59">
        <v>45219</v>
      </c>
      <c r="J302" s="15">
        <v>45950</v>
      </c>
      <c r="K302" s="80">
        <v>886</v>
      </c>
      <c r="L302" s="50" t="s">
        <v>1639</v>
      </c>
      <c r="M302" s="13">
        <f t="shared" si="76"/>
        <v>22150</v>
      </c>
      <c r="N302" s="13">
        <f t="shared" si="77"/>
        <v>22150</v>
      </c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>
        <f t="shared" si="79"/>
        <v>22150</v>
      </c>
      <c r="CK302" s="9"/>
    </row>
    <row r="303" spans="1:89" hidden="1" x14ac:dyDescent="0.25">
      <c r="A303" s="17">
        <v>5212252</v>
      </c>
      <c r="B303" s="17" t="s">
        <v>23</v>
      </c>
      <c r="C303" s="80" t="s">
        <v>1740</v>
      </c>
      <c r="D303" s="13"/>
      <c r="E303" s="7">
        <v>0</v>
      </c>
      <c r="F303" s="80">
        <v>8846053</v>
      </c>
      <c r="G303" s="80">
        <v>25</v>
      </c>
      <c r="H303" s="59">
        <v>45267</v>
      </c>
      <c r="I303" s="59">
        <v>45220</v>
      </c>
      <c r="J303" s="15">
        <v>45951</v>
      </c>
      <c r="K303" s="80">
        <v>67</v>
      </c>
      <c r="L303" s="50" t="s">
        <v>1742</v>
      </c>
      <c r="M303" s="13">
        <f t="shared" si="76"/>
        <v>1675</v>
      </c>
      <c r="N303" s="13">
        <f t="shared" si="77"/>
        <v>1675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>
        <f t="shared" si="79"/>
        <v>1675</v>
      </c>
      <c r="CK303" s="9"/>
    </row>
    <row r="304" spans="1:89" hidden="1" x14ac:dyDescent="0.25">
      <c r="A304" s="17">
        <v>5212252</v>
      </c>
      <c r="B304" s="17" t="s">
        <v>23</v>
      </c>
      <c r="C304" s="80" t="s">
        <v>1740</v>
      </c>
      <c r="D304" s="13"/>
      <c r="E304" s="7">
        <v>0</v>
      </c>
      <c r="F304" s="80">
        <v>8846053</v>
      </c>
      <c r="G304" s="80">
        <v>25</v>
      </c>
      <c r="H304" s="59">
        <v>45267</v>
      </c>
      <c r="I304" s="59">
        <v>45220</v>
      </c>
      <c r="J304" s="15">
        <v>45951</v>
      </c>
      <c r="K304" s="80">
        <v>1040</v>
      </c>
      <c r="L304" s="50" t="s">
        <v>1742</v>
      </c>
      <c r="M304" s="13">
        <f t="shared" si="76"/>
        <v>26000</v>
      </c>
      <c r="N304" s="13">
        <f t="shared" si="77"/>
        <v>26000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>
        <f t="shared" si="79"/>
        <v>26000</v>
      </c>
      <c r="CK304" s="9"/>
    </row>
    <row r="305" spans="1:89" hidden="1" x14ac:dyDescent="0.25">
      <c r="A305" s="17">
        <v>5212256</v>
      </c>
      <c r="B305" s="17" t="s">
        <v>22</v>
      </c>
      <c r="C305" s="80" t="s">
        <v>1744</v>
      </c>
      <c r="D305" s="13"/>
      <c r="E305" s="7">
        <v>0</v>
      </c>
      <c r="F305" s="80">
        <v>8918964</v>
      </c>
      <c r="G305" s="80">
        <v>25</v>
      </c>
      <c r="H305" s="59">
        <v>45267</v>
      </c>
      <c r="I305" s="59">
        <v>45234</v>
      </c>
      <c r="J305" s="15">
        <f>+I305+365+365</f>
        <v>45964</v>
      </c>
      <c r="K305" s="80">
        <v>1040</v>
      </c>
      <c r="L305" s="113" t="s">
        <v>1745</v>
      </c>
      <c r="M305" s="13">
        <f t="shared" si="76"/>
        <v>26000</v>
      </c>
      <c r="N305" s="13">
        <f t="shared" si="77"/>
        <v>26000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>
        <f t="shared" si="79"/>
        <v>26000</v>
      </c>
      <c r="CK305" s="9"/>
    </row>
    <row r="306" spans="1:89" hidden="1" x14ac:dyDescent="0.25">
      <c r="A306" s="17">
        <v>5212252</v>
      </c>
      <c r="B306" s="17" t="s">
        <v>23</v>
      </c>
      <c r="C306" s="80" t="s">
        <v>1757</v>
      </c>
      <c r="D306" s="13"/>
      <c r="E306" s="7">
        <v>0</v>
      </c>
      <c r="F306" s="80">
        <v>8918466</v>
      </c>
      <c r="G306" s="80">
        <v>25</v>
      </c>
      <c r="H306" s="59">
        <v>45268</v>
      </c>
      <c r="I306" s="59">
        <v>45222</v>
      </c>
      <c r="J306" s="15">
        <v>45953</v>
      </c>
      <c r="K306" s="80">
        <v>803</v>
      </c>
      <c r="L306" s="90" t="s">
        <v>1758</v>
      </c>
      <c r="M306" s="13">
        <f t="shared" si="76"/>
        <v>20075</v>
      </c>
      <c r="N306" s="13">
        <f t="shared" si="77"/>
        <v>20075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>
        <f t="shared" si="79"/>
        <v>20075</v>
      </c>
      <c r="CK306" s="9"/>
    </row>
    <row r="307" spans="1:89" hidden="1" x14ac:dyDescent="0.25">
      <c r="A307" s="17">
        <v>5212252</v>
      </c>
      <c r="B307" s="17" t="s">
        <v>23</v>
      </c>
      <c r="C307" s="80" t="s">
        <v>1757</v>
      </c>
      <c r="D307" s="13"/>
      <c r="E307" s="7">
        <v>0</v>
      </c>
      <c r="F307" s="80">
        <v>8918466</v>
      </c>
      <c r="G307" s="80">
        <v>25</v>
      </c>
      <c r="H307" s="59">
        <v>45268</v>
      </c>
      <c r="I307" s="59">
        <v>45223</v>
      </c>
      <c r="J307" s="15">
        <v>45954</v>
      </c>
      <c r="K307" s="80">
        <v>237</v>
      </c>
      <c r="L307" s="90" t="s">
        <v>1759</v>
      </c>
      <c r="M307" s="13">
        <f t="shared" si="76"/>
        <v>5925</v>
      </c>
      <c r="N307" s="13">
        <f t="shared" si="77"/>
        <v>5925</v>
      </c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>
        <f t="shared" si="79"/>
        <v>5925</v>
      </c>
      <c r="CK307" s="9"/>
    </row>
    <row r="308" spans="1:89" hidden="1" x14ac:dyDescent="0.25">
      <c r="A308" s="17">
        <v>5211013</v>
      </c>
      <c r="B308" s="17" t="s">
        <v>27</v>
      </c>
      <c r="C308" s="80" t="s">
        <v>1761</v>
      </c>
      <c r="D308" s="13"/>
      <c r="E308" s="7">
        <v>0</v>
      </c>
      <c r="F308" s="80">
        <v>8846574</v>
      </c>
      <c r="G308" s="80">
        <v>25</v>
      </c>
      <c r="H308" s="59">
        <v>45268</v>
      </c>
      <c r="I308" s="59">
        <v>45204</v>
      </c>
      <c r="J308" s="15">
        <v>45935</v>
      </c>
      <c r="K308" s="80">
        <v>1040</v>
      </c>
      <c r="L308" s="50" t="s">
        <v>1762</v>
      </c>
      <c r="M308" s="13">
        <f t="shared" si="76"/>
        <v>26000</v>
      </c>
      <c r="N308" s="13">
        <f t="shared" si="77"/>
        <v>26000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>
        <f t="shared" si="79"/>
        <v>26000</v>
      </c>
      <c r="CK308" s="9"/>
    </row>
    <row r="309" spans="1:89" hidden="1" x14ac:dyDescent="0.25">
      <c r="A309" s="84">
        <v>5212252</v>
      </c>
      <c r="B309" s="84" t="s">
        <v>23</v>
      </c>
      <c r="C309" s="83" t="s">
        <v>1757</v>
      </c>
      <c r="D309" s="82"/>
      <c r="E309" s="118">
        <v>0</v>
      </c>
      <c r="F309" s="83">
        <v>8918466</v>
      </c>
      <c r="G309" s="83">
        <v>25</v>
      </c>
      <c r="H309" s="119">
        <v>45268</v>
      </c>
      <c r="I309" s="119">
        <v>45223</v>
      </c>
      <c r="J309" s="120">
        <v>45954</v>
      </c>
      <c r="K309" s="83">
        <v>1040</v>
      </c>
      <c r="L309" s="122" t="s">
        <v>1759</v>
      </c>
      <c r="M309" s="82">
        <f t="shared" si="76"/>
        <v>26000</v>
      </c>
      <c r="N309" s="82">
        <f t="shared" si="77"/>
        <v>26000</v>
      </c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  <c r="AM309" s="82"/>
      <c r="AN309" s="82"/>
      <c r="AO309" s="82"/>
      <c r="AP309" s="82"/>
      <c r="AQ309" s="82"/>
      <c r="AR309" s="82"/>
      <c r="AS309" s="82"/>
      <c r="AT309" s="82"/>
      <c r="AU309" s="82"/>
      <c r="AV309" s="82"/>
      <c r="AW309" s="82"/>
      <c r="AX309" s="82"/>
      <c r="AY309" s="82"/>
      <c r="AZ309" s="82"/>
      <c r="BA309" s="82"/>
      <c r="BB309" s="82"/>
      <c r="BC309" s="82"/>
      <c r="BD309" s="82"/>
      <c r="BE309" s="82"/>
      <c r="BF309" s="82"/>
      <c r="BG309" s="82"/>
      <c r="BH309" s="82"/>
      <c r="BI309" s="82"/>
      <c r="BJ309" s="82"/>
      <c r="BK309" s="82"/>
      <c r="BL309" s="82"/>
      <c r="BM309" s="82"/>
      <c r="BN309" s="82"/>
      <c r="BO309" s="82"/>
      <c r="BP309" s="82"/>
      <c r="BQ309" s="82"/>
      <c r="BR309" s="82"/>
      <c r="BS309" s="82"/>
      <c r="BT309" s="82"/>
      <c r="BU309" s="82"/>
      <c r="BV309" s="82"/>
      <c r="BW309" s="82"/>
      <c r="BX309" s="82"/>
      <c r="BY309" s="82"/>
      <c r="BZ309" s="82"/>
      <c r="CA309" s="82"/>
      <c r="CB309" s="82"/>
      <c r="CC309" s="82"/>
      <c r="CD309" s="82"/>
      <c r="CE309" s="82"/>
      <c r="CF309" s="82"/>
      <c r="CG309" s="82"/>
      <c r="CH309" s="82"/>
      <c r="CI309" s="82"/>
      <c r="CJ309" s="13">
        <f t="shared" si="79"/>
        <v>26000</v>
      </c>
      <c r="CK309" s="121"/>
    </row>
    <row r="310" spans="1:89" hidden="1" x14ac:dyDescent="0.25">
      <c r="A310" s="17">
        <v>5211013</v>
      </c>
      <c r="B310" s="17" t="s">
        <v>27</v>
      </c>
      <c r="C310" s="80" t="s">
        <v>1761</v>
      </c>
      <c r="D310" s="13"/>
      <c r="E310" s="7">
        <v>0</v>
      </c>
      <c r="F310" s="80">
        <v>8846574</v>
      </c>
      <c r="G310" s="80">
        <v>25</v>
      </c>
      <c r="H310" s="59">
        <v>45268</v>
      </c>
      <c r="I310" s="59">
        <v>45204</v>
      </c>
      <c r="J310" s="15">
        <v>45935</v>
      </c>
      <c r="K310" s="80">
        <v>204</v>
      </c>
      <c r="L310" s="50" t="s">
        <v>1762</v>
      </c>
      <c r="M310" s="13">
        <f t="shared" si="76"/>
        <v>5100</v>
      </c>
      <c r="N310" s="13">
        <f t="shared" si="77"/>
        <v>5100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>
        <f t="shared" si="79"/>
        <v>5100</v>
      </c>
      <c r="CK310" s="9"/>
    </row>
    <row r="311" spans="1:89" hidden="1" x14ac:dyDescent="0.25">
      <c r="A311" s="17">
        <v>5211013</v>
      </c>
      <c r="B311" s="17" t="s">
        <v>27</v>
      </c>
      <c r="C311" s="80" t="s">
        <v>1761</v>
      </c>
      <c r="D311" s="13"/>
      <c r="E311" s="7">
        <v>0</v>
      </c>
      <c r="F311" s="80">
        <v>8846574</v>
      </c>
      <c r="G311" s="80">
        <v>25</v>
      </c>
      <c r="H311" s="59">
        <v>45268</v>
      </c>
      <c r="I311" s="59">
        <v>45205</v>
      </c>
      <c r="J311" s="15">
        <v>45936</v>
      </c>
      <c r="K311" s="80">
        <v>453</v>
      </c>
      <c r="L311" s="50" t="s">
        <v>1618</v>
      </c>
      <c r="M311" s="13">
        <f t="shared" si="76"/>
        <v>11325</v>
      </c>
      <c r="N311" s="13">
        <f t="shared" si="77"/>
        <v>11325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>
        <f t="shared" si="79"/>
        <v>11325</v>
      </c>
      <c r="CK311" s="9"/>
    </row>
    <row r="312" spans="1:89" hidden="1" x14ac:dyDescent="0.25">
      <c r="A312" s="17">
        <v>5211013</v>
      </c>
      <c r="B312" s="17" t="s">
        <v>27</v>
      </c>
      <c r="C312" s="80" t="s">
        <v>1761</v>
      </c>
      <c r="D312" s="13"/>
      <c r="E312" s="7">
        <v>0</v>
      </c>
      <c r="F312" s="80">
        <v>8846574</v>
      </c>
      <c r="G312" s="80">
        <v>25</v>
      </c>
      <c r="H312" s="59">
        <v>45268</v>
      </c>
      <c r="I312" s="59">
        <v>45204</v>
      </c>
      <c r="J312" s="15">
        <v>45935</v>
      </c>
      <c r="K312" s="80">
        <v>383</v>
      </c>
      <c r="L312" s="50" t="s">
        <v>1619</v>
      </c>
      <c r="M312" s="13">
        <f t="shared" si="76"/>
        <v>9575</v>
      </c>
      <c r="N312" s="13">
        <f t="shared" si="77"/>
        <v>9575</v>
      </c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>
        <f t="shared" si="79"/>
        <v>9575</v>
      </c>
      <c r="CK312" s="9"/>
    </row>
    <row r="313" spans="1:89" hidden="1" x14ac:dyDescent="0.25">
      <c r="A313" s="17">
        <v>5211014</v>
      </c>
      <c r="B313" s="17" t="s">
        <v>38</v>
      </c>
      <c r="C313" s="80" t="s">
        <v>1766</v>
      </c>
      <c r="D313" s="13"/>
      <c r="E313" s="7">
        <v>0</v>
      </c>
      <c r="F313" s="80">
        <v>9035819</v>
      </c>
      <c r="G313" s="80">
        <v>25</v>
      </c>
      <c r="H313" s="59">
        <v>45268</v>
      </c>
      <c r="I313" s="59">
        <v>45224</v>
      </c>
      <c r="J313" s="15">
        <v>45955</v>
      </c>
      <c r="K313" s="80">
        <v>960</v>
      </c>
      <c r="L313" s="50" t="s">
        <v>1764</v>
      </c>
      <c r="M313" s="13">
        <f t="shared" si="76"/>
        <v>24000</v>
      </c>
      <c r="N313" s="13">
        <f t="shared" si="77"/>
        <v>24000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>
        <f t="shared" si="79"/>
        <v>24000</v>
      </c>
      <c r="CK313" s="9"/>
    </row>
    <row r="314" spans="1:89" hidden="1" x14ac:dyDescent="0.25">
      <c r="A314" s="17">
        <v>5211014</v>
      </c>
      <c r="B314" s="17" t="s">
        <v>38</v>
      </c>
      <c r="C314" s="80" t="s">
        <v>1766</v>
      </c>
      <c r="D314" s="13"/>
      <c r="E314" s="7">
        <v>0</v>
      </c>
      <c r="F314" s="80">
        <v>9035819</v>
      </c>
      <c r="G314" s="80">
        <v>25</v>
      </c>
      <c r="H314" s="59">
        <v>45268</v>
      </c>
      <c r="I314" s="59">
        <v>45219</v>
      </c>
      <c r="J314" s="15">
        <v>45950</v>
      </c>
      <c r="K314" s="80">
        <v>80</v>
      </c>
      <c r="L314" s="50" t="s">
        <v>1765</v>
      </c>
      <c r="M314" s="13">
        <f t="shared" si="76"/>
        <v>2000</v>
      </c>
      <c r="N314" s="13">
        <f t="shared" si="77"/>
        <v>2000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>
        <f t="shared" si="79"/>
        <v>2000</v>
      </c>
      <c r="CK314" s="9"/>
    </row>
    <row r="315" spans="1:89" hidden="1" x14ac:dyDescent="0.25">
      <c r="A315" s="17">
        <v>5212256</v>
      </c>
      <c r="B315" s="17" t="s">
        <v>22</v>
      </c>
      <c r="C315" s="80" t="s">
        <v>1767</v>
      </c>
      <c r="D315" s="13"/>
      <c r="E315" s="7">
        <v>0</v>
      </c>
      <c r="F315" s="80">
        <v>9028887</v>
      </c>
      <c r="G315" s="80">
        <v>25</v>
      </c>
      <c r="H315" s="59">
        <v>45268</v>
      </c>
      <c r="I315" s="59">
        <v>45230</v>
      </c>
      <c r="J315" s="15">
        <v>45961</v>
      </c>
      <c r="K315" s="80">
        <v>1040</v>
      </c>
      <c r="L315" s="50" t="s">
        <v>1768</v>
      </c>
      <c r="M315" s="13">
        <f t="shared" si="76"/>
        <v>26000</v>
      </c>
      <c r="N315" s="13">
        <f t="shared" si="77"/>
        <v>26000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>
        <f t="shared" si="79"/>
        <v>26000</v>
      </c>
      <c r="CK315" s="9"/>
    </row>
    <row r="316" spans="1:89" hidden="1" x14ac:dyDescent="0.25">
      <c r="A316" s="17">
        <v>5212259</v>
      </c>
      <c r="B316" s="17" t="s">
        <v>26</v>
      </c>
      <c r="C316" s="80" t="s">
        <v>1782</v>
      </c>
      <c r="D316" s="13"/>
      <c r="E316" s="7">
        <v>0</v>
      </c>
      <c r="F316" s="80">
        <v>9021780</v>
      </c>
      <c r="G316" s="80">
        <v>25</v>
      </c>
      <c r="H316" s="59">
        <v>45269</v>
      </c>
      <c r="I316" s="59">
        <v>45109</v>
      </c>
      <c r="J316" s="15">
        <v>45840</v>
      </c>
      <c r="K316" s="80">
        <v>290</v>
      </c>
      <c r="L316" s="50" t="s">
        <v>1783</v>
      </c>
      <c r="M316" s="13">
        <f t="shared" si="76"/>
        <v>7250</v>
      </c>
      <c r="N316" s="13">
        <f t="shared" si="77"/>
        <v>7250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>
        <f t="shared" si="79"/>
        <v>7250</v>
      </c>
      <c r="CK316" s="9"/>
    </row>
    <row r="317" spans="1:89" hidden="1" x14ac:dyDescent="0.25">
      <c r="A317" s="17">
        <v>5212259</v>
      </c>
      <c r="B317" s="17" t="s">
        <v>26</v>
      </c>
      <c r="C317" s="80" t="s">
        <v>1782</v>
      </c>
      <c r="D317" s="13"/>
      <c r="E317" s="7">
        <v>0</v>
      </c>
      <c r="F317" s="80">
        <v>9021780</v>
      </c>
      <c r="G317" s="80">
        <v>25</v>
      </c>
      <c r="H317" s="59">
        <v>45269</v>
      </c>
      <c r="I317" s="59">
        <v>45212</v>
      </c>
      <c r="J317" s="15">
        <v>45943</v>
      </c>
      <c r="K317" s="80">
        <v>750</v>
      </c>
      <c r="L317" s="50" t="s">
        <v>1784</v>
      </c>
      <c r="M317" s="13">
        <f t="shared" si="76"/>
        <v>18750</v>
      </c>
      <c r="N317" s="13">
        <f t="shared" si="77"/>
        <v>18750</v>
      </c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>
        <f t="shared" si="79"/>
        <v>18750</v>
      </c>
      <c r="CK317" s="9"/>
    </row>
    <row r="318" spans="1:89" hidden="1" x14ac:dyDescent="0.25">
      <c r="A318" s="17">
        <v>5212252</v>
      </c>
      <c r="B318" s="17" t="s">
        <v>23</v>
      </c>
      <c r="C318" s="80" t="s">
        <v>1785</v>
      </c>
      <c r="D318" s="13"/>
      <c r="E318" s="7">
        <v>0</v>
      </c>
      <c r="F318" s="80">
        <v>8918758</v>
      </c>
      <c r="G318" s="80">
        <v>25</v>
      </c>
      <c r="H318" s="59">
        <v>45269</v>
      </c>
      <c r="I318" s="59">
        <v>45229</v>
      </c>
      <c r="J318" s="15">
        <v>45960</v>
      </c>
      <c r="K318" s="80">
        <v>333</v>
      </c>
      <c r="L318" s="50" t="s">
        <v>1786</v>
      </c>
      <c r="M318" s="13">
        <f t="shared" si="76"/>
        <v>8325</v>
      </c>
      <c r="N318" s="13">
        <f t="shared" si="77"/>
        <v>8325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>
        <f t="shared" si="79"/>
        <v>8325</v>
      </c>
      <c r="CK318" s="9"/>
    </row>
    <row r="319" spans="1:89" hidden="1" x14ac:dyDescent="0.25">
      <c r="A319" s="17">
        <v>5212252</v>
      </c>
      <c r="B319" s="17" t="s">
        <v>23</v>
      </c>
      <c r="C319" s="80" t="s">
        <v>1785</v>
      </c>
      <c r="D319" s="13"/>
      <c r="E319" s="7">
        <v>0</v>
      </c>
      <c r="F319" s="80">
        <v>8918758</v>
      </c>
      <c r="G319" s="80">
        <v>25</v>
      </c>
      <c r="H319" s="59">
        <v>45269</v>
      </c>
      <c r="I319" s="59">
        <v>45226</v>
      </c>
      <c r="J319" s="15">
        <v>45957</v>
      </c>
      <c r="K319" s="80">
        <v>311</v>
      </c>
      <c r="L319" s="50" t="s">
        <v>1738</v>
      </c>
      <c r="M319" s="13">
        <f t="shared" si="76"/>
        <v>7775</v>
      </c>
      <c r="N319" s="13">
        <f t="shared" si="77"/>
        <v>7775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>
        <f t="shared" si="79"/>
        <v>7775</v>
      </c>
      <c r="CK319" s="9"/>
    </row>
    <row r="320" spans="1:89" hidden="1" x14ac:dyDescent="0.25">
      <c r="A320" s="17">
        <v>5212252</v>
      </c>
      <c r="B320" s="17" t="s">
        <v>23</v>
      </c>
      <c r="C320" s="80" t="s">
        <v>1785</v>
      </c>
      <c r="D320" s="13"/>
      <c r="E320" s="7">
        <v>0</v>
      </c>
      <c r="F320" s="80">
        <v>8918758</v>
      </c>
      <c r="G320" s="80">
        <v>25</v>
      </c>
      <c r="H320" s="59">
        <v>45269</v>
      </c>
      <c r="I320" s="59">
        <v>45227</v>
      </c>
      <c r="J320" s="15">
        <v>45958</v>
      </c>
      <c r="K320" s="80">
        <v>396</v>
      </c>
      <c r="L320" s="50" t="s">
        <v>1787</v>
      </c>
      <c r="M320" s="13">
        <f t="shared" si="76"/>
        <v>9900</v>
      </c>
      <c r="N320" s="13">
        <f t="shared" si="77"/>
        <v>9900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>
        <f t="shared" si="79"/>
        <v>9900</v>
      </c>
      <c r="CK320" s="9"/>
    </row>
    <row r="321" spans="1:89" hidden="1" x14ac:dyDescent="0.25">
      <c r="A321" s="17">
        <v>5212252</v>
      </c>
      <c r="B321" s="17" t="s">
        <v>23</v>
      </c>
      <c r="C321" s="80" t="s">
        <v>1788</v>
      </c>
      <c r="D321" s="13"/>
      <c r="E321" s="7">
        <v>0</v>
      </c>
      <c r="F321" s="80">
        <v>9026997</v>
      </c>
      <c r="G321" s="80">
        <v>25</v>
      </c>
      <c r="H321" s="59">
        <v>45269</v>
      </c>
      <c r="I321" s="59">
        <v>45224</v>
      </c>
      <c r="J321" s="15">
        <v>45955</v>
      </c>
      <c r="K321" s="80">
        <v>1040</v>
      </c>
      <c r="L321" s="50" t="s">
        <v>1789</v>
      </c>
      <c r="M321" s="13">
        <f t="shared" si="76"/>
        <v>26000</v>
      </c>
      <c r="N321" s="13">
        <f t="shared" si="77"/>
        <v>26000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>
        <f t="shared" si="79"/>
        <v>26000</v>
      </c>
      <c r="CK321" s="9"/>
    </row>
    <row r="322" spans="1:89" hidden="1" x14ac:dyDescent="0.25">
      <c r="A322" s="17">
        <v>5212252</v>
      </c>
      <c r="B322" s="17" t="s">
        <v>23</v>
      </c>
      <c r="C322" s="80" t="s">
        <v>1788</v>
      </c>
      <c r="D322" s="13"/>
      <c r="E322" s="7">
        <v>0</v>
      </c>
      <c r="F322" s="80">
        <v>9026997</v>
      </c>
      <c r="G322" s="80">
        <v>25</v>
      </c>
      <c r="H322" s="59">
        <v>45269</v>
      </c>
      <c r="I322" s="59">
        <v>45225</v>
      </c>
      <c r="J322" s="15">
        <v>45956</v>
      </c>
      <c r="K322" s="80">
        <v>499</v>
      </c>
      <c r="L322" s="50" t="s">
        <v>1739</v>
      </c>
      <c r="M322" s="13">
        <f t="shared" si="76"/>
        <v>12475</v>
      </c>
      <c r="N322" s="13">
        <f t="shared" si="77"/>
        <v>12475</v>
      </c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>
        <f t="shared" si="79"/>
        <v>12475</v>
      </c>
      <c r="CK322" s="9"/>
    </row>
    <row r="323" spans="1:89" hidden="1" x14ac:dyDescent="0.25">
      <c r="A323" s="17">
        <v>5212252</v>
      </c>
      <c r="B323" s="17" t="s">
        <v>23</v>
      </c>
      <c r="C323" s="80" t="s">
        <v>1788</v>
      </c>
      <c r="D323" s="13"/>
      <c r="E323" s="7">
        <v>0</v>
      </c>
      <c r="F323" s="80">
        <v>9026997</v>
      </c>
      <c r="G323" s="80">
        <v>25</v>
      </c>
      <c r="H323" s="59">
        <v>45269</v>
      </c>
      <c r="I323" s="59">
        <v>45224</v>
      </c>
      <c r="J323" s="15">
        <v>45955</v>
      </c>
      <c r="K323" s="80">
        <v>386</v>
      </c>
      <c r="L323" s="50" t="s">
        <v>1789</v>
      </c>
      <c r="M323" s="13">
        <f t="shared" si="76"/>
        <v>9650</v>
      </c>
      <c r="N323" s="13">
        <f t="shared" si="77"/>
        <v>9650</v>
      </c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>
        <f t="shared" si="79"/>
        <v>9650</v>
      </c>
      <c r="CK323" s="9"/>
    </row>
    <row r="324" spans="1:89" hidden="1" x14ac:dyDescent="0.25">
      <c r="A324" s="17">
        <v>5212252</v>
      </c>
      <c r="B324" s="17" t="s">
        <v>23</v>
      </c>
      <c r="C324" s="80" t="s">
        <v>1788</v>
      </c>
      <c r="D324" s="13"/>
      <c r="E324" s="7">
        <v>0</v>
      </c>
      <c r="F324" s="80">
        <v>9026997</v>
      </c>
      <c r="G324" s="80">
        <v>25</v>
      </c>
      <c r="H324" s="59">
        <v>45269</v>
      </c>
      <c r="I324" s="59">
        <v>45223</v>
      </c>
      <c r="J324" s="15">
        <v>45954</v>
      </c>
      <c r="K324" s="80">
        <v>155</v>
      </c>
      <c r="L324" s="50" t="s">
        <v>1759</v>
      </c>
      <c r="M324" s="13">
        <f t="shared" si="76"/>
        <v>3875</v>
      </c>
      <c r="N324" s="13">
        <f t="shared" si="77"/>
        <v>3875</v>
      </c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>
        <f t="shared" si="79"/>
        <v>3875</v>
      </c>
      <c r="CK324" s="9"/>
    </row>
    <row r="325" spans="1:89" hidden="1" x14ac:dyDescent="0.25">
      <c r="A325" s="17" t="s">
        <v>1607</v>
      </c>
      <c r="B325" s="17" t="s">
        <v>29</v>
      </c>
      <c r="C325" s="80" t="s">
        <v>1793</v>
      </c>
      <c r="D325" s="13"/>
      <c r="E325" s="7">
        <v>0</v>
      </c>
      <c r="F325" s="80">
        <v>9041475</v>
      </c>
      <c r="G325" s="80">
        <v>25</v>
      </c>
      <c r="H325" s="59">
        <v>45269</v>
      </c>
      <c r="I325" s="59">
        <v>45218</v>
      </c>
      <c r="J325" s="15">
        <v>45949</v>
      </c>
      <c r="K325" s="80">
        <v>180</v>
      </c>
      <c r="L325" s="90" t="s">
        <v>1795</v>
      </c>
      <c r="M325" s="13">
        <f t="shared" si="76"/>
        <v>4500</v>
      </c>
      <c r="N325" s="13">
        <f t="shared" si="77"/>
        <v>4500</v>
      </c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>
        <v>4500</v>
      </c>
      <c r="CH325" s="13"/>
      <c r="CI325" s="13"/>
      <c r="CJ325" s="13">
        <f t="shared" si="79"/>
        <v>0</v>
      </c>
      <c r="CK325" s="9"/>
    </row>
    <row r="326" spans="1:89" hidden="1" x14ac:dyDescent="0.25">
      <c r="A326" s="17" t="s">
        <v>1607</v>
      </c>
      <c r="B326" s="17" t="s">
        <v>29</v>
      </c>
      <c r="C326" s="80" t="s">
        <v>1793</v>
      </c>
      <c r="D326" s="13"/>
      <c r="E326" s="7">
        <v>0</v>
      </c>
      <c r="F326" s="80">
        <v>9041475</v>
      </c>
      <c r="G326" s="80">
        <v>25</v>
      </c>
      <c r="H326" s="59">
        <v>45269</v>
      </c>
      <c r="I326" s="59">
        <v>45224</v>
      </c>
      <c r="J326" s="15">
        <v>45955</v>
      </c>
      <c r="K326" s="80">
        <v>860</v>
      </c>
      <c r="L326" s="90" t="s">
        <v>1794</v>
      </c>
      <c r="M326" s="13">
        <f t="shared" si="76"/>
        <v>21500</v>
      </c>
      <c r="N326" s="13">
        <f t="shared" si="77"/>
        <v>21500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>
        <v>500</v>
      </c>
      <c r="CH326" s="13"/>
      <c r="CI326" s="13"/>
      <c r="CJ326" s="13">
        <f t="shared" si="79"/>
        <v>21000</v>
      </c>
      <c r="CK326" s="9"/>
    </row>
    <row r="327" spans="1:89" hidden="1" x14ac:dyDescent="0.25">
      <c r="A327" s="17">
        <v>5212252</v>
      </c>
      <c r="B327" s="17" t="s">
        <v>23</v>
      </c>
      <c r="C327" s="80" t="s">
        <v>1785</v>
      </c>
      <c r="D327" s="13"/>
      <c r="E327" s="7">
        <v>0</v>
      </c>
      <c r="F327" s="80">
        <v>8918758</v>
      </c>
      <c r="G327" s="80">
        <v>25</v>
      </c>
      <c r="H327" s="59">
        <v>45269</v>
      </c>
      <c r="I327" s="59">
        <v>45227</v>
      </c>
      <c r="J327" s="15">
        <v>45958</v>
      </c>
      <c r="K327" s="80">
        <v>1040</v>
      </c>
      <c r="L327" s="90" t="s">
        <v>1787</v>
      </c>
      <c r="M327" s="13">
        <f t="shared" si="76"/>
        <v>26000</v>
      </c>
      <c r="N327" s="13">
        <f t="shared" si="77"/>
        <v>26000</v>
      </c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>
        <f t="shared" ref="CJ327:CJ342" si="82">N327-O327-P327-Q327-R327-S327-T327-U327-V327-W327-X327-Y327-Z327-AA327-AB327-AC327-AD327-AE327-AF327-AG327-AH327-AI327-AJ327-AK327-AL327-AM327-AN327-AO327-AP327-AQ327-AR327-AS327-AT327-AU327-AV327-AW327-AX327-AY327-AZ327-BA327-BB327-BC327-BD327-BE327-BF327-BG327-BH327-BI327-BJ327-BK327-BL327-BM327-BN327-BO327-BP327-BQ327-BR327-BS327-BT327-BU327-BV327-BW327-BX327-BY327-BZ327-CA327-CB327-CC327-CD327-CE327-CF327-CG327-CH327-CI327</f>
        <v>26000</v>
      </c>
      <c r="CK327" s="9"/>
    </row>
    <row r="328" spans="1:89" hidden="1" x14ac:dyDescent="0.25">
      <c r="A328" s="17">
        <v>5212252</v>
      </c>
      <c r="B328" s="17" t="s">
        <v>23</v>
      </c>
      <c r="C328" s="80" t="s">
        <v>1796</v>
      </c>
      <c r="D328" s="13"/>
      <c r="E328" s="7">
        <v>0</v>
      </c>
      <c r="F328" s="80">
        <v>9025225</v>
      </c>
      <c r="G328" s="80">
        <v>25</v>
      </c>
      <c r="H328" s="59">
        <v>45271</v>
      </c>
      <c r="I328" s="59">
        <v>45234</v>
      </c>
      <c r="J328" s="15">
        <v>45965</v>
      </c>
      <c r="K328" s="80">
        <v>1040</v>
      </c>
      <c r="L328" s="90" t="s">
        <v>1797</v>
      </c>
      <c r="M328" s="13">
        <f t="shared" si="76"/>
        <v>26000</v>
      </c>
      <c r="N328" s="13">
        <f t="shared" si="77"/>
        <v>26000</v>
      </c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>
        <f t="shared" si="82"/>
        <v>26000</v>
      </c>
      <c r="CK328" s="9"/>
    </row>
    <row r="329" spans="1:89" hidden="1" x14ac:dyDescent="0.25">
      <c r="A329" s="17">
        <v>5210162</v>
      </c>
      <c r="B329" s="17" t="s">
        <v>24</v>
      </c>
      <c r="C329" s="80" t="s">
        <v>1798</v>
      </c>
      <c r="D329" s="13"/>
      <c r="E329" s="7">
        <v>0</v>
      </c>
      <c r="F329" s="80">
        <v>9022982</v>
      </c>
      <c r="G329" s="80">
        <v>25</v>
      </c>
      <c r="H329" s="59">
        <v>45271</v>
      </c>
      <c r="I329" s="59">
        <v>45072</v>
      </c>
      <c r="J329" s="15">
        <v>45803</v>
      </c>
      <c r="K329" s="80">
        <v>120</v>
      </c>
      <c r="L329" s="90" t="s">
        <v>575</v>
      </c>
      <c r="M329" s="13">
        <f t="shared" si="76"/>
        <v>3000</v>
      </c>
      <c r="N329" s="13">
        <f t="shared" si="77"/>
        <v>3000</v>
      </c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>
        <v>3000</v>
      </c>
      <c r="CJ329" s="13">
        <f t="shared" si="82"/>
        <v>0</v>
      </c>
      <c r="CK329" s="9"/>
    </row>
    <row r="330" spans="1:89" hidden="1" x14ac:dyDescent="0.25">
      <c r="A330" s="17">
        <v>5210162</v>
      </c>
      <c r="B330" s="17" t="s">
        <v>24</v>
      </c>
      <c r="C330" s="80" t="s">
        <v>1798</v>
      </c>
      <c r="D330" s="13"/>
      <c r="E330" s="7">
        <v>0</v>
      </c>
      <c r="F330" s="80">
        <v>9022982</v>
      </c>
      <c r="G330" s="80">
        <v>25</v>
      </c>
      <c r="H330" s="59">
        <v>45271</v>
      </c>
      <c r="I330" s="59">
        <v>45081</v>
      </c>
      <c r="J330" s="15">
        <v>45812</v>
      </c>
      <c r="K330" s="80">
        <v>389</v>
      </c>
      <c r="L330" s="90" t="s">
        <v>770</v>
      </c>
      <c r="M330" s="13">
        <f t="shared" si="76"/>
        <v>9725</v>
      </c>
      <c r="N330" s="13">
        <f t="shared" si="77"/>
        <v>9725</v>
      </c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>
        <v>7000</v>
      </c>
      <c r="CJ330" s="13">
        <f t="shared" si="82"/>
        <v>2725</v>
      </c>
      <c r="CK330" s="9"/>
    </row>
    <row r="331" spans="1:89" x14ac:dyDescent="0.25">
      <c r="A331" s="17">
        <v>5210162</v>
      </c>
      <c r="B331" s="17" t="s">
        <v>24</v>
      </c>
      <c r="C331" s="80" t="s">
        <v>1798</v>
      </c>
      <c r="D331" s="13"/>
      <c r="E331" s="7">
        <v>0</v>
      </c>
      <c r="F331" s="80">
        <v>9022982</v>
      </c>
      <c r="G331" s="80">
        <v>25</v>
      </c>
      <c r="H331" s="59">
        <v>45271</v>
      </c>
      <c r="I331" s="59">
        <v>45078</v>
      </c>
      <c r="J331" s="15">
        <v>45809</v>
      </c>
      <c r="K331" s="80">
        <v>531</v>
      </c>
      <c r="L331" s="90" t="s">
        <v>711</v>
      </c>
      <c r="M331" s="13">
        <f t="shared" si="76"/>
        <v>13275</v>
      </c>
      <c r="N331" s="13">
        <f t="shared" si="77"/>
        <v>13275</v>
      </c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>
        <v>5000</v>
      </c>
      <c r="CJ331" s="13">
        <f t="shared" si="82"/>
        <v>8275</v>
      </c>
      <c r="CK331" s="9"/>
    </row>
    <row r="332" spans="1:89" hidden="1" x14ac:dyDescent="0.25">
      <c r="A332" s="17">
        <v>5212252</v>
      </c>
      <c r="B332" s="17" t="s">
        <v>23</v>
      </c>
      <c r="C332" s="80" t="s">
        <v>1796</v>
      </c>
      <c r="D332" s="13"/>
      <c r="E332" s="7">
        <v>0</v>
      </c>
      <c r="F332" s="80">
        <v>9025225</v>
      </c>
      <c r="G332" s="80">
        <v>25</v>
      </c>
      <c r="H332" s="59">
        <v>45271</v>
      </c>
      <c r="I332" s="59">
        <v>45230</v>
      </c>
      <c r="J332" s="15">
        <v>45961</v>
      </c>
      <c r="K332" s="80">
        <v>219</v>
      </c>
      <c r="L332" s="90" t="s">
        <v>1799</v>
      </c>
      <c r="M332" s="13">
        <f t="shared" si="76"/>
        <v>5475</v>
      </c>
      <c r="N332" s="13">
        <f t="shared" si="77"/>
        <v>5475</v>
      </c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>
        <f t="shared" si="82"/>
        <v>5475</v>
      </c>
      <c r="CK332" s="9"/>
    </row>
    <row r="333" spans="1:89" hidden="1" x14ac:dyDescent="0.25">
      <c r="A333" s="17">
        <v>5212252</v>
      </c>
      <c r="B333" s="17" t="s">
        <v>23</v>
      </c>
      <c r="C333" s="80" t="s">
        <v>1796</v>
      </c>
      <c r="D333" s="13"/>
      <c r="E333" s="7">
        <v>0</v>
      </c>
      <c r="F333" s="80">
        <v>9025225</v>
      </c>
      <c r="G333" s="80">
        <v>25</v>
      </c>
      <c r="H333" s="59">
        <v>45271</v>
      </c>
      <c r="I333" s="59">
        <v>45232</v>
      </c>
      <c r="J333" s="15">
        <v>45963</v>
      </c>
      <c r="K333" s="80">
        <v>430</v>
      </c>
      <c r="L333" s="90" t="s">
        <v>1800</v>
      </c>
      <c r="M333" s="13">
        <f t="shared" si="76"/>
        <v>10750</v>
      </c>
      <c r="N333" s="13">
        <f t="shared" si="77"/>
        <v>10750</v>
      </c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>
        <f t="shared" si="82"/>
        <v>10750</v>
      </c>
      <c r="CK333" s="9"/>
    </row>
    <row r="334" spans="1:89" hidden="1" x14ac:dyDescent="0.25">
      <c r="A334" s="17">
        <v>5212252</v>
      </c>
      <c r="B334" s="17" t="s">
        <v>23</v>
      </c>
      <c r="C334" s="80" t="s">
        <v>1796</v>
      </c>
      <c r="D334" s="13"/>
      <c r="E334" s="7">
        <v>0</v>
      </c>
      <c r="F334" s="80">
        <v>9025225</v>
      </c>
      <c r="G334" s="80">
        <v>25</v>
      </c>
      <c r="H334" s="59">
        <v>45271</v>
      </c>
      <c r="I334" s="59">
        <v>45234</v>
      </c>
      <c r="J334" s="15">
        <v>45965</v>
      </c>
      <c r="K334" s="80">
        <v>391</v>
      </c>
      <c r="L334" s="90" t="s">
        <v>1797</v>
      </c>
      <c r="M334" s="13">
        <f t="shared" si="76"/>
        <v>9775</v>
      </c>
      <c r="N334" s="13">
        <f t="shared" si="77"/>
        <v>9775</v>
      </c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>
        <f t="shared" si="82"/>
        <v>9775</v>
      </c>
      <c r="CK334" s="9"/>
    </row>
    <row r="335" spans="1:89" hidden="1" x14ac:dyDescent="0.25">
      <c r="A335" s="17">
        <v>5212252</v>
      </c>
      <c r="B335" s="17" t="s">
        <v>23</v>
      </c>
      <c r="C335" s="80" t="s">
        <v>1796</v>
      </c>
      <c r="D335" s="13"/>
      <c r="E335" s="7">
        <v>0</v>
      </c>
      <c r="F335" s="80">
        <v>9025225</v>
      </c>
      <c r="G335" s="80">
        <v>25</v>
      </c>
      <c r="H335" s="59">
        <v>45271</v>
      </c>
      <c r="I335" s="59">
        <v>45232</v>
      </c>
      <c r="J335" s="15">
        <v>45963</v>
      </c>
      <c r="K335" s="80">
        <v>1040</v>
      </c>
      <c r="L335" s="90" t="s">
        <v>1800</v>
      </c>
      <c r="M335" s="13">
        <f t="shared" si="76"/>
        <v>26000</v>
      </c>
      <c r="N335" s="13">
        <f t="shared" si="77"/>
        <v>26000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>
        <f t="shared" si="82"/>
        <v>26000</v>
      </c>
      <c r="CK335" s="9"/>
    </row>
    <row r="336" spans="1:89" hidden="1" x14ac:dyDescent="0.25">
      <c r="A336" s="17">
        <v>5230831</v>
      </c>
      <c r="B336" s="17" t="s">
        <v>35</v>
      </c>
      <c r="C336" s="80" t="s">
        <v>1812</v>
      </c>
      <c r="D336" s="13"/>
      <c r="E336" s="7">
        <v>0</v>
      </c>
      <c r="F336" s="80">
        <v>9020260</v>
      </c>
      <c r="G336" s="80">
        <v>240</v>
      </c>
      <c r="H336" s="59">
        <v>45272</v>
      </c>
      <c r="I336" s="59">
        <v>45234</v>
      </c>
      <c r="J336" s="15">
        <v>45081</v>
      </c>
      <c r="K336" s="80">
        <v>80</v>
      </c>
      <c r="L336" s="93" t="s">
        <v>1813</v>
      </c>
      <c r="M336" s="13">
        <f t="shared" si="76"/>
        <v>19200</v>
      </c>
      <c r="N336" s="13">
        <f t="shared" si="77"/>
        <v>19200</v>
      </c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>
        <f t="shared" si="82"/>
        <v>19200</v>
      </c>
      <c r="CK336" s="9"/>
    </row>
    <row r="337" spans="1:89" hidden="1" x14ac:dyDescent="0.25">
      <c r="A337" s="17">
        <v>5230831</v>
      </c>
      <c r="B337" s="17" t="s">
        <v>35</v>
      </c>
      <c r="C337" s="80" t="s">
        <v>1812</v>
      </c>
      <c r="D337" s="13"/>
      <c r="E337" s="7">
        <v>0</v>
      </c>
      <c r="F337" s="80">
        <v>9020260</v>
      </c>
      <c r="G337" s="80">
        <v>240</v>
      </c>
      <c r="H337" s="59">
        <v>45272</v>
      </c>
      <c r="I337" s="59">
        <v>45234</v>
      </c>
      <c r="J337" s="15">
        <v>45081</v>
      </c>
      <c r="K337" s="80">
        <v>80</v>
      </c>
      <c r="L337" s="93" t="s">
        <v>1813</v>
      </c>
      <c r="M337" s="13">
        <f t="shared" si="76"/>
        <v>19200</v>
      </c>
      <c r="N337" s="13">
        <f t="shared" si="77"/>
        <v>19200</v>
      </c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>
        <f t="shared" si="82"/>
        <v>19200</v>
      </c>
      <c r="CK337" s="9"/>
    </row>
    <row r="338" spans="1:89" hidden="1" x14ac:dyDescent="0.25">
      <c r="A338" s="17">
        <v>5212252</v>
      </c>
      <c r="B338" s="17" t="s">
        <v>23</v>
      </c>
      <c r="C338" s="80" t="s">
        <v>1817</v>
      </c>
      <c r="D338" s="13"/>
      <c r="E338" s="7">
        <v>0</v>
      </c>
      <c r="F338" s="80">
        <v>9017766</v>
      </c>
      <c r="G338" s="80">
        <v>25</v>
      </c>
      <c r="H338" s="59">
        <v>45272</v>
      </c>
      <c r="I338" s="59">
        <v>45230</v>
      </c>
      <c r="J338" s="15">
        <v>45961</v>
      </c>
      <c r="K338" s="80">
        <v>80</v>
      </c>
      <c r="L338" s="80" t="s">
        <v>1799</v>
      </c>
      <c r="M338" s="13">
        <f t="shared" si="76"/>
        <v>2000</v>
      </c>
      <c r="N338" s="13">
        <f t="shared" si="77"/>
        <v>2000</v>
      </c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>
        <f t="shared" si="82"/>
        <v>2000</v>
      </c>
      <c r="CK338" s="9"/>
    </row>
    <row r="339" spans="1:89" hidden="1" x14ac:dyDescent="0.25">
      <c r="A339" s="17">
        <v>5212252</v>
      </c>
      <c r="B339" s="17" t="s">
        <v>23</v>
      </c>
      <c r="C339" s="80" t="s">
        <v>1817</v>
      </c>
      <c r="D339" s="13"/>
      <c r="E339" s="7">
        <v>0</v>
      </c>
      <c r="F339" s="80">
        <v>9017766</v>
      </c>
      <c r="G339" s="80">
        <v>25</v>
      </c>
      <c r="H339" s="59">
        <v>45272</v>
      </c>
      <c r="I339" s="59">
        <v>45229</v>
      </c>
      <c r="J339" s="15">
        <v>45960</v>
      </c>
      <c r="K339" s="80">
        <v>960</v>
      </c>
      <c r="L339" s="80" t="s">
        <v>1786</v>
      </c>
      <c r="M339" s="13">
        <f t="shared" si="76"/>
        <v>24000</v>
      </c>
      <c r="N339" s="13">
        <f t="shared" si="77"/>
        <v>24000</v>
      </c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>
        <f t="shared" si="82"/>
        <v>24000</v>
      </c>
      <c r="CK339" s="9"/>
    </row>
    <row r="340" spans="1:89" hidden="1" x14ac:dyDescent="0.25">
      <c r="A340" s="17">
        <v>5212252</v>
      </c>
      <c r="B340" s="17" t="s">
        <v>23</v>
      </c>
      <c r="C340" s="80" t="s">
        <v>1817</v>
      </c>
      <c r="D340" s="13"/>
      <c r="E340" s="7">
        <v>0</v>
      </c>
      <c r="F340" s="80">
        <v>9017766</v>
      </c>
      <c r="G340" s="80">
        <v>25</v>
      </c>
      <c r="H340" s="59">
        <v>45272</v>
      </c>
      <c r="I340" s="59">
        <v>45230</v>
      </c>
      <c r="J340" s="15">
        <v>45961</v>
      </c>
      <c r="K340" s="80">
        <v>480</v>
      </c>
      <c r="L340" s="80" t="s">
        <v>1799</v>
      </c>
      <c r="M340" s="13">
        <f t="shared" si="76"/>
        <v>12000</v>
      </c>
      <c r="N340" s="13">
        <f t="shared" si="77"/>
        <v>12000</v>
      </c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>
        <f t="shared" si="82"/>
        <v>12000</v>
      </c>
      <c r="CK340" s="9"/>
    </row>
    <row r="341" spans="1:89" hidden="1" x14ac:dyDescent="0.25">
      <c r="A341" s="17">
        <v>5212252</v>
      </c>
      <c r="B341" s="17" t="s">
        <v>23</v>
      </c>
      <c r="C341" s="80" t="s">
        <v>1817</v>
      </c>
      <c r="D341" s="13"/>
      <c r="E341" s="7">
        <v>0</v>
      </c>
      <c r="F341" s="80">
        <v>9017766</v>
      </c>
      <c r="G341" s="80">
        <v>25</v>
      </c>
      <c r="H341" s="59">
        <v>45272</v>
      </c>
      <c r="I341" s="59">
        <v>45216</v>
      </c>
      <c r="J341" s="15">
        <v>45947</v>
      </c>
      <c r="K341" s="80">
        <v>245</v>
      </c>
      <c r="L341" s="80" t="s">
        <v>1604</v>
      </c>
      <c r="M341" s="13">
        <f t="shared" si="76"/>
        <v>6125</v>
      </c>
      <c r="N341" s="13">
        <f t="shared" si="77"/>
        <v>6125</v>
      </c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>
        <f t="shared" si="82"/>
        <v>6125</v>
      </c>
      <c r="CK341" s="9"/>
    </row>
    <row r="342" spans="1:89" hidden="1" x14ac:dyDescent="0.25">
      <c r="A342" s="17">
        <v>5212252</v>
      </c>
      <c r="B342" s="17" t="s">
        <v>23</v>
      </c>
      <c r="C342" s="80" t="s">
        <v>1817</v>
      </c>
      <c r="D342" s="13"/>
      <c r="E342" s="7">
        <v>0</v>
      </c>
      <c r="F342" s="80">
        <v>9017766</v>
      </c>
      <c r="G342" s="80">
        <v>25</v>
      </c>
      <c r="H342" s="59">
        <v>45272</v>
      </c>
      <c r="I342" s="59">
        <v>45220</v>
      </c>
      <c r="J342" s="15">
        <v>45951</v>
      </c>
      <c r="K342" s="80">
        <v>315</v>
      </c>
      <c r="L342" s="80" t="s">
        <v>1742</v>
      </c>
      <c r="M342" s="13">
        <f t="shared" si="76"/>
        <v>7875</v>
      </c>
      <c r="N342" s="13">
        <f t="shared" si="77"/>
        <v>7875</v>
      </c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>
        <f t="shared" si="82"/>
        <v>7875</v>
      </c>
      <c r="CK342" s="9"/>
    </row>
    <row r="343" spans="1:89" hidden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79">
        <f>SUM(M6:M342)</f>
        <v>4711670</v>
      </c>
      <c r="N343" s="79">
        <f>SUM(N6:N342)</f>
        <v>4514129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79">
        <f>SUM(CJ6:CJ342)</f>
        <v>1570175</v>
      </c>
      <c r="CK343" s="13"/>
    </row>
    <row r="347" spans="1:89" x14ac:dyDescent="0.25">
      <c r="D347" s="80"/>
    </row>
    <row r="349" spans="1:89" x14ac:dyDescent="0.25">
      <c r="CJ349" t="s">
        <v>1827</v>
      </c>
    </row>
  </sheetData>
  <autoFilter ref="A5:CL343">
    <filterColumn colId="11">
      <filters>
        <filter val="108003B296"/>
      </filters>
    </filterColumn>
  </autoFilter>
  <pageMargins left="0.7" right="0.7" top="0.75" bottom="0.75" header="0.3" footer="0.3"/>
  <pageSetup orientation="portrait" r:id="rId1"/>
  <ignoredErrors>
    <ignoredError sqref="J53 J43 J78 J72 J93 J15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7"/>
  <sheetViews>
    <sheetView zoomScaleNormal="100" workbookViewId="0">
      <pane ySplit="1" topLeftCell="A352" activePane="bottomLeft" state="frozen"/>
      <selection pane="bottomLeft"/>
    </sheetView>
  </sheetViews>
  <sheetFormatPr defaultColWidth="23.42578125" defaultRowHeight="15" x14ac:dyDescent="0.25"/>
  <cols>
    <col min="1" max="1" width="12.5703125" style="18" bestFit="1" customWidth="1"/>
    <col min="2" max="2" width="15.28515625" style="18" bestFit="1" customWidth="1"/>
    <col min="3" max="3" width="13" style="18" bestFit="1" customWidth="1"/>
    <col min="4" max="4" width="17.28515625" style="18" bestFit="1" customWidth="1"/>
    <col min="5" max="5" width="13.42578125" style="18" bestFit="1" customWidth="1"/>
    <col min="6" max="6" width="18.140625" style="18" bestFit="1" customWidth="1"/>
    <col min="7" max="7" width="12.7109375" style="18" bestFit="1" customWidth="1"/>
    <col min="8" max="8" width="18.85546875" style="18" bestFit="1" customWidth="1"/>
    <col min="9" max="9" width="20" style="18" bestFit="1" customWidth="1"/>
    <col min="10" max="10" width="41.28515625" style="18" bestFit="1" customWidth="1"/>
    <col min="11" max="11" width="18.28515625" style="18" bestFit="1" customWidth="1"/>
    <col min="12" max="12" width="17.42578125" style="18" bestFit="1" customWidth="1"/>
    <col min="13" max="13" width="14.28515625" style="18" bestFit="1" customWidth="1"/>
    <col min="14" max="14" width="16.42578125" style="18" bestFit="1" customWidth="1"/>
    <col min="15" max="15" width="14.42578125" style="18" bestFit="1" customWidth="1"/>
    <col min="16" max="16" width="41.42578125" style="18" bestFit="1" customWidth="1"/>
    <col min="17" max="17" width="32.85546875" style="18" bestFit="1" customWidth="1"/>
    <col min="18" max="18" width="17.42578125" style="18" bestFit="1" customWidth="1"/>
    <col min="19" max="19" width="21.28515625" style="18" bestFit="1" customWidth="1"/>
    <col min="20" max="20" width="10.85546875" style="18" bestFit="1" customWidth="1"/>
    <col min="21" max="21" width="12.5703125" style="18" bestFit="1" customWidth="1"/>
    <col min="22" max="22" width="18.42578125" style="18" bestFit="1" customWidth="1"/>
    <col min="23" max="23" width="47.85546875" style="18" bestFit="1" customWidth="1"/>
    <col min="24" max="24" width="21.140625" style="18" bestFit="1" customWidth="1"/>
    <col min="25" max="25" width="22.85546875" style="18" bestFit="1" customWidth="1"/>
    <col min="26" max="26" width="16" style="18" bestFit="1" customWidth="1"/>
    <col min="27" max="27" width="19.42578125" style="18" bestFit="1" customWidth="1"/>
    <col min="28" max="29" width="18.5703125" style="18" bestFit="1" customWidth="1"/>
    <col min="30" max="16384" width="23.42578125" style="18"/>
  </cols>
  <sheetData>
    <row r="1" spans="1:29" ht="30" x14ac:dyDescent="0.25">
      <c r="A1" s="4" t="s">
        <v>108</v>
      </c>
      <c r="B1" s="4" t="s">
        <v>153</v>
      </c>
      <c r="C1" s="4" t="s">
        <v>111</v>
      </c>
      <c r="D1" s="3" t="s">
        <v>517</v>
      </c>
      <c r="E1" s="4" t="s">
        <v>6</v>
      </c>
      <c r="F1" s="4" t="s">
        <v>110</v>
      </c>
      <c r="G1" s="4" t="s">
        <v>15</v>
      </c>
      <c r="H1" s="4" t="s">
        <v>114</v>
      </c>
      <c r="I1" s="4" t="s">
        <v>4</v>
      </c>
      <c r="J1" s="4" t="s">
        <v>5</v>
      </c>
      <c r="K1" s="4" t="s">
        <v>7</v>
      </c>
      <c r="L1" s="4" t="s">
        <v>8</v>
      </c>
      <c r="M1" s="4" t="s">
        <v>10</v>
      </c>
      <c r="N1" s="4" t="s">
        <v>146</v>
      </c>
      <c r="O1" s="4" t="s">
        <v>147</v>
      </c>
      <c r="P1" s="4" t="s">
        <v>148</v>
      </c>
      <c r="Q1" s="4" t="s">
        <v>149</v>
      </c>
      <c r="R1" s="4" t="s">
        <v>118</v>
      </c>
      <c r="S1" s="4" t="s">
        <v>150</v>
      </c>
      <c r="T1" s="4" t="s">
        <v>151</v>
      </c>
      <c r="U1" s="4" t="s">
        <v>152</v>
      </c>
      <c r="V1" s="4" t="s">
        <v>11</v>
      </c>
      <c r="W1" s="4" t="s">
        <v>124</v>
      </c>
      <c r="X1" s="4" t="s">
        <v>126</v>
      </c>
      <c r="Y1" s="4" t="s">
        <v>127</v>
      </c>
      <c r="Z1" s="4" t="s">
        <v>128</v>
      </c>
      <c r="AA1" s="4" t="s">
        <v>154</v>
      </c>
      <c r="AB1" s="4" t="s">
        <v>155</v>
      </c>
      <c r="AC1" s="4" t="s">
        <v>156</v>
      </c>
    </row>
    <row r="2" spans="1:29" x14ac:dyDescent="0.25">
      <c r="A2" s="12">
        <v>45078</v>
      </c>
      <c r="B2" s="19">
        <v>104</v>
      </c>
      <c r="C2" s="19">
        <v>6087743</v>
      </c>
      <c r="D2" s="19" t="s">
        <v>30</v>
      </c>
      <c r="E2" s="19">
        <v>91512792</v>
      </c>
      <c r="F2" s="20">
        <v>45037</v>
      </c>
      <c r="G2" s="19" t="s">
        <v>106</v>
      </c>
      <c r="H2" s="19" t="s">
        <v>132</v>
      </c>
      <c r="I2" s="17">
        <v>5309040</v>
      </c>
      <c r="J2" s="17" t="s">
        <v>105</v>
      </c>
      <c r="K2" s="19"/>
      <c r="L2" s="23">
        <f t="shared" ref="L2:L15" si="0">K2*O2</f>
        <v>0</v>
      </c>
      <c r="M2" s="19">
        <v>250</v>
      </c>
      <c r="N2" s="19">
        <v>80</v>
      </c>
      <c r="O2" s="19">
        <f t="shared" ref="O2:O15" si="1">N2*M2</f>
        <v>20000</v>
      </c>
      <c r="P2" s="19" t="s">
        <v>157</v>
      </c>
      <c r="Q2" s="19" t="s">
        <v>159</v>
      </c>
      <c r="R2" s="19" t="s">
        <v>158</v>
      </c>
      <c r="S2" s="19" t="s">
        <v>160</v>
      </c>
      <c r="T2" s="19">
        <v>13295</v>
      </c>
      <c r="U2" s="20">
        <v>45078</v>
      </c>
      <c r="V2" s="20">
        <v>45079</v>
      </c>
      <c r="W2" s="19"/>
      <c r="X2" s="24">
        <v>45079.458333333336</v>
      </c>
      <c r="Y2" s="24">
        <v>45079.5</v>
      </c>
      <c r="Z2" s="25">
        <f t="shared" ref="Z2:Z15" si="2">Y2-X2</f>
        <v>4.1666666664241347E-2</v>
      </c>
      <c r="AA2" s="24">
        <v>45079.458333333336</v>
      </c>
      <c r="AB2" s="24">
        <v>45079.496527777781</v>
      </c>
      <c r="AC2" s="25">
        <f t="shared" ref="AC2:AC15" si="3">AB2-AA2</f>
        <v>3.8194444445252884E-2</v>
      </c>
    </row>
    <row r="3" spans="1:29" x14ac:dyDescent="0.25">
      <c r="A3" s="12">
        <v>45078</v>
      </c>
      <c r="B3" s="19">
        <v>105</v>
      </c>
      <c r="C3" s="19">
        <v>6087743</v>
      </c>
      <c r="D3" s="19" t="s">
        <v>30</v>
      </c>
      <c r="E3" s="19">
        <v>91512792</v>
      </c>
      <c r="F3" s="20">
        <v>45037</v>
      </c>
      <c r="G3" s="19" t="s">
        <v>107</v>
      </c>
      <c r="H3" s="19" t="s">
        <v>132</v>
      </c>
      <c r="I3" s="17">
        <v>5309040</v>
      </c>
      <c r="J3" s="17" t="s">
        <v>105</v>
      </c>
      <c r="K3" s="19"/>
      <c r="L3" s="23">
        <f t="shared" si="0"/>
        <v>0</v>
      </c>
      <c r="M3" s="19">
        <v>250</v>
      </c>
      <c r="N3" s="19">
        <v>80</v>
      </c>
      <c r="O3" s="19">
        <f t="shared" si="1"/>
        <v>20000</v>
      </c>
      <c r="P3" s="19" t="s">
        <v>157</v>
      </c>
      <c r="Q3" s="19" t="s">
        <v>159</v>
      </c>
      <c r="R3" s="19" t="s">
        <v>158</v>
      </c>
      <c r="S3" s="19" t="s">
        <v>161</v>
      </c>
      <c r="T3" s="19">
        <v>13288</v>
      </c>
      <c r="U3" s="20">
        <v>45078</v>
      </c>
      <c r="V3" s="20">
        <v>45079</v>
      </c>
      <c r="W3" s="19"/>
      <c r="X3" s="24">
        <v>45079.472222222219</v>
      </c>
      <c r="Y3" s="24">
        <v>45079.534722222219</v>
      </c>
      <c r="Z3" s="25">
        <f t="shared" si="2"/>
        <v>6.25E-2</v>
      </c>
      <c r="AA3" s="24">
        <v>45079.503472222219</v>
      </c>
      <c r="AB3" s="24">
        <v>45079.534722222219</v>
      </c>
      <c r="AC3" s="25">
        <f t="shared" si="3"/>
        <v>3.125E-2</v>
      </c>
    </row>
    <row r="4" spans="1:29" x14ac:dyDescent="0.25">
      <c r="A4" s="12">
        <v>45078</v>
      </c>
      <c r="B4" s="19">
        <v>106</v>
      </c>
      <c r="C4" s="19">
        <v>6087743</v>
      </c>
      <c r="D4" s="19" t="s">
        <v>30</v>
      </c>
      <c r="E4" s="19">
        <v>91512792</v>
      </c>
      <c r="F4" s="20">
        <v>45037</v>
      </c>
      <c r="G4" s="19" t="s">
        <v>107</v>
      </c>
      <c r="H4" s="19" t="s">
        <v>132</v>
      </c>
      <c r="I4" s="17">
        <v>5309040</v>
      </c>
      <c r="J4" s="17" t="s">
        <v>105</v>
      </c>
      <c r="K4" s="19"/>
      <c r="L4" s="23">
        <f t="shared" si="0"/>
        <v>0</v>
      </c>
      <c r="M4" s="19">
        <v>250</v>
      </c>
      <c r="N4" s="19">
        <v>80</v>
      </c>
      <c r="O4" s="19">
        <f t="shared" si="1"/>
        <v>20000</v>
      </c>
      <c r="P4" s="19" t="s">
        <v>157</v>
      </c>
      <c r="Q4" s="19" t="s">
        <v>159</v>
      </c>
      <c r="R4" s="19" t="s">
        <v>158</v>
      </c>
      <c r="S4" s="19" t="s">
        <v>162</v>
      </c>
      <c r="T4" s="19">
        <v>13296</v>
      </c>
      <c r="U4" s="20">
        <v>45078</v>
      </c>
      <c r="V4" s="20">
        <v>45079</v>
      </c>
      <c r="W4" s="19"/>
      <c r="X4" s="24">
        <v>45079.479166666664</v>
      </c>
      <c r="Y4" s="24">
        <v>45079.583333333336</v>
      </c>
      <c r="Z4" s="25">
        <f t="shared" si="2"/>
        <v>0.10416666667151731</v>
      </c>
      <c r="AA4" s="24">
        <v>45079.541666666664</v>
      </c>
      <c r="AB4" s="24">
        <v>45079.583333333336</v>
      </c>
      <c r="AC4" s="25">
        <f t="shared" si="3"/>
        <v>4.1666666671517305E-2</v>
      </c>
    </row>
    <row r="5" spans="1:29" x14ac:dyDescent="0.25">
      <c r="A5" s="12">
        <v>45078</v>
      </c>
      <c r="B5" s="19">
        <v>107</v>
      </c>
      <c r="C5" s="19">
        <v>6087743</v>
      </c>
      <c r="D5" s="19" t="s">
        <v>30</v>
      </c>
      <c r="E5" s="19">
        <v>91512792</v>
      </c>
      <c r="F5" s="20">
        <v>45037</v>
      </c>
      <c r="G5" s="19" t="s">
        <v>107</v>
      </c>
      <c r="H5" s="19" t="s">
        <v>132</v>
      </c>
      <c r="I5" s="17">
        <v>5309040</v>
      </c>
      <c r="J5" s="17" t="s">
        <v>105</v>
      </c>
      <c r="K5" s="19"/>
      <c r="L5" s="23">
        <f t="shared" si="0"/>
        <v>0</v>
      </c>
      <c r="M5" s="19">
        <v>250</v>
      </c>
      <c r="N5" s="19">
        <v>80</v>
      </c>
      <c r="O5" s="19">
        <f t="shared" si="1"/>
        <v>20000</v>
      </c>
      <c r="P5" s="19" t="s">
        <v>157</v>
      </c>
      <c r="Q5" s="19" t="s">
        <v>159</v>
      </c>
      <c r="R5" s="19" t="s">
        <v>158</v>
      </c>
      <c r="S5" s="19" t="s">
        <v>163</v>
      </c>
      <c r="T5" s="19">
        <v>13291</v>
      </c>
      <c r="U5" s="20">
        <v>45078</v>
      </c>
      <c r="V5" s="20">
        <v>45079</v>
      </c>
      <c r="W5" s="19"/>
      <c r="X5" s="24">
        <v>45079.5</v>
      </c>
      <c r="Y5" s="24">
        <v>45079.618055555555</v>
      </c>
      <c r="Z5" s="25">
        <f t="shared" si="2"/>
        <v>0.11805555555474712</v>
      </c>
      <c r="AA5" s="24">
        <v>45079.583333333336</v>
      </c>
      <c r="AB5" s="24">
        <v>45079.611111111109</v>
      </c>
      <c r="AC5" s="25">
        <f t="shared" si="3"/>
        <v>2.7777777773735579E-2</v>
      </c>
    </row>
    <row r="6" spans="1:29" x14ac:dyDescent="0.25">
      <c r="A6" s="12">
        <v>45078</v>
      </c>
      <c r="B6" s="19">
        <v>108</v>
      </c>
      <c r="C6" s="19">
        <v>6087743</v>
      </c>
      <c r="D6" s="19" t="s">
        <v>30</v>
      </c>
      <c r="E6" s="19">
        <v>91512792</v>
      </c>
      <c r="F6" s="20">
        <v>45037</v>
      </c>
      <c r="G6" s="19" t="s">
        <v>106</v>
      </c>
      <c r="H6" s="19" t="s">
        <v>132</v>
      </c>
      <c r="I6" s="17">
        <v>5309040</v>
      </c>
      <c r="J6" s="17" t="s">
        <v>105</v>
      </c>
      <c r="K6" s="19"/>
      <c r="L6" s="23">
        <f t="shared" si="0"/>
        <v>0</v>
      </c>
      <c r="M6" s="19">
        <v>250</v>
      </c>
      <c r="N6" s="19">
        <v>80</v>
      </c>
      <c r="O6" s="19">
        <f t="shared" si="1"/>
        <v>20000</v>
      </c>
      <c r="P6" s="19" t="s">
        <v>157</v>
      </c>
      <c r="Q6" s="19" t="s">
        <v>159</v>
      </c>
      <c r="R6" s="19" t="s">
        <v>158</v>
      </c>
      <c r="S6" s="19" t="s">
        <v>164</v>
      </c>
      <c r="T6" s="19">
        <v>13289</v>
      </c>
      <c r="U6" s="20">
        <v>45078</v>
      </c>
      <c r="V6" s="20">
        <v>45079</v>
      </c>
      <c r="W6" s="19"/>
      <c r="X6" s="24">
        <v>45079.5</v>
      </c>
      <c r="Y6" s="24">
        <v>45079.631944444445</v>
      </c>
      <c r="Z6" s="25">
        <f t="shared" si="2"/>
        <v>0.13194444444525288</v>
      </c>
      <c r="AA6" s="24">
        <v>45079.611111111109</v>
      </c>
      <c r="AB6" s="24">
        <v>45079.631944444445</v>
      </c>
      <c r="AC6" s="25">
        <f t="shared" si="3"/>
        <v>2.0833333335758653E-2</v>
      </c>
    </row>
    <row r="7" spans="1:29" x14ac:dyDescent="0.25">
      <c r="A7" s="12">
        <v>45078</v>
      </c>
      <c r="B7" s="19">
        <v>109</v>
      </c>
      <c r="C7" s="19">
        <v>6087743</v>
      </c>
      <c r="D7" s="19" t="s">
        <v>30</v>
      </c>
      <c r="E7" s="19">
        <v>91512792</v>
      </c>
      <c r="F7" s="20">
        <v>45037</v>
      </c>
      <c r="G7" s="19" t="s">
        <v>106</v>
      </c>
      <c r="H7" s="19" t="s">
        <v>132</v>
      </c>
      <c r="I7" s="17">
        <v>5309040</v>
      </c>
      <c r="J7" s="17" t="s">
        <v>105</v>
      </c>
      <c r="K7" s="19"/>
      <c r="L7" s="23">
        <f t="shared" si="0"/>
        <v>0</v>
      </c>
      <c r="M7" s="19">
        <v>250</v>
      </c>
      <c r="N7" s="19">
        <v>80</v>
      </c>
      <c r="O7" s="19">
        <f t="shared" si="1"/>
        <v>20000</v>
      </c>
      <c r="P7" s="19" t="s">
        <v>157</v>
      </c>
      <c r="Q7" s="19" t="s">
        <v>159</v>
      </c>
      <c r="R7" s="19" t="s">
        <v>158</v>
      </c>
      <c r="S7" s="19" t="s">
        <v>165</v>
      </c>
      <c r="T7" s="19">
        <v>13290</v>
      </c>
      <c r="U7" s="20">
        <v>45078</v>
      </c>
      <c r="V7" s="20">
        <v>45079</v>
      </c>
      <c r="W7" s="19"/>
      <c r="X7" s="24">
        <v>45079.520833333336</v>
      </c>
      <c r="Y7" s="24">
        <v>45079.673611111109</v>
      </c>
      <c r="Z7" s="25">
        <f t="shared" si="2"/>
        <v>0.15277777777373558</v>
      </c>
      <c r="AA7" s="24">
        <v>45079.638888888891</v>
      </c>
      <c r="AB7" s="24">
        <v>45079.673611111109</v>
      </c>
      <c r="AC7" s="25">
        <f t="shared" si="3"/>
        <v>3.4722222218988463E-2</v>
      </c>
    </row>
    <row r="8" spans="1:29" x14ac:dyDescent="0.25">
      <c r="A8" s="12">
        <v>45078</v>
      </c>
      <c r="B8" s="19">
        <v>110</v>
      </c>
      <c r="C8" s="19">
        <v>6087743</v>
      </c>
      <c r="D8" s="19" t="s">
        <v>30</v>
      </c>
      <c r="E8" s="19">
        <v>91512792</v>
      </c>
      <c r="F8" s="20">
        <v>45037</v>
      </c>
      <c r="G8" s="19" t="s">
        <v>106</v>
      </c>
      <c r="H8" s="19" t="s">
        <v>132</v>
      </c>
      <c r="I8" s="17">
        <v>5309040</v>
      </c>
      <c r="J8" s="17" t="s">
        <v>105</v>
      </c>
      <c r="K8" s="19"/>
      <c r="L8" s="23">
        <f t="shared" si="0"/>
        <v>0</v>
      </c>
      <c r="M8" s="19">
        <v>250</v>
      </c>
      <c r="N8" s="19">
        <v>80</v>
      </c>
      <c r="O8" s="19">
        <f t="shared" si="1"/>
        <v>20000</v>
      </c>
      <c r="P8" s="19" t="s">
        <v>157</v>
      </c>
      <c r="Q8" s="19" t="s">
        <v>159</v>
      </c>
      <c r="R8" s="19" t="s">
        <v>158</v>
      </c>
      <c r="S8" s="19" t="s">
        <v>166</v>
      </c>
      <c r="T8" s="19">
        <v>13294</v>
      </c>
      <c r="U8" s="20">
        <v>45078</v>
      </c>
      <c r="V8" s="20">
        <v>45079</v>
      </c>
      <c r="W8" s="19"/>
      <c r="X8" s="24">
        <v>45079.520833333336</v>
      </c>
      <c r="Y8" s="24">
        <v>45079.725694444445</v>
      </c>
      <c r="Z8" s="25">
        <f t="shared" si="2"/>
        <v>0.20486111110949423</v>
      </c>
      <c r="AA8" s="24">
        <v>45079.677083333336</v>
      </c>
      <c r="AB8" s="24">
        <v>45079.722222222219</v>
      </c>
      <c r="AC8" s="25">
        <f t="shared" si="3"/>
        <v>4.5138888883229811E-2</v>
      </c>
    </row>
    <row r="9" spans="1:29" x14ac:dyDescent="0.25">
      <c r="A9" s="12">
        <v>45078</v>
      </c>
      <c r="B9" s="19">
        <v>111</v>
      </c>
      <c r="C9" s="19">
        <v>6087743</v>
      </c>
      <c r="D9" s="19" t="s">
        <v>30</v>
      </c>
      <c r="E9" s="19">
        <v>91512792</v>
      </c>
      <c r="F9" s="20">
        <v>45037</v>
      </c>
      <c r="G9" s="19" t="s">
        <v>107</v>
      </c>
      <c r="H9" s="19" t="s">
        <v>132</v>
      </c>
      <c r="I9" s="17">
        <v>5309040</v>
      </c>
      <c r="J9" s="17" t="s">
        <v>105</v>
      </c>
      <c r="K9" s="19"/>
      <c r="L9" s="23">
        <f t="shared" si="0"/>
        <v>0</v>
      </c>
      <c r="M9" s="19">
        <v>250</v>
      </c>
      <c r="N9" s="19">
        <v>80</v>
      </c>
      <c r="O9" s="19">
        <f t="shared" si="1"/>
        <v>20000</v>
      </c>
      <c r="P9" s="19" t="s">
        <v>157</v>
      </c>
      <c r="Q9" s="19" t="s">
        <v>159</v>
      </c>
      <c r="R9" s="19" t="s">
        <v>158</v>
      </c>
      <c r="S9" s="19" t="s">
        <v>167</v>
      </c>
      <c r="T9" s="19">
        <v>13293</v>
      </c>
      <c r="U9" s="20">
        <v>45078</v>
      </c>
      <c r="V9" s="20">
        <v>45079</v>
      </c>
      <c r="W9" s="19"/>
      <c r="X9" s="24">
        <v>45079.520833333336</v>
      </c>
      <c r="Y9" s="24">
        <v>45079.743055555555</v>
      </c>
      <c r="Z9" s="25">
        <f t="shared" si="2"/>
        <v>0.22222222221898846</v>
      </c>
      <c r="AA9" s="24">
        <v>45079.715277777781</v>
      </c>
      <c r="AB9" s="24">
        <v>45079.743055555555</v>
      </c>
      <c r="AC9" s="25">
        <f t="shared" si="3"/>
        <v>2.7777777773735579E-2</v>
      </c>
    </row>
    <row r="10" spans="1:29" x14ac:dyDescent="0.25">
      <c r="A10" s="12">
        <v>45078</v>
      </c>
      <c r="B10" s="19">
        <v>112</v>
      </c>
      <c r="C10" s="19">
        <v>6087743</v>
      </c>
      <c r="D10" s="19" t="s">
        <v>30</v>
      </c>
      <c r="E10" s="19">
        <v>91512792</v>
      </c>
      <c r="F10" s="20">
        <v>45037</v>
      </c>
      <c r="G10" s="19" t="s">
        <v>107</v>
      </c>
      <c r="H10" s="19" t="s">
        <v>132</v>
      </c>
      <c r="I10" s="17">
        <v>5309040</v>
      </c>
      <c r="J10" s="17" t="s">
        <v>105</v>
      </c>
      <c r="K10" s="19"/>
      <c r="L10" s="23">
        <f t="shared" si="0"/>
        <v>0</v>
      </c>
      <c r="M10" s="19">
        <v>250</v>
      </c>
      <c r="N10" s="19">
        <v>80</v>
      </c>
      <c r="O10" s="19">
        <f t="shared" si="1"/>
        <v>20000</v>
      </c>
      <c r="P10" s="19" t="s">
        <v>157</v>
      </c>
      <c r="Q10" s="19" t="s">
        <v>159</v>
      </c>
      <c r="R10" s="19" t="s">
        <v>158</v>
      </c>
      <c r="S10" s="19" t="s">
        <v>167</v>
      </c>
      <c r="T10" s="19">
        <v>13293</v>
      </c>
      <c r="U10" s="20">
        <v>45078</v>
      </c>
      <c r="V10" s="20">
        <v>45079</v>
      </c>
      <c r="W10" s="19"/>
      <c r="X10" s="24">
        <v>45079.520833333336</v>
      </c>
      <c r="Y10" s="24">
        <v>45079.784722222219</v>
      </c>
      <c r="Z10" s="25">
        <f t="shared" si="2"/>
        <v>0.26388888888322981</v>
      </c>
      <c r="AA10" s="24">
        <v>45079.75</v>
      </c>
      <c r="AB10" s="24">
        <v>45079.784722222219</v>
      </c>
      <c r="AC10" s="25">
        <f t="shared" si="3"/>
        <v>3.4722222218988463E-2</v>
      </c>
    </row>
    <row r="11" spans="1:29" x14ac:dyDescent="0.25">
      <c r="A11" s="12">
        <v>45078</v>
      </c>
      <c r="B11" s="19">
        <v>113</v>
      </c>
      <c r="C11" s="19">
        <v>6087743</v>
      </c>
      <c r="D11" s="19" t="s">
        <v>30</v>
      </c>
      <c r="E11" s="19">
        <v>91512792</v>
      </c>
      <c r="F11" s="20">
        <v>45037</v>
      </c>
      <c r="G11" s="19" t="s">
        <v>107</v>
      </c>
      <c r="H11" s="19" t="s">
        <v>132</v>
      </c>
      <c r="I11" s="17">
        <v>5309040</v>
      </c>
      <c r="J11" s="17" t="s">
        <v>105</v>
      </c>
      <c r="K11" s="19"/>
      <c r="L11" s="23">
        <f t="shared" si="0"/>
        <v>0</v>
      </c>
      <c r="M11" s="19">
        <v>250</v>
      </c>
      <c r="N11" s="19">
        <v>80</v>
      </c>
      <c r="O11" s="19">
        <f t="shared" si="1"/>
        <v>20000</v>
      </c>
      <c r="P11" s="19" t="s">
        <v>157</v>
      </c>
      <c r="Q11" s="19" t="s">
        <v>159</v>
      </c>
      <c r="R11" s="19" t="s">
        <v>158</v>
      </c>
      <c r="S11" s="19" t="s">
        <v>168</v>
      </c>
      <c r="T11" s="19">
        <v>13297</v>
      </c>
      <c r="U11" s="20">
        <v>45078</v>
      </c>
      <c r="V11" s="20">
        <v>45080</v>
      </c>
      <c r="W11" s="19"/>
      <c r="X11" s="24">
        <v>45080.4375</v>
      </c>
      <c r="Y11" s="24">
        <v>45080.493055555555</v>
      </c>
      <c r="Z11" s="25">
        <f t="shared" si="2"/>
        <v>5.5555555554747116E-2</v>
      </c>
      <c r="AA11" s="24">
        <v>45080.444444444445</v>
      </c>
      <c r="AB11" s="24">
        <v>45080.486111111109</v>
      </c>
      <c r="AC11" s="25">
        <f t="shared" si="3"/>
        <v>4.1666666664241347E-2</v>
      </c>
    </row>
    <row r="12" spans="1:29" x14ac:dyDescent="0.25">
      <c r="A12" s="12">
        <v>45078</v>
      </c>
      <c r="B12" s="19">
        <v>114</v>
      </c>
      <c r="C12" s="19">
        <v>6025360</v>
      </c>
      <c r="D12" s="19" t="s">
        <v>30</v>
      </c>
      <c r="E12" s="19" t="s">
        <v>207</v>
      </c>
      <c r="F12" s="20">
        <v>45057</v>
      </c>
      <c r="G12" s="19" t="s">
        <v>208</v>
      </c>
      <c r="H12" s="19" t="s">
        <v>192</v>
      </c>
      <c r="I12" s="17">
        <v>5212259</v>
      </c>
      <c r="J12" s="17" t="s">
        <v>26</v>
      </c>
      <c r="K12" s="19"/>
      <c r="L12" s="23">
        <f t="shared" si="0"/>
        <v>0</v>
      </c>
      <c r="M12" s="19">
        <v>25</v>
      </c>
      <c r="N12" s="19">
        <v>1016</v>
      </c>
      <c r="O12" s="19">
        <f t="shared" si="1"/>
        <v>25400</v>
      </c>
      <c r="P12" s="19" t="s">
        <v>157</v>
      </c>
      <c r="Q12" s="19" t="s">
        <v>159</v>
      </c>
      <c r="R12" s="19" t="s">
        <v>209</v>
      </c>
      <c r="S12" s="19" t="s">
        <v>210</v>
      </c>
      <c r="T12" s="19">
        <v>13410</v>
      </c>
      <c r="U12" s="20">
        <v>45084</v>
      </c>
      <c r="V12" s="20">
        <v>45085</v>
      </c>
      <c r="W12" s="19"/>
      <c r="X12" s="24">
        <v>45085.416666666664</v>
      </c>
      <c r="Y12" s="24">
        <v>45085.513888888891</v>
      </c>
      <c r="Z12" s="25">
        <f t="shared" si="2"/>
        <v>9.7222222226264421E-2</v>
      </c>
      <c r="AA12" s="24">
        <v>45085.465277777781</v>
      </c>
      <c r="AB12" s="24">
        <v>45085.513888888891</v>
      </c>
      <c r="AC12" s="25">
        <f t="shared" si="3"/>
        <v>4.8611111109494232E-2</v>
      </c>
    </row>
    <row r="13" spans="1:29" x14ac:dyDescent="0.25">
      <c r="A13" s="12">
        <v>45078</v>
      </c>
      <c r="B13" s="19">
        <v>114</v>
      </c>
      <c r="C13" s="19">
        <v>6025360</v>
      </c>
      <c r="D13" s="19" t="s">
        <v>30</v>
      </c>
      <c r="E13" s="19" t="s">
        <v>207</v>
      </c>
      <c r="F13" s="20">
        <v>45057</v>
      </c>
      <c r="G13" s="19" t="s">
        <v>211</v>
      </c>
      <c r="H13" s="19" t="s">
        <v>192</v>
      </c>
      <c r="I13" s="17">
        <v>5212259</v>
      </c>
      <c r="J13" s="17" t="s">
        <v>26</v>
      </c>
      <c r="K13" s="19"/>
      <c r="L13" s="23">
        <f t="shared" ref="L13" si="4">K13*O13</f>
        <v>0</v>
      </c>
      <c r="M13" s="19">
        <v>25</v>
      </c>
      <c r="N13" s="19">
        <v>24</v>
      </c>
      <c r="O13" s="19">
        <f t="shared" ref="O13" si="5">N13*M13</f>
        <v>600</v>
      </c>
      <c r="P13" s="19" t="s">
        <v>157</v>
      </c>
      <c r="Q13" s="19" t="s">
        <v>159</v>
      </c>
      <c r="R13" s="19" t="s">
        <v>209</v>
      </c>
      <c r="S13" s="19" t="s">
        <v>210</v>
      </c>
      <c r="T13" s="19">
        <v>13410</v>
      </c>
      <c r="U13" s="20">
        <v>45084</v>
      </c>
      <c r="V13" s="20">
        <v>45085</v>
      </c>
      <c r="W13" s="19"/>
      <c r="X13" s="24">
        <v>45085.416666666664</v>
      </c>
      <c r="Y13" s="24">
        <v>45085.513888888891</v>
      </c>
      <c r="Z13" s="25">
        <f t="shared" ref="Z13" si="6">Y13-X13</f>
        <v>9.7222222226264421E-2</v>
      </c>
      <c r="AA13" s="24">
        <v>45085.465277777781</v>
      </c>
      <c r="AB13" s="24">
        <v>45085.513888888891</v>
      </c>
      <c r="AC13" s="25">
        <f t="shared" ref="AC13" si="7">AB13-AA13</f>
        <v>4.8611111109494232E-2</v>
      </c>
    </row>
    <row r="14" spans="1:29" x14ac:dyDescent="0.25">
      <c r="A14" s="12">
        <v>45078</v>
      </c>
      <c r="B14" s="19">
        <v>115</v>
      </c>
      <c r="C14" s="19">
        <v>6025360</v>
      </c>
      <c r="D14" s="19" t="s">
        <v>30</v>
      </c>
      <c r="E14" s="19" t="s">
        <v>207</v>
      </c>
      <c r="F14" s="20">
        <v>45057</v>
      </c>
      <c r="G14" s="19" t="s">
        <v>211</v>
      </c>
      <c r="H14" s="19" t="s">
        <v>192</v>
      </c>
      <c r="I14" s="17">
        <v>5212259</v>
      </c>
      <c r="J14" s="17" t="s">
        <v>26</v>
      </c>
      <c r="K14" s="19"/>
      <c r="L14" s="23">
        <f t="shared" si="0"/>
        <v>0</v>
      </c>
      <c r="M14" s="19">
        <v>25</v>
      </c>
      <c r="N14" s="19">
        <v>1040</v>
      </c>
      <c r="O14" s="19">
        <f t="shared" si="1"/>
        <v>26000</v>
      </c>
      <c r="P14" s="19" t="s">
        <v>157</v>
      </c>
      <c r="Q14" s="19" t="s">
        <v>159</v>
      </c>
      <c r="R14" s="19" t="s">
        <v>209</v>
      </c>
      <c r="S14" s="19" t="s">
        <v>212</v>
      </c>
      <c r="T14" s="19">
        <v>13409</v>
      </c>
      <c r="U14" s="20">
        <v>45084</v>
      </c>
      <c r="V14" s="20">
        <v>45085</v>
      </c>
      <c r="W14" s="19"/>
      <c r="X14" s="24">
        <v>45085.416666666664</v>
      </c>
      <c r="Y14" s="24">
        <v>45085.465277777781</v>
      </c>
      <c r="Z14" s="25">
        <f t="shared" si="2"/>
        <v>4.8611111116770189E-2</v>
      </c>
      <c r="AA14" s="24">
        <v>45085.423611111109</v>
      </c>
      <c r="AB14" s="24">
        <v>45085.461805555555</v>
      </c>
      <c r="AC14" s="25">
        <f t="shared" si="3"/>
        <v>3.8194444445252884E-2</v>
      </c>
    </row>
    <row r="15" spans="1:29" x14ac:dyDescent="0.25">
      <c r="A15" s="12">
        <v>45078</v>
      </c>
      <c r="B15" s="19">
        <v>116</v>
      </c>
      <c r="C15" s="19">
        <v>6146274</v>
      </c>
      <c r="D15" s="19" t="s">
        <v>30</v>
      </c>
      <c r="E15" s="19" t="s">
        <v>246</v>
      </c>
      <c r="F15" s="20">
        <v>45055</v>
      </c>
      <c r="G15" s="19">
        <v>1230237372</v>
      </c>
      <c r="H15" s="19" t="s">
        <v>192</v>
      </c>
      <c r="I15" s="17">
        <v>5205449</v>
      </c>
      <c r="J15" s="17" t="s">
        <v>39</v>
      </c>
      <c r="K15" s="19"/>
      <c r="L15" s="23">
        <f t="shared" si="0"/>
        <v>0</v>
      </c>
      <c r="M15" s="19">
        <v>25</v>
      </c>
      <c r="N15" s="19">
        <v>1080</v>
      </c>
      <c r="O15" s="19">
        <f t="shared" si="1"/>
        <v>27000</v>
      </c>
      <c r="P15" s="19" t="s">
        <v>157</v>
      </c>
      <c r="Q15" s="19" t="s">
        <v>247</v>
      </c>
      <c r="R15" s="19" t="s">
        <v>209</v>
      </c>
      <c r="S15" s="19" t="s">
        <v>248</v>
      </c>
      <c r="T15" s="19">
        <v>623</v>
      </c>
      <c r="U15" s="20">
        <v>45089</v>
      </c>
      <c r="V15" s="20">
        <v>45090</v>
      </c>
      <c r="W15" s="19"/>
      <c r="X15" s="24">
        <v>45090.375</v>
      </c>
      <c r="Y15" s="24">
        <v>45090.416666666664</v>
      </c>
      <c r="Z15" s="25">
        <f t="shared" si="2"/>
        <v>4.1666666664241347E-2</v>
      </c>
      <c r="AA15" s="24">
        <v>45090.381944444445</v>
      </c>
      <c r="AB15" s="24">
        <v>45090.416666666664</v>
      </c>
      <c r="AC15" s="25">
        <f t="shared" si="3"/>
        <v>3.4722222218988463E-2</v>
      </c>
    </row>
    <row r="16" spans="1:29" x14ac:dyDescent="0.25">
      <c r="A16" s="12">
        <v>45078</v>
      </c>
      <c r="B16" s="19">
        <v>117</v>
      </c>
      <c r="C16" s="19">
        <v>6146274</v>
      </c>
      <c r="D16" s="19" t="s">
        <v>30</v>
      </c>
      <c r="E16" s="19" t="s">
        <v>246</v>
      </c>
      <c r="F16" s="20">
        <v>45055</v>
      </c>
      <c r="G16" s="19">
        <v>1230239172</v>
      </c>
      <c r="H16" s="19" t="s">
        <v>192</v>
      </c>
      <c r="I16" s="17">
        <v>5205449</v>
      </c>
      <c r="J16" s="17" t="s">
        <v>39</v>
      </c>
      <c r="K16" s="19"/>
      <c r="L16" s="23">
        <f t="shared" ref="L16:L27" si="8">K16*O16</f>
        <v>0</v>
      </c>
      <c r="M16" s="19">
        <v>25</v>
      </c>
      <c r="N16" s="19">
        <v>900</v>
      </c>
      <c r="O16" s="19">
        <f t="shared" ref="O16:O29" si="9">N16*M16</f>
        <v>22500</v>
      </c>
      <c r="P16" s="19" t="s">
        <v>157</v>
      </c>
      <c r="Q16" s="19" t="s">
        <v>247</v>
      </c>
      <c r="R16" s="19" t="s">
        <v>209</v>
      </c>
      <c r="S16" s="19" t="s">
        <v>249</v>
      </c>
      <c r="T16" s="19">
        <v>624</v>
      </c>
      <c r="U16" s="20">
        <v>45089</v>
      </c>
      <c r="V16" s="20">
        <v>45090</v>
      </c>
      <c r="W16" s="19"/>
      <c r="X16" s="24">
        <v>45090.375</v>
      </c>
      <c r="Y16" s="24">
        <v>45090.458333333336</v>
      </c>
      <c r="Z16" s="25">
        <f t="shared" ref="Z16:Z26" si="10">Y16-X16</f>
        <v>8.3333333335758653E-2</v>
      </c>
      <c r="AA16" s="24">
        <v>45090.416666666664</v>
      </c>
      <c r="AB16" s="24">
        <v>45090.458333333336</v>
      </c>
      <c r="AC16" s="25">
        <f t="shared" ref="AC16:AC26" si="11">AB16-AA16</f>
        <v>4.1666666671517305E-2</v>
      </c>
    </row>
    <row r="17" spans="1:29" x14ac:dyDescent="0.25">
      <c r="A17" s="12">
        <v>45078</v>
      </c>
      <c r="B17" s="19">
        <v>117</v>
      </c>
      <c r="C17" s="19">
        <v>6146274</v>
      </c>
      <c r="D17" s="19" t="s">
        <v>30</v>
      </c>
      <c r="E17" s="19" t="s">
        <v>246</v>
      </c>
      <c r="F17" s="20">
        <v>45055</v>
      </c>
      <c r="G17" s="19">
        <v>1230238862</v>
      </c>
      <c r="H17" s="19" t="s">
        <v>192</v>
      </c>
      <c r="I17" s="17">
        <v>5205449</v>
      </c>
      <c r="J17" s="17" t="s">
        <v>39</v>
      </c>
      <c r="K17" s="19"/>
      <c r="L17" s="23">
        <f t="shared" ref="L17" si="12">K17*O17</f>
        <v>0</v>
      </c>
      <c r="M17" s="19">
        <v>25</v>
      </c>
      <c r="N17" s="19">
        <v>180</v>
      </c>
      <c r="O17" s="19">
        <f t="shared" ref="O17" si="13">N17*M17</f>
        <v>4500</v>
      </c>
      <c r="P17" s="19" t="s">
        <v>157</v>
      </c>
      <c r="Q17" s="19" t="s">
        <v>247</v>
      </c>
      <c r="R17" s="19" t="s">
        <v>209</v>
      </c>
      <c r="S17" s="19" t="s">
        <v>249</v>
      </c>
      <c r="T17" s="19">
        <v>624</v>
      </c>
      <c r="U17" s="20">
        <v>45089</v>
      </c>
      <c r="V17" s="20">
        <v>45090</v>
      </c>
      <c r="W17" s="19"/>
      <c r="X17" s="24">
        <v>45090.375</v>
      </c>
      <c r="Y17" s="24">
        <v>45090.458333333336</v>
      </c>
      <c r="Z17" s="25">
        <f t="shared" ref="Z17" si="14">Y17-X17</f>
        <v>8.3333333335758653E-2</v>
      </c>
      <c r="AA17" s="24">
        <v>45090.416666666664</v>
      </c>
      <c r="AB17" s="24">
        <v>45090.458333333336</v>
      </c>
      <c r="AC17" s="25">
        <f t="shared" ref="AC17" si="15">AB17-AA17</f>
        <v>4.1666666671517305E-2</v>
      </c>
    </row>
    <row r="18" spans="1:29" x14ac:dyDescent="0.25">
      <c r="A18" s="12">
        <v>45078</v>
      </c>
      <c r="B18" s="19">
        <v>118</v>
      </c>
      <c r="C18" s="19">
        <v>6146274</v>
      </c>
      <c r="D18" s="19" t="s">
        <v>30</v>
      </c>
      <c r="E18" s="19" t="s">
        <v>246</v>
      </c>
      <c r="F18" s="20">
        <v>45055</v>
      </c>
      <c r="G18" s="19">
        <v>1230237662</v>
      </c>
      <c r="H18" s="19" t="s">
        <v>192</v>
      </c>
      <c r="I18" s="17">
        <v>5205449</v>
      </c>
      <c r="J18" s="17" t="s">
        <v>39</v>
      </c>
      <c r="K18" s="19"/>
      <c r="L18" s="23">
        <f t="shared" si="8"/>
        <v>0</v>
      </c>
      <c r="M18" s="19">
        <v>25</v>
      </c>
      <c r="N18" s="19">
        <v>1080</v>
      </c>
      <c r="O18" s="19">
        <f t="shared" si="9"/>
        <v>27000</v>
      </c>
      <c r="P18" s="19" t="s">
        <v>157</v>
      </c>
      <c r="Q18" s="19" t="s">
        <v>247</v>
      </c>
      <c r="R18" s="19" t="s">
        <v>209</v>
      </c>
      <c r="S18" s="19" t="s">
        <v>250</v>
      </c>
      <c r="T18" s="19">
        <v>622</v>
      </c>
      <c r="U18" s="20">
        <v>45089</v>
      </c>
      <c r="V18" s="20">
        <v>45090</v>
      </c>
      <c r="W18" s="19"/>
      <c r="X18" s="24">
        <v>45090.375</v>
      </c>
      <c r="Y18" s="24">
        <v>45090.486111111109</v>
      </c>
      <c r="Z18" s="25">
        <f t="shared" si="10"/>
        <v>0.11111111110949423</v>
      </c>
      <c r="AA18" s="24">
        <v>45090.458333333336</v>
      </c>
      <c r="AB18" s="24">
        <v>45090.486111111109</v>
      </c>
      <c r="AC18" s="25">
        <f t="shared" si="11"/>
        <v>2.7777777773735579E-2</v>
      </c>
    </row>
    <row r="19" spans="1:29" x14ac:dyDescent="0.25">
      <c r="A19" s="12">
        <v>45078</v>
      </c>
      <c r="B19" s="19">
        <v>119</v>
      </c>
      <c r="C19" s="19">
        <v>6146274</v>
      </c>
      <c r="D19" s="19" t="s">
        <v>30</v>
      </c>
      <c r="E19" s="19" t="s">
        <v>246</v>
      </c>
      <c r="F19" s="20">
        <v>45055</v>
      </c>
      <c r="G19" s="19">
        <v>1230238862</v>
      </c>
      <c r="H19" s="19" t="s">
        <v>192</v>
      </c>
      <c r="I19" s="17">
        <v>5205449</v>
      </c>
      <c r="J19" s="17" t="s">
        <v>39</v>
      </c>
      <c r="K19" s="19"/>
      <c r="L19" s="23">
        <f t="shared" si="8"/>
        <v>0</v>
      </c>
      <c r="M19" s="19">
        <v>25</v>
      </c>
      <c r="N19" s="19">
        <v>1020</v>
      </c>
      <c r="O19" s="19">
        <f t="shared" si="9"/>
        <v>25500</v>
      </c>
      <c r="P19" s="19" t="s">
        <v>157</v>
      </c>
      <c r="Q19" s="19" t="s">
        <v>247</v>
      </c>
      <c r="R19" s="19" t="s">
        <v>209</v>
      </c>
      <c r="S19" s="19" t="s">
        <v>251</v>
      </c>
      <c r="T19" s="19">
        <v>621</v>
      </c>
      <c r="U19" s="20">
        <v>45089</v>
      </c>
      <c r="V19" s="20">
        <v>45090</v>
      </c>
      <c r="W19" s="19"/>
      <c r="X19" s="24">
        <v>45090.375</v>
      </c>
      <c r="Y19" s="24">
        <v>45090.527777777781</v>
      </c>
      <c r="Z19" s="25">
        <f t="shared" si="10"/>
        <v>0.15277777778101154</v>
      </c>
      <c r="AA19" s="24">
        <v>45090.5</v>
      </c>
      <c r="AB19" s="24">
        <v>45090.527777777781</v>
      </c>
      <c r="AC19" s="25">
        <f t="shared" si="11"/>
        <v>2.7777777781011537E-2</v>
      </c>
    </row>
    <row r="20" spans="1:29" x14ac:dyDescent="0.25">
      <c r="A20" s="12">
        <v>45078</v>
      </c>
      <c r="B20" s="19">
        <v>119</v>
      </c>
      <c r="C20" s="19">
        <v>6146274</v>
      </c>
      <c r="D20" s="19" t="s">
        <v>30</v>
      </c>
      <c r="E20" s="19" t="s">
        <v>246</v>
      </c>
      <c r="F20" s="20">
        <v>45055</v>
      </c>
      <c r="G20" s="19">
        <v>1230238672</v>
      </c>
      <c r="H20" s="19" t="s">
        <v>192</v>
      </c>
      <c r="I20" s="17">
        <v>5205449</v>
      </c>
      <c r="J20" s="17" t="s">
        <v>39</v>
      </c>
      <c r="K20" s="19"/>
      <c r="L20" s="23">
        <f t="shared" ref="L20" si="16">K20*O20</f>
        <v>0</v>
      </c>
      <c r="M20" s="19">
        <v>25</v>
      </c>
      <c r="N20" s="19">
        <v>60</v>
      </c>
      <c r="O20" s="19">
        <f t="shared" ref="O20" si="17">N20*M20</f>
        <v>1500</v>
      </c>
      <c r="P20" s="19" t="s">
        <v>157</v>
      </c>
      <c r="Q20" s="19" t="s">
        <v>247</v>
      </c>
      <c r="R20" s="19" t="s">
        <v>209</v>
      </c>
      <c r="S20" s="19" t="s">
        <v>251</v>
      </c>
      <c r="T20" s="19">
        <v>621</v>
      </c>
      <c r="U20" s="20">
        <v>45089</v>
      </c>
      <c r="V20" s="20">
        <v>45090</v>
      </c>
      <c r="W20" s="19"/>
      <c r="X20" s="24">
        <v>45090.375</v>
      </c>
      <c r="Y20" s="24">
        <v>45090.527777777781</v>
      </c>
      <c r="Z20" s="25">
        <f t="shared" ref="Z20" si="18">Y20-X20</f>
        <v>0.15277777778101154</v>
      </c>
      <c r="AA20" s="24">
        <v>45090.5</v>
      </c>
      <c r="AB20" s="24">
        <v>45090.527777777781</v>
      </c>
      <c r="AC20" s="25">
        <f t="shared" ref="AC20" si="19">AB20-AA20</f>
        <v>2.7777777781011537E-2</v>
      </c>
    </row>
    <row r="21" spans="1:29" x14ac:dyDescent="0.25">
      <c r="A21" s="12">
        <v>45078</v>
      </c>
      <c r="B21" s="19">
        <v>120</v>
      </c>
      <c r="C21" s="19">
        <v>6146274</v>
      </c>
      <c r="D21" s="19" t="s">
        <v>30</v>
      </c>
      <c r="E21" s="19" t="s">
        <v>246</v>
      </c>
      <c r="F21" s="20">
        <v>45055</v>
      </c>
      <c r="G21" s="19">
        <v>2230237712</v>
      </c>
      <c r="H21" s="19" t="s">
        <v>192</v>
      </c>
      <c r="I21" s="17">
        <v>5205449</v>
      </c>
      <c r="J21" s="17" t="s">
        <v>39</v>
      </c>
      <c r="K21" s="19"/>
      <c r="L21" s="23">
        <f t="shared" si="8"/>
        <v>0</v>
      </c>
      <c r="M21" s="19">
        <v>25</v>
      </c>
      <c r="N21" s="19">
        <v>660</v>
      </c>
      <c r="O21" s="19">
        <f t="shared" si="9"/>
        <v>16500</v>
      </c>
      <c r="P21" s="19" t="s">
        <v>157</v>
      </c>
      <c r="Q21" s="19" t="s">
        <v>247</v>
      </c>
      <c r="R21" s="19" t="s">
        <v>209</v>
      </c>
      <c r="S21" s="19" t="s">
        <v>252</v>
      </c>
      <c r="T21" s="19">
        <v>625</v>
      </c>
      <c r="U21" s="20">
        <v>45089</v>
      </c>
      <c r="V21" s="20">
        <v>45090</v>
      </c>
      <c r="W21" s="19"/>
      <c r="X21" s="24">
        <v>45090.375</v>
      </c>
      <c r="Y21" s="24">
        <v>45090.5625</v>
      </c>
      <c r="Z21" s="25">
        <f t="shared" si="10"/>
        <v>0.1875</v>
      </c>
      <c r="AA21" s="24">
        <v>45090.527777777781</v>
      </c>
      <c r="AB21" s="24">
        <v>45090.5625</v>
      </c>
      <c r="AC21" s="25">
        <f t="shared" si="11"/>
        <v>3.4722222218988463E-2</v>
      </c>
    </row>
    <row r="22" spans="1:29" x14ac:dyDescent="0.25">
      <c r="A22" s="12">
        <v>45078</v>
      </c>
      <c r="B22" s="19">
        <v>120</v>
      </c>
      <c r="C22" s="19">
        <v>6146274</v>
      </c>
      <c r="D22" s="19" t="s">
        <v>30</v>
      </c>
      <c r="E22" s="19" t="s">
        <v>246</v>
      </c>
      <c r="F22" s="20">
        <v>45055</v>
      </c>
      <c r="G22" s="19">
        <v>2230237822</v>
      </c>
      <c r="H22" s="19" t="s">
        <v>192</v>
      </c>
      <c r="I22" s="17">
        <v>5205449</v>
      </c>
      <c r="J22" s="17" t="s">
        <v>39</v>
      </c>
      <c r="K22" s="19"/>
      <c r="L22" s="23">
        <f t="shared" ref="L22" si="20">K22*O22</f>
        <v>0</v>
      </c>
      <c r="M22" s="19">
        <v>25</v>
      </c>
      <c r="N22" s="19">
        <v>420</v>
      </c>
      <c r="O22" s="19">
        <f t="shared" ref="O22" si="21">N22*M22</f>
        <v>10500</v>
      </c>
      <c r="P22" s="19" t="s">
        <v>157</v>
      </c>
      <c r="Q22" s="19" t="s">
        <v>247</v>
      </c>
      <c r="R22" s="19" t="s">
        <v>209</v>
      </c>
      <c r="S22" s="19" t="s">
        <v>252</v>
      </c>
      <c r="T22" s="19">
        <v>625</v>
      </c>
      <c r="U22" s="20">
        <v>45089</v>
      </c>
      <c r="V22" s="20">
        <v>45090</v>
      </c>
      <c r="W22" s="19"/>
      <c r="X22" s="24">
        <v>45090.375</v>
      </c>
      <c r="Y22" s="24">
        <v>45090.5625</v>
      </c>
      <c r="Z22" s="25">
        <f t="shared" ref="Z22" si="22">Y22-X22</f>
        <v>0.1875</v>
      </c>
      <c r="AA22" s="24">
        <v>45090.527777777781</v>
      </c>
      <c r="AB22" s="24">
        <v>45090.5625</v>
      </c>
      <c r="AC22" s="25">
        <f t="shared" ref="AC22" si="23">AB22-AA22</f>
        <v>3.4722222218988463E-2</v>
      </c>
    </row>
    <row r="23" spans="1:29" x14ac:dyDescent="0.25">
      <c r="A23" s="12">
        <v>45078</v>
      </c>
      <c r="B23" s="19">
        <v>121</v>
      </c>
      <c r="C23" s="19">
        <v>6146274</v>
      </c>
      <c r="D23" s="19" t="s">
        <v>30</v>
      </c>
      <c r="E23" s="19" t="s">
        <v>246</v>
      </c>
      <c r="F23" s="20">
        <v>45055</v>
      </c>
      <c r="G23" s="19">
        <v>2230237822</v>
      </c>
      <c r="H23" s="19" t="s">
        <v>192</v>
      </c>
      <c r="I23" s="17">
        <v>5205449</v>
      </c>
      <c r="J23" s="17" t="s">
        <v>39</v>
      </c>
      <c r="K23" s="19"/>
      <c r="L23" s="23">
        <f t="shared" si="8"/>
        <v>0</v>
      </c>
      <c r="M23" s="19">
        <v>25</v>
      </c>
      <c r="N23" s="19">
        <v>1080</v>
      </c>
      <c r="O23" s="19">
        <f t="shared" si="9"/>
        <v>27000</v>
      </c>
      <c r="P23" s="19" t="s">
        <v>157</v>
      </c>
      <c r="Q23" s="19" t="s">
        <v>247</v>
      </c>
      <c r="R23" s="19" t="s">
        <v>209</v>
      </c>
      <c r="S23" s="19" t="s">
        <v>263</v>
      </c>
      <c r="T23" s="19">
        <v>626</v>
      </c>
      <c r="U23" s="20">
        <v>45089</v>
      </c>
      <c r="V23" s="20">
        <v>45090</v>
      </c>
      <c r="W23" s="19"/>
      <c r="X23" s="24">
        <v>45090.375</v>
      </c>
      <c r="Y23" s="24">
        <v>45090.645833333336</v>
      </c>
      <c r="Z23" s="25">
        <f t="shared" si="10"/>
        <v>0.27083333333575865</v>
      </c>
      <c r="AA23" s="24">
        <v>45090.604166666664</v>
      </c>
      <c r="AB23" s="24">
        <v>45090.645833333336</v>
      </c>
      <c r="AC23" s="25">
        <f t="shared" si="11"/>
        <v>4.1666666671517305E-2</v>
      </c>
    </row>
    <row r="24" spans="1:29" x14ac:dyDescent="0.25">
      <c r="A24" s="12">
        <v>45078</v>
      </c>
      <c r="B24" s="19">
        <v>122</v>
      </c>
      <c r="C24" s="19">
        <v>6166455</v>
      </c>
      <c r="D24" s="19" t="s">
        <v>30</v>
      </c>
      <c r="E24" s="19" t="s">
        <v>273</v>
      </c>
      <c r="F24" s="20">
        <v>45062</v>
      </c>
      <c r="G24" s="19" t="s">
        <v>274</v>
      </c>
      <c r="H24" s="19" t="s">
        <v>192</v>
      </c>
      <c r="I24" s="17">
        <v>5211003</v>
      </c>
      <c r="J24" s="17" t="s">
        <v>31</v>
      </c>
      <c r="K24" s="19"/>
      <c r="L24" s="23">
        <f t="shared" si="8"/>
        <v>0</v>
      </c>
      <c r="M24" s="19">
        <v>25</v>
      </c>
      <c r="N24" s="19">
        <v>640</v>
      </c>
      <c r="O24" s="19">
        <f t="shared" si="9"/>
        <v>16000</v>
      </c>
      <c r="P24" s="19" t="s">
        <v>157</v>
      </c>
      <c r="Q24" s="19" t="s">
        <v>247</v>
      </c>
      <c r="R24" s="19" t="s">
        <v>158</v>
      </c>
      <c r="S24" s="19" t="s">
        <v>275</v>
      </c>
      <c r="T24" s="19">
        <v>628</v>
      </c>
      <c r="U24" s="20">
        <v>45091</v>
      </c>
      <c r="V24" s="20">
        <v>45092</v>
      </c>
      <c r="W24" s="19"/>
      <c r="X24" s="24">
        <v>45092.381944444445</v>
      </c>
      <c r="Y24" s="24">
        <v>45092.416666666664</v>
      </c>
      <c r="Z24" s="25">
        <f t="shared" si="10"/>
        <v>3.4722222218988463E-2</v>
      </c>
      <c r="AA24" s="24">
        <v>45092.395833333336</v>
      </c>
      <c r="AB24" s="24">
        <v>45092.416666666664</v>
      </c>
      <c r="AC24" s="25">
        <f t="shared" si="11"/>
        <v>2.0833333328482695E-2</v>
      </c>
    </row>
    <row r="25" spans="1:29" x14ac:dyDescent="0.25">
      <c r="A25" s="12">
        <v>45078</v>
      </c>
      <c r="B25" s="19">
        <v>123</v>
      </c>
      <c r="C25" s="19" t="s">
        <v>30</v>
      </c>
      <c r="D25" s="19" t="s">
        <v>30</v>
      </c>
      <c r="E25" s="19" t="s">
        <v>30</v>
      </c>
      <c r="F25" s="20">
        <v>45062</v>
      </c>
      <c r="G25" s="21" t="s">
        <v>40</v>
      </c>
      <c r="H25" s="19" t="s">
        <v>132</v>
      </c>
      <c r="I25" s="17">
        <v>5230831</v>
      </c>
      <c r="J25" s="17" t="s">
        <v>35</v>
      </c>
      <c r="K25" s="19"/>
      <c r="L25" s="23">
        <f t="shared" si="8"/>
        <v>0</v>
      </c>
      <c r="M25" s="19">
        <v>240</v>
      </c>
      <c r="N25" s="19">
        <v>4</v>
      </c>
      <c r="O25" s="19">
        <f t="shared" si="9"/>
        <v>960</v>
      </c>
      <c r="P25" s="19" t="s">
        <v>157</v>
      </c>
      <c r="Q25" s="19" t="s">
        <v>30</v>
      </c>
      <c r="R25" s="19" t="s">
        <v>186</v>
      </c>
      <c r="S25" s="19" t="s">
        <v>233</v>
      </c>
      <c r="T25" s="19" t="s">
        <v>30</v>
      </c>
      <c r="U25" s="19" t="s">
        <v>30</v>
      </c>
      <c r="V25" s="20">
        <v>45092</v>
      </c>
      <c r="W25" s="19"/>
      <c r="X25" s="24">
        <v>45092.652777777781</v>
      </c>
      <c r="Y25" s="24">
        <v>45092.663194444445</v>
      </c>
      <c r="Z25" s="25">
        <f t="shared" si="10"/>
        <v>1.0416666664241347E-2</v>
      </c>
      <c r="AA25" s="24">
        <v>45092.652777777781</v>
      </c>
      <c r="AB25" s="24">
        <v>45092.65625</v>
      </c>
      <c r="AC25" s="25">
        <f t="shared" si="11"/>
        <v>3.4722222189884633E-3</v>
      </c>
    </row>
    <row r="26" spans="1:29" x14ac:dyDescent="0.25">
      <c r="A26" s="12">
        <v>45078</v>
      </c>
      <c r="B26" s="19">
        <v>124</v>
      </c>
      <c r="C26" s="19">
        <v>6238187</v>
      </c>
      <c r="D26" s="19" t="s">
        <v>30</v>
      </c>
      <c r="E26" s="19" t="s">
        <v>302</v>
      </c>
      <c r="F26" s="20">
        <v>45056</v>
      </c>
      <c r="G26" s="19">
        <v>1230192062</v>
      </c>
      <c r="H26" s="19" t="s">
        <v>192</v>
      </c>
      <c r="I26" s="17">
        <v>5205497</v>
      </c>
      <c r="J26" s="17" t="s">
        <v>1211</v>
      </c>
      <c r="K26" s="19"/>
      <c r="L26" s="23">
        <f t="shared" si="8"/>
        <v>0</v>
      </c>
      <c r="M26" s="19">
        <v>25</v>
      </c>
      <c r="N26" s="19">
        <v>1020</v>
      </c>
      <c r="O26" s="19">
        <f t="shared" si="9"/>
        <v>25500</v>
      </c>
      <c r="P26" s="19" t="s">
        <v>157</v>
      </c>
      <c r="Q26" s="19" t="s">
        <v>159</v>
      </c>
      <c r="R26" s="19" t="s">
        <v>209</v>
      </c>
      <c r="S26" s="19" t="s">
        <v>303</v>
      </c>
      <c r="T26" s="19">
        <v>13433</v>
      </c>
      <c r="U26" s="20">
        <v>45096</v>
      </c>
      <c r="V26" s="20">
        <v>45097</v>
      </c>
      <c r="W26" s="19"/>
      <c r="X26" s="24">
        <v>45097.4375</v>
      </c>
      <c r="Y26" s="24">
        <v>45097.465277777781</v>
      </c>
      <c r="Z26" s="25">
        <f t="shared" si="10"/>
        <v>2.7777777781011537E-2</v>
      </c>
      <c r="AA26" s="24">
        <v>45097.4375</v>
      </c>
      <c r="AB26" s="24">
        <v>45097.465277777781</v>
      </c>
      <c r="AC26" s="25">
        <f t="shared" si="11"/>
        <v>2.7777777781011537E-2</v>
      </c>
    </row>
    <row r="27" spans="1:29" x14ac:dyDescent="0.25">
      <c r="A27" s="12">
        <v>45078</v>
      </c>
      <c r="B27" s="19">
        <v>124</v>
      </c>
      <c r="C27" s="19">
        <v>6238187</v>
      </c>
      <c r="D27" s="19" t="s">
        <v>30</v>
      </c>
      <c r="E27" s="19" t="s">
        <v>302</v>
      </c>
      <c r="F27" s="20">
        <v>45056</v>
      </c>
      <c r="G27" s="19">
        <v>1230192762</v>
      </c>
      <c r="H27" s="19" t="s">
        <v>192</v>
      </c>
      <c r="I27" s="17">
        <v>5205497</v>
      </c>
      <c r="J27" s="17" t="s">
        <v>1211</v>
      </c>
      <c r="K27" s="19"/>
      <c r="L27" s="23">
        <f t="shared" si="8"/>
        <v>0</v>
      </c>
      <c r="M27" s="19">
        <v>25</v>
      </c>
      <c r="N27" s="19">
        <v>60</v>
      </c>
      <c r="O27" s="19">
        <f t="shared" si="9"/>
        <v>1500</v>
      </c>
      <c r="P27" s="19" t="s">
        <v>157</v>
      </c>
      <c r="Q27" s="19" t="s">
        <v>159</v>
      </c>
      <c r="R27" s="19" t="s">
        <v>209</v>
      </c>
      <c r="S27" s="19" t="s">
        <v>303</v>
      </c>
      <c r="T27" s="19">
        <v>13433</v>
      </c>
      <c r="U27" s="20">
        <v>45096</v>
      </c>
      <c r="V27" s="20">
        <v>45097</v>
      </c>
      <c r="W27" s="19"/>
      <c r="X27" s="24">
        <v>45097.395833333336</v>
      </c>
      <c r="Y27" s="24">
        <v>45097.465277777781</v>
      </c>
      <c r="Z27" s="25">
        <f t="shared" ref="Z27:Z29" si="24">Y27-X27</f>
        <v>6.9444444445252884E-2</v>
      </c>
      <c r="AA27" s="24">
        <v>45097.4375</v>
      </c>
      <c r="AB27" s="24">
        <v>45097.465277777781</v>
      </c>
      <c r="AC27" s="25">
        <f t="shared" ref="AC27:AC29" si="25">AB27-AA27</f>
        <v>2.7777777781011537E-2</v>
      </c>
    </row>
    <row r="28" spans="1:29" x14ac:dyDescent="0.25">
      <c r="A28" s="12">
        <v>45078</v>
      </c>
      <c r="B28" s="19">
        <v>125</v>
      </c>
      <c r="C28" s="19">
        <v>6238187</v>
      </c>
      <c r="D28" s="19" t="s">
        <v>30</v>
      </c>
      <c r="E28" s="19" t="s">
        <v>302</v>
      </c>
      <c r="F28" s="20">
        <v>45056</v>
      </c>
      <c r="G28" s="19">
        <v>1230192062</v>
      </c>
      <c r="H28" s="19" t="s">
        <v>192</v>
      </c>
      <c r="I28" s="17">
        <v>5205497</v>
      </c>
      <c r="J28" s="17" t="s">
        <v>1211</v>
      </c>
      <c r="K28" s="19"/>
      <c r="L28" s="23">
        <f t="shared" ref="L28" si="26">K28*O28</f>
        <v>0</v>
      </c>
      <c r="M28" s="19">
        <v>25</v>
      </c>
      <c r="N28" s="19">
        <v>1080</v>
      </c>
      <c r="O28" s="19">
        <f t="shared" si="9"/>
        <v>27000</v>
      </c>
      <c r="P28" s="19" t="s">
        <v>157</v>
      </c>
      <c r="Q28" s="19" t="s">
        <v>159</v>
      </c>
      <c r="R28" s="19" t="s">
        <v>209</v>
      </c>
      <c r="S28" s="19" t="s">
        <v>263</v>
      </c>
      <c r="T28" s="19">
        <v>13436</v>
      </c>
      <c r="U28" s="20">
        <v>45096</v>
      </c>
      <c r="V28" s="20">
        <v>45097</v>
      </c>
      <c r="W28" s="19"/>
      <c r="X28" s="24">
        <v>45097.395833333336</v>
      </c>
      <c r="Y28" s="24">
        <v>45097.4375</v>
      </c>
      <c r="Z28" s="25">
        <f t="shared" si="24"/>
        <v>4.1666666664241347E-2</v>
      </c>
      <c r="AA28" s="24">
        <v>45097.395833333336</v>
      </c>
      <c r="AB28" s="24">
        <v>45097.430555555555</v>
      </c>
      <c r="AC28" s="25">
        <f t="shared" si="25"/>
        <v>3.4722222218988463E-2</v>
      </c>
    </row>
    <row r="29" spans="1:29" x14ac:dyDescent="0.25">
      <c r="A29" s="12">
        <v>45078</v>
      </c>
      <c r="B29" s="19">
        <v>126</v>
      </c>
      <c r="C29" s="19">
        <v>6147723</v>
      </c>
      <c r="D29" s="19" t="s">
        <v>30</v>
      </c>
      <c r="E29" s="19" t="s">
        <v>306</v>
      </c>
      <c r="F29" s="20">
        <v>45057</v>
      </c>
      <c r="G29" s="19">
        <v>1230240562</v>
      </c>
      <c r="H29" s="19" t="s">
        <v>192</v>
      </c>
      <c r="I29" s="17">
        <v>5205449</v>
      </c>
      <c r="J29" s="17" t="s">
        <v>39</v>
      </c>
      <c r="K29" s="19"/>
      <c r="L29" s="19">
        <v>0</v>
      </c>
      <c r="M29" s="19">
        <v>25</v>
      </c>
      <c r="N29" s="19">
        <v>240</v>
      </c>
      <c r="O29" s="19">
        <f t="shared" si="9"/>
        <v>6000</v>
      </c>
      <c r="P29" s="19" t="s">
        <v>157</v>
      </c>
      <c r="Q29" s="19" t="s">
        <v>247</v>
      </c>
      <c r="R29" s="19" t="s">
        <v>209</v>
      </c>
      <c r="S29" s="19" t="s">
        <v>307</v>
      </c>
      <c r="T29" s="19">
        <v>635</v>
      </c>
      <c r="U29" s="20">
        <v>45097</v>
      </c>
      <c r="V29" s="20">
        <v>45098</v>
      </c>
      <c r="W29" s="19"/>
      <c r="X29" s="24">
        <v>45098.368055555555</v>
      </c>
      <c r="Y29" s="24">
        <v>45098.458333333336</v>
      </c>
      <c r="Z29" s="25">
        <f t="shared" si="24"/>
        <v>9.0277777781011537E-2</v>
      </c>
      <c r="AA29" s="24">
        <v>45098.416666666664</v>
      </c>
      <c r="AB29" s="24">
        <v>45098.458333333336</v>
      </c>
      <c r="AC29" s="25">
        <f t="shared" si="25"/>
        <v>4.1666666671517305E-2</v>
      </c>
    </row>
    <row r="30" spans="1:29" x14ac:dyDescent="0.25">
      <c r="A30" s="12">
        <v>45078</v>
      </c>
      <c r="B30" s="19">
        <v>126</v>
      </c>
      <c r="C30" s="19">
        <v>6147723</v>
      </c>
      <c r="D30" s="19" t="s">
        <v>30</v>
      </c>
      <c r="E30" s="19" t="s">
        <v>306</v>
      </c>
      <c r="F30" s="20">
        <v>45057</v>
      </c>
      <c r="G30" s="19">
        <v>1230240172</v>
      </c>
      <c r="H30" s="19" t="s">
        <v>192</v>
      </c>
      <c r="I30" s="17">
        <v>5205449</v>
      </c>
      <c r="J30" s="17" t="s">
        <v>39</v>
      </c>
      <c r="K30" s="19"/>
      <c r="L30" s="19">
        <v>0</v>
      </c>
      <c r="M30" s="19">
        <v>25</v>
      </c>
      <c r="N30" s="19">
        <v>840</v>
      </c>
      <c r="O30" s="19">
        <f t="shared" ref="O30" si="27">N30*M30</f>
        <v>21000</v>
      </c>
      <c r="P30" s="19" t="s">
        <v>157</v>
      </c>
      <c r="Q30" s="19" t="s">
        <v>247</v>
      </c>
      <c r="R30" s="19" t="s">
        <v>209</v>
      </c>
      <c r="S30" s="19" t="s">
        <v>307</v>
      </c>
      <c r="T30" s="19">
        <v>635</v>
      </c>
      <c r="U30" s="20">
        <v>45097</v>
      </c>
      <c r="V30" s="20">
        <v>45098</v>
      </c>
      <c r="W30" s="19"/>
      <c r="X30" s="24">
        <v>45098.368055555555</v>
      </c>
      <c r="Y30" s="24">
        <v>45098.458333333336</v>
      </c>
      <c r="Z30" s="25">
        <f t="shared" ref="Z30:Z31" si="28">Y30-X30</f>
        <v>9.0277777781011537E-2</v>
      </c>
      <c r="AA30" s="24">
        <v>45098.416666666664</v>
      </c>
      <c r="AB30" s="24">
        <v>45098.458333333336</v>
      </c>
      <c r="AC30" s="25">
        <f t="shared" ref="AC30:AC31" si="29">AB30-AA30</f>
        <v>4.1666666671517305E-2</v>
      </c>
    </row>
    <row r="31" spans="1:29" x14ac:dyDescent="0.25">
      <c r="A31" s="12">
        <v>45078</v>
      </c>
      <c r="B31" s="19">
        <v>127</v>
      </c>
      <c r="C31" s="19">
        <v>6147723</v>
      </c>
      <c r="D31" s="19" t="s">
        <v>30</v>
      </c>
      <c r="E31" s="19" t="s">
        <v>306</v>
      </c>
      <c r="F31" s="20">
        <v>45057</v>
      </c>
      <c r="G31" s="19">
        <v>2230240612</v>
      </c>
      <c r="H31" s="19" t="s">
        <v>192</v>
      </c>
      <c r="I31" s="17">
        <v>5205449</v>
      </c>
      <c r="J31" s="17" t="s">
        <v>39</v>
      </c>
      <c r="K31" s="19"/>
      <c r="L31" s="19">
        <v>0</v>
      </c>
      <c r="M31" s="19">
        <v>25</v>
      </c>
      <c r="N31" s="19">
        <v>660</v>
      </c>
      <c r="O31" s="19">
        <f t="shared" ref="O31" si="30">N31*M31</f>
        <v>16500</v>
      </c>
      <c r="P31" s="19" t="s">
        <v>157</v>
      </c>
      <c r="Q31" s="19" t="s">
        <v>247</v>
      </c>
      <c r="R31" s="19" t="s">
        <v>209</v>
      </c>
      <c r="S31" s="19" t="s">
        <v>252</v>
      </c>
      <c r="T31" s="19">
        <v>634</v>
      </c>
      <c r="U31" s="20">
        <v>45097</v>
      </c>
      <c r="V31" s="20">
        <v>45098</v>
      </c>
      <c r="W31" s="19"/>
      <c r="X31" s="24">
        <v>45098.368055555555</v>
      </c>
      <c r="Y31" s="24">
        <v>45098.479166666664</v>
      </c>
      <c r="Z31" s="25">
        <f t="shared" si="28"/>
        <v>0.11111111110949423</v>
      </c>
      <c r="AA31" s="24">
        <v>45098.416666666664</v>
      </c>
      <c r="AB31" s="24">
        <v>45098.479166666664</v>
      </c>
      <c r="AC31" s="25">
        <f t="shared" si="29"/>
        <v>6.25E-2</v>
      </c>
    </row>
    <row r="32" spans="1:29" x14ac:dyDescent="0.25">
      <c r="A32" s="12">
        <v>45078</v>
      </c>
      <c r="B32" s="19">
        <v>127</v>
      </c>
      <c r="C32" s="19">
        <v>6147723</v>
      </c>
      <c r="D32" s="19" t="s">
        <v>30</v>
      </c>
      <c r="E32" s="19" t="s">
        <v>306</v>
      </c>
      <c r="F32" s="20">
        <v>45057</v>
      </c>
      <c r="G32" s="19">
        <v>2230240422</v>
      </c>
      <c r="H32" s="19" t="s">
        <v>192</v>
      </c>
      <c r="I32" s="17">
        <v>5205449</v>
      </c>
      <c r="J32" s="17" t="s">
        <v>39</v>
      </c>
      <c r="K32" s="19"/>
      <c r="L32" s="19">
        <v>0</v>
      </c>
      <c r="M32" s="19">
        <v>25</v>
      </c>
      <c r="N32" s="19">
        <v>420</v>
      </c>
      <c r="O32" s="19">
        <f t="shared" ref="O32" si="31">N32*M32</f>
        <v>10500</v>
      </c>
      <c r="P32" s="19" t="s">
        <v>157</v>
      </c>
      <c r="Q32" s="19" t="s">
        <v>247</v>
      </c>
      <c r="R32" s="19" t="s">
        <v>209</v>
      </c>
      <c r="S32" s="19" t="s">
        <v>252</v>
      </c>
      <c r="T32" s="19">
        <v>634</v>
      </c>
      <c r="U32" s="20">
        <v>45097</v>
      </c>
      <c r="V32" s="20">
        <v>45098</v>
      </c>
      <c r="W32" s="19"/>
      <c r="X32" s="24">
        <v>45098.368055555555</v>
      </c>
      <c r="Y32" s="24">
        <v>45098.479166666664</v>
      </c>
      <c r="Z32" s="25">
        <f t="shared" ref="Z32:Z34" si="32">Y32-X32</f>
        <v>0.11111111110949423</v>
      </c>
      <c r="AA32" s="24">
        <v>45098.416666666664</v>
      </c>
      <c r="AB32" s="24">
        <v>45098.479166666664</v>
      </c>
      <c r="AC32" s="25">
        <f t="shared" ref="AC32:AC34" si="33">AB32-AA32</f>
        <v>6.25E-2</v>
      </c>
    </row>
    <row r="33" spans="1:29" x14ac:dyDescent="0.25">
      <c r="A33" s="12">
        <v>45078</v>
      </c>
      <c r="B33" s="19">
        <v>128</v>
      </c>
      <c r="C33" s="19">
        <v>6147723</v>
      </c>
      <c r="D33" s="19" t="s">
        <v>30</v>
      </c>
      <c r="E33" s="19" t="s">
        <v>306</v>
      </c>
      <c r="F33" s="20">
        <v>45057</v>
      </c>
      <c r="G33" s="19">
        <v>2230239912</v>
      </c>
      <c r="H33" s="19" t="s">
        <v>192</v>
      </c>
      <c r="I33" s="17">
        <v>5205449</v>
      </c>
      <c r="J33" s="17" t="s">
        <v>39</v>
      </c>
      <c r="K33" s="19"/>
      <c r="L33" s="19">
        <v>0</v>
      </c>
      <c r="M33" s="19">
        <v>25</v>
      </c>
      <c r="N33" s="19">
        <v>1080</v>
      </c>
      <c r="O33" s="19">
        <f t="shared" ref="O33" si="34">N33*M33</f>
        <v>27000</v>
      </c>
      <c r="P33" s="19" t="s">
        <v>157</v>
      </c>
      <c r="Q33" s="19" t="s">
        <v>247</v>
      </c>
      <c r="R33" s="19" t="s">
        <v>209</v>
      </c>
      <c r="S33" s="19" t="s">
        <v>308</v>
      </c>
      <c r="T33" s="19">
        <v>632</v>
      </c>
      <c r="U33" s="20">
        <v>45097</v>
      </c>
      <c r="V33" s="20">
        <v>45098</v>
      </c>
      <c r="W33" s="19"/>
      <c r="X33" s="24">
        <v>45098.368055555555</v>
      </c>
      <c r="Y33" s="24">
        <v>45098.486111111109</v>
      </c>
      <c r="Z33" s="25">
        <f t="shared" si="32"/>
        <v>0.11805555555474712</v>
      </c>
      <c r="AA33" s="24">
        <v>45098.465277777781</v>
      </c>
      <c r="AB33" s="24">
        <v>45098.486111111109</v>
      </c>
      <c r="AC33" s="25">
        <f t="shared" si="33"/>
        <v>2.0833333328482695E-2</v>
      </c>
    </row>
    <row r="34" spans="1:29" x14ac:dyDescent="0.25">
      <c r="A34" s="12">
        <v>45078</v>
      </c>
      <c r="B34" s="19">
        <v>129</v>
      </c>
      <c r="C34" s="19">
        <v>6147723</v>
      </c>
      <c r="D34" s="19" t="s">
        <v>30</v>
      </c>
      <c r="E34" s="19" t="s">
        <v>306</v>
      </c>
      <c r="F34" s="20">
        <v>45057</v>
      </c>
      <c r="G34" s="19">
        <v>1230239862</v>
      </c>
      <c r="H34" s="19" t="s">
        <v>192</v>
      </c>
      <c r="I34" s="17">
        <v>5205449</v>
      </c>
      <c r="J34" s="17" t="s">
        <v>39</v>
      </c>
      <c r="K34" s="19"/>
      <c r="L34" s="19">
        <v>0</v>
      </c>
      <c r="M34" s="19">
        <v>25</v>
      </c>
      <c r="N34" s="19">
        <v>960</v>
      </c>
      <c r="O34" s="19">
        <f t="shared" ref="O34" si="35">N34*M34</f>
        <v>24000</v>
      </c>
      <c r="P34" s="19" t="s">
        <v>157</v>
      </c>
      <c r="Q34" s="19" t="s">
        <v>247</v>
      </c>
      <c r="R34" s="19" t="s">
        <v>209</v>
      </c>
      <c r="S34" s="19" t="s">
        <v>309</v>
      </c>
      <c r="T34" s="19">
        <v>633</v>
      </c>
      <c r="U34" s="20">
        <v>45097</v>
      </c>
      <c r="V34" s="20">
        <v>45098</v>
      </c>
      <c r="W34" s="19"/>
      <c r="X34" s="24">
        <v>45098.368055555555</v>
      </c>
      <c r="Y34" s="24">
        <v>45098.5</v>
      </c>
      <c r="Z34" s="25">
        <f t="shared" si="32"/>
        <v>0.13194444444525288</v>
      </c>
      <c r="AA34" s="24">
        <v>45098.479166666664</v>
      </c>
      <c r="AB34" s="24">
        <v>45098.5</v>
      </c>
      <c r="AC34" s="25">
        <f t="shared" si="33"/>
        <v>2.0833333335758653E-2</v>
      </c>
    </row>
    <row r="35" spans="1:29" x14ac:dyDescent="0.25">
      <c r="A35" s="12">
        <v>45078</v>
      </c>
      <c r="B35" s="19">
        <v>129</v>
      </c>
      <c r="C35" s="19">
        <v>6147723</v>
      </c>
      <c r="D35" s="19" t="s">
        <v>30</v>
      </c>
      <c r="E35" s="19" t="s">
        <v>306</v>
      </c>
      <c r="F35" s="20">
        <v>45057</v>
      </c>
      <c r="G35" s="19">
        <v>1230239672</v>
      </c>
      <c r="H35" s="19" t="s">
        <v>192</v>
      </c>
      <c r="I35" s="17">
        <v>5205449</v>
      </c>
      <c r="J35" s="17" t="s">
        <v>39</v>
      </c>
      <c r="K35" s="19"/>
      <c r="L35" s="19">
        <v>0</v>
      </c>
      <c r="M35" s="19">
        <v>25</v>
      </c>
      <c r="N35" s="19">
        <v>120</v>
      </c>
      <c r="O35" s="19">
        <f t="shared" ref="O35" si="36">N35*M35</f>
        <v>3000</v>
      </c>
      <c r="P35" s="19" t="s">
        <v>157</v>
      </c>
      <c r="Q35" s="19" t="s">
        <v>247</v>
      </c>
      <c r="R35" s="19" t="s">
        <v>209</v>
      </c>
      <c r="S35" s="19" t="s">
        <v>309</v>
      </c>
      <c r="T35" s="19">
        <v>633</v>
      </c>
      <c r="U35" s="20">
        <v>45097</v>
      </c>
      <c r="V35" s="20">
        <v>45098</v>
      </c>
      <c r="W35" s="19"/>
      <c r="X35" s="24">
        <v>45098.368055555555</v>
      </c>
      <c r="Y35" s="24">
        <v>45098.5</v>
      </c>
      <c r="Z35" s="25">
        <f t="shared" ref="Z35:Z36" si="37">Y35-X35</f>
        <v>0.13194444444525288</v>
      </c>
      <c r="AA35" s="24">
        <v>45098.479166666664</v>
      </c>
      <c r="AB35" s="24">
        <v>45098.5</v>
      </c>
      <c r="AC35" s="25">
        <f t="shared" ref="AC35:AC36" si="38">AB35-AA35</f>
        <v>2.0833333335758653E-2</v>
      </c>
    </row>
    <row r="36" spans="1:29" x14ac:dyDescent="0.25">
      <c r="A36" s="12">
        <v>45078</v>
      </c>
      <c r="B36" s="19">
        <v>130</v>
      </c>
      <c r="C36" s="19">
        <v>6147723</v>
      </c>
      <c r="D36" s="19" t="s">
        <v>30</v>
      </c>
      <c r="E36" s="19" t="s">
        <v>306</v>
      </c>
      <c r="F36" s="20">
        <v>45057</v>
      </c>
      <c r="G36" s="19">
        <v>2230240022</v>
      </c>
      <c r="H36" s="19" t="s">
        <v>192</v>
      </c>
      <c r="I36" s="17">
        <v>5205449</v>
      </c>
      <c r="J36" s="17" t="s">
        <v>39</v>
      </c>
      <c r="K36" s="19"/>
      <c r="L36" s="19">
        <v>0</v>
      </c>
      <c r="M36" s="19">
        <v>25</v>
      </c>
      <c r="N36" s="19">
        <v>420</v>
      </c>
      <c r="O36" s="19">
        <f t="shared" ref="O36" si="39">N36*M36</f>
        <v>10500</v>
      </c>
      <c r="P36" s="19" t="s">
        <v>157</v>
      </c>
      <c r="Q36" s="19" t="s">
        <v>247</v>
      </c>
      <c r="R36" s="19" t="s">
        <v>209</v>
      </c>
      <c r="S36" s="19" t="s">
        <v>310</v>
      </c>
      <c r="T36" s="19">
        <v>636</v>
      </c>
      <c r="U36" s="20">
        <v>45097</v>
      </c>
      <c r="V36" s="20">
        <v>45098</v>
      </c>
      <c r="W36" s="19"/>
      <c r="X36" s="24">
        <v>45098.368055555555</v>
      </c>
      <c r="Y36" s="24">
        <v>45098.541666666664</v>
      </c>
      <c r="Z36" s="25">
        <f t="shared" si="37"/>
        <v>0.17361111110949423</v>
      </c>
      <c r="AA36" s="24">
        <v>45098.506944444445</v>
      </c>
      <c r="AB36" s="24">
        <v>45098.541666666664</v>
      </c>
      <c r="AC36" s="25">
        <f t="shared" si="38"/>
        <v>3.4722222218988463E-2</v>
      </c>
    </row>
    <row r="37" spans="1:29" x14ac:dyDescent="0.25">
      <c r="A37" s="12">
        <v>45078</v>
      </c>
      <c r="B37" s="19">
        <v>130</v>
      </c>
      <c r="C37" s="19">
        <v>6147723</v>
      </c>
      <c r="D37" s="19" t="s">
        <v>30</v>
      </c>
      <c r="E37" s="19" t="s">
        <v>306</v>
      </c>
      <c r="F37" s="20">
        <v>45057</v>
      </c>
      <c r="G37" s="19">
        <v>2230240422</v>
      </c>
      <c r="H37" s="19" t="s">
        <v>192</v>
      </c>
      <c r="I37" s="17">
        <v>5205449</v>
      </c>
      <c r="J37" s="17" t="s">
        <v>39</v>
      </c>
      <c r="K37" s="19"/>
      <c r="L37" s="19">
        <v>0</v>
      </c>
      <c r="M37" s="19">
        <v>25</v>
      </c>
      <c r="N37" s="19">
        <v>660</v>
      </c>
      <c r="O37" s="19">
        <f t="shared" ref="O37:O40" si="40">N37*M37</f>
        <v>16500</v>
      </c>
      <c r="P37" s="19" t="s">
        <v>157</v>
      </c>
      <c r="Q37" s="19" t="s">
        <v>247</v>
      </c>
      <c r="R37" s="19" t="s">
        <v>209</v>
      </c>
      <c r="S37" s="19" t="s">
        <v>310</v>
      </c>
      <c r="T37" s="19">
        <v>636</v>
      </c>
      <c r="U37" s="20">
        <v>45097</v>
      </c>
      <c r="V37" s="20">
        <v>45098</v>
      </c>
      <c r="W37" s="19"/>
      <c r="X37" s="24">
        <v>45098.368055555555</v>
      </c>
      <c r="Y37" s="24">
        <v>45098.541666666664</v>
      </c>
      <c r="Z37" s="25">
        <f t="shared" ref="Z37:Z38" si="41">Y37-X37</f>
        <v>0.17361111110949423</v>
      </c>
      <c r="AA37" s="24">
        <v>45098.506944444445</v>
      </c>
      <c r="AB37" s="24">
        <v>45098.541666666664</v>
      </c>
      <c r="AC37" s="25">
        <f t="shared" ref="AC37:AC38" si="42">AB37-AA37</f>
        <v>3.4722222218988463E-2</v>
      </c>
    </row>
    <row r="38" spans="1:29" x14ac:dyDescent="0.25">
      <c r="A38" s="12">
        <v>45078</v>
      </c>
      <c r="B38" s="19">
        <v>131</v>
      </c>
      <c r="C38" s="19">
        <v>6137358</v>
      </c>
      <c r="D38" s="19" t="s">
        <v>30</v>
      </c>
      <c r="E38" s="19" t="s">
        <v>311</v>
      </c>
      <c r="F38" s="20">
        <v>45060</v>
      </c>
      <c r="G38" s="19" t="s">
        <v>312</v>
      </c>
      <c r="H38" s="19" t="s">
        <v>192</v>
      </c>
      <c r="I38" s="17">
        <v>5212252</v>
      </c>
      <c r="J38" s="17" t="s">
        <v>23</v>
      </c>
      <c r="K38" s="19"/>
      <c r="L38" s="19">
        <v>0</v>
      </c>
      <c r="M38" s="19">
        <v>25</v>
      </c>
      <c r="N38" s="19">
        <v>584</v>
      </c>
      <c r="O38" s="19">
        <f t="shared" si="40"/>
        <v>14600</v>
      </c>
      <c r="P38" s="19" t="s">
        <v>157</v>
      </c>
      <c r="Q38" s="19" t="s">
        <v>159</v>
      </c>
      <c r="R38" s="19" t="s">
        <v>209</v>
      </c>
      <c r="S38" s="19" t="s">
        <v>314</v>
      </c>
      <c r="T38" s="19">
        <v>13437</v>
      </c>
      <c r="U38" s="20">
        <v>45097</v>
      </c>
      <c r="V38" s="20">
        <v>45098</v>
      </c>
      <c r="W38" s="19"/>
      <c r="X38" s="24">
        <v>45098.368055555555</v>
      </c>
      <c r="Y38" s="24">
        <v>45098.604166666664</v>
      </c>
      <c r="Z38" s="25">
        <f t="shared" si="41"/>
        <v>0.23611111110949423</v>
      </c>
      <c r="AA38" s="24">
        <v>45098.572916666664</v>
      </c>
      <c r="AB38" s="24">
        <v>45098.604166666664</v>
      </c>
      <c r="AC38" s="25">
        <f t="shared" si="42"/>
        <v>3.125E-2</v>
      </c>
    </row>
    <row r="39" spans="1:29" x14ac:dyDescent="0.25">
      <c r="A39" s="12">
        <v>45078</v>
      </c>
      <c r="B39" s="19">
        <v>131</v>
      </c>
      <c r="C39" s="19">
        <v>6137358</v>
      </c>
      <c r="D39" s="19" t="s">
        <v>30</v>
      </c>
      <c r="E39" s="19" t="s">
        <v>311</v>
      </c>
      <c r="F39" s="20">
        <v>45060</v>
      </c>
      <c r="G39" s="19" t="s">
        <v>313</v>
      </c>
      <c r="H39" s="19" t="s">
        <v>192</v>
      </c>
      <c r="I39" s="17">
        <v>5212252</v>
      </c>
      <c r="J39" s="17" t="s">
        <v>23</v>
      </c>
      <c r="K39" s="19"/>
      <c r="L39" s="19">
        <v>0</v>
      </c>
      <c r="M39" s="19">
        <v>25</v>
      </c>
      <c r="N39" s="19">
        <v>456</v>
      </c>
      <c r="O39" s="19">
        <f t="shared" si="40"/>
        <v>11400</v>
      </c>
      <c r="P39" s="19" t="s">
        <v>157</v>
      </c>
      <c r="Q39" s="19" t="s">
        <v>159</v>
      </c>
      <c r="R39" s="19" t="s">
        <v>209</v>
      </c>
      <c r="S39" s="19" t="s">
        <v>314</v>
      </c>
      <c r="T39" s="19">
        <v>13437</v>
      </c>
      <c r="U39" s="20">
        <v>45097</v>
      </c>
      <c r="V39" s="20">
        <v>45098</v>
      </c>
      <c r="W39" s="19"/>
      <c r="X39" s="24">
        <v>45098.368055555555</v>
      </c>
      <c r="Y39" s="24">
        <v>45098.604166666664</v>
      </c>
      <c r="Z39" s="25">
        <f t="shared" ref="Z39:Z43" si="43">Y39-X39</f>
        <v>0.23611111110949423</v>
      </c>
      <c r="AA39" s="24">
        <v>45098.572916666664</v>
      </c>
      <c r="AB39" s="24">
        <v>45098.604166666664</v>
      </c>
      <c r="AC39" s="25">
        <f t="shared" ref="AC39:AC41" si="44">AB39-AA39</f>
        <v>3.125E-2</v>
      </c>
    </row>
    <row r="40" spans="1:29" x14ac:dyDescent="0.25">
      <c r="A40" s="12">
        <v>45078</v>
      </c>
      <c r="B40" s="19">
        <v>132</v>
      </c>
      <c r="C40" s="19">
        <v>6137358</v>
      </c>
      <c r="D40" s="19" t="s">
        <v>30</v>
      </c>
      <c r="E40" s="19" t="s">
        <v>311</v>
      </c>
      <c r="F40" s="20">
        <v>45060</v>
      </c>
      <c r="G40" s="19" t="s">
        <v>313</v>
      </c>
      <c r="H40" s="19" t="s">
        <v>192</v>
      </c>
      <c r="I40" s="17">
        <v>5212252</v>
      </c>
      <c r="J40" s="17" t="s">
        <v>23</v>
      </c>
      <c r="K40" s="19"/>
      <c r="L40" s="19">
        <v>0</v>
      </c>
      <c r="M40" s="19">
        <v>25</v>
      </c>
      <c r="N40" s="19">
        <v>1040</v>
      </c>
      <c r="O40" s="19">
        <f t="shared" si="40"/>
        <v>26000</v>
      </c>
      <c r="P40" s="19" t="s">
        <v>157</v>
      </c>
      <c r="Q40" s="19" t="s">
        <v>159</v>
      </c>
      <c r="R40" s="19" t="s">
        <v>209</v>
      </c>
      <c r="S40" s="19" t="s">
        <v>315</v>
      </c>
      <c r="T40" s="19">
        <v>13438</v>
      </c>
      <c r="U40" s="20">
        <v>45097</v>
      </c>
      <c r="V40" s="20">
        <v>45098</v>
      </c>
      <c r="W40" s="19"/>
      <c r="X40" s="24">
        <v>45098.368055555555</v>
      </c>
      <c r="Y40" s="24">
        <v>45098.638888888891</v>
      </c>
      <c r="Z40" s="25">
        <f t="shared" si="43"/>
        <v>0.27083333333575865</v>
      </c>
      <c r="AA40" s="24">
        <v>45098.611111111109</v>
      </c>
      <c r="AB40" s="24">
        <v>45098.638888888891</v>
      </c>
      <c r="AC40" s="25">
        <f t="shared" si="44"/>
        <v>2.7777777781011537E-2</v>
      </c>
    </row>
    <row r="41" spans="1:29" x14ac:dyDescent="0.25">
      <c r="A41" s="12">
        <v>45078</v>
      </c>
      <c r="B41" s="19">
        <v>133</v>
      </c>
      <c r="C41" s="19">
        <v>6147723</v>
      </c>
      <c r="D41" s="19" t="s">
        <v>30</v>
      </c>
      <c r="E41" s="19" t="s">
        <v>306</v>
      </c>
      <c r="F41" s="20">
        <v>45057</v>
      </c>
      <c r="G41" s="19">
        <v>2230240022</v>
      </c>
      <c r="H41" s="19" t="s">
        <v>192</v>
      </c>
      <c r="I41" s="17">
        <v>5205449</v>
      </c>
      <c r="J41" s="17" t="s">
        <v>39</v>
      </c>
      <c r="K41" s="19"/>
      <c r="L41" s="19">
        <v>0</v>
      </c>
      <c r="M41" s="19">
        <v>25</v>
      </c>
      <c r="N41" s="19">
        <v>300</v>
      </c>
      <c r="O41" s="19">
        <f t="shared" ref="O41" si="45">N41*M41</f>
        <v>7500</v>
      </c>
      <c r="P41" s="19" t="s">
        <v>157</v>
      </c>
      <c r="Q41" s="19" t="s">
        <v>247</v>
      </c>
      <c r="R41" s="19" t="s">
        <v>209</v>
      </c>
      <c r="S41" s="19" t="s">
        <v>316</v>
      </c>
      <c r="T41" s="19">
        <v>637</v>
      </c>
      <c r="U41" s="20">
        <v>45097</v>
      </c>
      <c r="V41" s="20">
        <v>45098</v>
      </c>
      <c r="W41" s="19"/>
      <c r="X41" s="24">
        <v>45098.368055555555</v>
      </c>
      <c r="Y41" s="24">
        <v>45098.684027777781</v>
      </c>
      <c r="Z41" s="25">
        <f t="shared" si="43"/>
        <v>0.31597222222626442</v>
      </c>
      <c r="AA41" s="24">
        <v>45098.645833333336</v>
      </c>
      <c r="AB41" s="24">
        <v>45098.684027777781</v>
      </c>
      <c r="AC41" s="25">
        <f t="shared" si="44"/>
        <v>3.8194444445252884E-2</v>
      </c>
    </row>
    <row r="42" spans="1:29" x14ac:dyDescent="0.25">
      <c r="A42" s="12">
        <v>45078</v>
      </c>
      <c r="B42" s="19">
        <v>133</v>
      </c>
      <c r="C42" s="19">
        <v>6147723</v>
      </c>
      <c r="D42" s="19" t="s">
        <v>30</v>
      </c>
      <c r="E42" s="19" t="s">
        <v>306</v>
      </c>
      <c r="F42" s="20">
        <v>45057</v>
      </c>
      <c r="G42" s="19">
        <v>2230239912</v>
      </c>
      <c r="H42" s="19" t="s">
        <v>192</v>
      </c>
      <c r="I42" s="17">
        <v>5205449</v>
      </c>
      <c r="J42" s="17" t="s">
        <v>39</v>
      </c>
      <c r="K42" s="19"/>
      <c r="L42" s="19">
        <v>0</v>
      </c>
      <c r="M42" s="19">
        <v>25</v>
      </c>
      <c r="N42" s="19">
        <v>780</v>
      </c>
      <c r="O42" s="19">
        <f t="shared" ref="O42:O43" si="46">N42*M42</f>
        <v>19500</v>
      </c>
      <c r="P42" s="19" t="s">
        <v>157</v>
      </c>
      <c r="Q42" s="19" t="s">
        <v>247</v>
      </c>
      <c r="R42" s="19" t="s">
        <v>209</v>
      </c>
      <c r="S42" s="19" t="s">
        <v>316</v>
      </c>
      <c r="T42" s="19">
        <v>637</v>
      </c>
      <c r="U42" s="20">
        <v>45097</v>
      </c>
      <c r="V42" s="20">
        <v>45098</v>
      </c>
      <c r="W42" s="19"/>
      <c r="X42" s="24">
        <v>45098.368055555555</v>
      </c>
      <c r="Y42" s="24">
        <v>45098.684027777781</v>
      </c>
      <c r="Z42" s="25">
        <f t="shared" si="43"/>
        <v>0.31597222222626442</v>
      </c>
      <c r="AA42" s="24">
        <v>45098.645833333336</v>
      </c>
      <c r="AB42" s="24">
        <v>45098.684027777781</v>
      </c>
      <c r="AC42" s="25">
        <f t="shared" ref="AC42:AC43" si="47">AB42-AA42</f>
        <v>3.8194444445252884E-2</v>
      </c>
    </row>
    <row r="43" spans="1:29" x14ac:dyDescent="0.25">
      <c r="A43" s="12">
        <v>45078</v>
      </c>
      <c r="B43" s="19">
        <v>134</v>
      </c>
      <c r="C43" s="19">
        <v>6134297</v>
      </c>
      <c r="D43" s="19" t="s">
        <v>30</v>
      </c>
      <c r="E43" s="19" t="s">
        <v>337</v>
      </c>
      <c r="F43" s="20">
        <v>45060</v>
      </c>
      <c r="G43" s="19" t="s">
        <v>339</v>
      </c>
      <c r="H43" s="19" t="s">
        <v>192</v>
      </c>
      <c r="I43" s="17">
        <v>5211013</v>
      </c>
      <c r="J43" s="17" t="s">
        <v>27</v>
      </c>
      <c r="K43" s="19"/>
      <c r="L43" s="19">
        <v>0</v>
      </c>
      <c r="M43" s="19">
        <v>25</v>
      </c>
      <c r="N43" s="19">
        <v>640</v>
      </c>
      <c r="O43" s="19">
        <f t="shared" si="46"/>
        <v>16000</v>
      </c>
      <c r="P43" s="19" t="s">
        <v>157</v>
      </c>
      <c r="Q43" s="19" t="s">
        <v>247</v>
      </c>
      <c r="R43" s="19" t="s">
        <v>158</v>
      </c>
      <c r="S43" s="19" t="s">
        <v>275</v>
      </c>
      <c r="T43" s="19">
        <v>630</v>
      </c>
      <c r="U43" s="20">
        <v>45099</v>
      </c>
      <c r="V43" s="20">
        <v>45100</v>
      </c>
      <c r="W43" s="19"/>
      <c r="X43" s="24">
        <v>45100.364583333336</v>
      </c>
      <c r="Y43" s="24">
        <v>45100.402777777781</v>
      </c>
      <c r="Z43" s="25">
        <f t="shared" si="43"/>
        <v>3.8194444445252884E-2</v>
      </c>
      <c r="AA43" s="24">
        <v>45100.368055555555</v>
      </c>
      <c r="AB43" s="24">
        <v>45100.388888888891</v>
      </c>
      <c r="AC43" s="25">
        <f t="shared" si="47"/>
        <v>2.0833333335758653E-2</v>
      </c>
    </row>
    <row r="44" spans="1:29" x14ac:dyDescent="0.25">
      <c r="A44" s="12">
        <v>45078</v>
      </c>
      <c r="B44" s="19">
        <v>135</v>
      </c>
      <c r="C44" s="19">
        <v>6134297</v>
      </c>
      <c r="D44" s="19" t="s">
        <v>30</v>
      </c>
      <c r="E44" s="19" t="s">
        <v>337</v>
      </c>
      <c r="F44" s="20">
        <v>45060</v>
      </c>
      <c r="G44" s="19" t="s">
        <v>338</v>
      </c>
      <c r="H44" s="19" t="s">
        <v>192</v>
      </c>
      <c r="I44" s="17">
        <v>5211014</v>
      </c>
      <c r="J44" s="17" t="s">
        <v>38</v>
      </c>
      <c r="K44" s="19"/>
      <c r="L44" s="19">
        <v>0</v>
      </c>
      <c r="M44" s="19">
        <v>25</v>
      </c>
      <c r="N44" s="19">
        <v>640</v>
      </c>
      <c r="O44" s="19">
        <f t="shared" ref="O44:O46" si="48">N44*M44</f>
        <v>16000</v>
      </c>
      <c r="P44" s="19" t="s">
        <v>157</v>
      </c>
      <c r="Q44" s="19" t="s">
        <v>247</v>
      </c>
      <c r="R44" s="19" t="s">
        <v>158</v>
      </c>
      <c r="S44" s="19" t="s">
        <v>340</v>
      </c>
      <c r="T44" s="19">
        <v>631</v>
      </c>
      <c r="U44" s="20">
        <v>45099</v>
      </c>
      <c r="V44" s="20">
        <v>45100</v>
      </c>
      <c r="W44" s="19"/>
      <c r="X44" s="24">
        <v>45100.364583333336</v>
      </c>
      <c r="Y44" s="24">
        <v>45100.416666666664</v>
      </c>
      <c r="Z44" s="25">
        <f t="shared" ref="Z44:Z46" si="49">Y44-X44</f>
        <v>5.2083333328482695E-2</v>
      </c>
      <c r="AA44" s="24">
        <v>45100.395833333336</v>
      </c>
      <c r="AB44" s="24">
        <v>45100.416666666664</v>
      </c>
      <c r="AC44" s="25">
        <f t="shared" ref="AC44:AC46" si="50">AB44-AA44</f>
        <v>2.0833333328482695E-2</v>
      </c>
    </row>
    <row r="45" spans="1:29" x14ac:dyDescent="0.25">
      <c r="A45" s="12">
        <v>45078</v>
      </c>
      <c r="B45" s="19">
        <v>136</v>
      </c>
      <c r="C45" s="19">
        <v>6336464</v>
      </c>
      <c r="D45" s="19" t="s">
        <v>30</v>
      </c>
      <c r="E45" s="19" t="s">
        <v>362</v>
      </c>
      <c r="F45" s="20">
        <v>45071</v>
      </c>
      <c r="G45" s="19" t="s">
        <v>363</v>
      </c>
      <c r="H45" s="19" t="s">
        <v>192</v>
      </c>
      <c r="I45" s="17">
        <v>5212259</v>
      </c>
      <c r="J45" s="17" t="s">
        <v>26</v>
      </c>
      <c r="K45" s="19"/>
      <c r="L45" s="19">
        <v>0</v>
      </c>
      <c r="M45" s="19">
        <v>25</v>
      </c>
      <c r="N45" s="19">
        <v>1040</v>
      </c>
      <c r="O45" s="19">
        <f t="shared" si="48"/>
        <v>26000</v>
      </c>
      <c r="P45" s="19" t="s">
        <v>157</v>
      </c>
      <c r="Q45" s="19" t="s">
        <v>159</v>
      </c>
      <c r="R45" s="19" t="s">
        <v>209</v>
      </c>
      <c r="S45" s="19" t="s">
        <v>210</v>
      </c>
      <c r="T45" s="19">
        <v>13442</v>
      </c>
      <c r="U45" s="20">
        <v>45103</v>
      </c>
      <c r="V45" s="20">
        <v>45104</v>
      </c>
      <c r="W45" s="19"/>
      <c r="X45" s="24">
        <v>45104.375</v>
      </c>
      <c r="Y45" s="24">
        <v>45104.444444444445</v>
      </c>
      <c r="Z45" s="25">
        <f t="shared" si="49"/>
        <v>6.9444444445252884E-2</v>
      </c>
      <c r="AA45" s="24">
        <v>45104.395833333336</v>
      </c>
      <c r="AB45" s="24">
        <v>45104.444444444445</v>
      </c>
      <c r="AC45" s="25">
        <f t="shared" si="50"/>
        <v>4.8611111109494232E-2</v>
      </c>
    </row>
    <row r="46" spans="1:29" x14ac:dyDescent="0.25">
      <c r="A46" s="12">
        <v>45078</v>
      </c>
      <c r="B46" s="19">
        <v>137</v>
      </c>
      <c r="C46" s="19">
        <v>6416376</v>
      </c>
      <c r="D46" s="19" t="s">
        <v>30</v>
      </c>
      <c r="E46" s="19" t="s">
        <v>364</v>
      </c>
      <c r="F46" s="20">
        <v>45071</v>
      </c>
      <c r="G46" s="19" t="s">
        <v>365</v>
      </c>
      <c r="H46" s="19" t="s">
        <v>192</v>
      </c>
      <c r="I46" s="17">
        <v>5212252</v>
      </c>
      <c r="J46" s="17" t="s">
        <v>23</v>
      </c>
      <c r="K46" s="19"/>
      <c r="L46" s="19">
        <v>0</v>
      </c>
      <c r="M46" s="19">
        <v>25</v>
      </c>
      <c r="N46" s="19">
        <v>824</v>
      </c>
      <c r="O46" s="19">
        <f t="shared" si="48"/>
        <v>20600</v>
      </c>
      <c r="P46" s="19" t="s">
        <v>157</v>
      </c>
      <c r="Q46" s="19" t="s">
        <v>247</v>
      </c>
      <c r="R46" s="19" t="s">
        <v>209</v>
      </c>
      <c r="S46" s="19" t="s">
        <v>366</v>
      </c>
      <c r="T46" s="19">
        <v>645</v>
      </c>
      <c r="U46" s="20">
        <v>45103</v>
      </c>
      <c r="V46" s="20">
        <v>45104</v>
      </c>
      <c r="W46" s="19"/>
      <c r="X46" s="24">
        <v>45104.375</v>
      </c>
      <c r="Y46" s="24">
        <v>45104.479166666664</v>
      </c>
      <c r="Z46" s="25">
        <f t="shared" si="49"/>
        <v>0.10416666666424135</v>
      </c>
      <c r="AA46" s="24">
        <v>45104.4375</v>
      </c>
      <c r="AB46" s="24">
        <v>45104.479166666664</v>
      </c>
      <c r="AC46" s="25">
        <f t="shared" si="50"/>
        <v>4.1666666664241347E-2</v>
      </c>
    </row>
    <row r="47" spans="1:29" x14ac:dyDescent="0.25">
      <c r="A47" s="12">
        <v>45078</v>
      </c>
      <c r="B47" s="19">
        <v>137</v>
      </c>
      <c r="C47" s="19">
        <v>6416376</v>
      </c>
      <c r="D47" s="19" t="s">
        <v>30</v>
      </c>
      <c r="E47" s="19" t="s">
        <v>364</v>
      </c>
      <c r="F47" s="20">
        <v>45071</v>
      </c>
      <c r="G47" s="19" t="s">
        <v>368</v>
      </c>
      <c r="H47" s="19" t="s">
        <v>192</v>
      </c>
      <c r="I47" s="17">
        <v>5212252</v>
      </c>
      <c r="J47" s="17" t="s">
        <v>23</v>
      </c>
      <c r="K47" s="19"/>
      <c r="L47" s="19">
        <v>0</v>
      </c>
      <c r="M47" s="19">
        <v>25</v>
      </c>
      <c r="N47" s="19">
        <v>216</v>
      </c>
      <c r="O47" s="19">
        <f t="shared" ref="O47:O48" si="51">N47*M47</f>
        <v>5400</v>
      </c>
      <c r="P47" s="19" t="s">
        <v>157</v>
      </c>
      <c r="Q47" s="19" t="s">
        <v>247</v>
      </c>
      <c r="R47" s="19" t="s">
        <v>209</v>
      </c>
      <c r="S47" s="19" t="s">
        <v>366</v>
      </c>
      <c r="T47" s="19">
        <v>645</v>
      </c>
      <c r="U47" s="20">
        <v>45103</v>
      </c>
      <c r="V47" s="20">
        <v>45104</v>
      </c>
      <c r="W47" s="19"/>
      <c r="X47" s="24">
        <v>45104.375</v>
      </c>
      <c r="Y47" s="24">
        <v>45104.479166666664</v>
      </c>
      <c r="Z47" s="25">
        <f t="shared" ref="Z47:Z48" si="52">Y47-X47</f>
        <v>0.10416666666424135</v>
      </c>
      <c r="AA47" s="24">
        <v>45104.4375</v>
      </c>
      <c r="AB47" s="24">
        <v>45104.479166666664</v>
      </c>
      <c r="AC47" s="25">
        <f t="shared" ref="AC47:AC48" si="53">AB47-AA47</f>
        <v>4.1666666664241347E-2</v>
      </c>
    </row>
    <row r="48" spans="1:29" x14ac:dyDescent="0.25">
      <c r="A48" s="12">
        <v>45078</v>
      </c>
      <c r="B48" s="19">
        <v>138</v>
      </c>
      <c r="C48" s="19">
        <v>6416376</v>
      </c>
      <c r="D48" s="19" t="s">
        <v>30</v>
      </c>
      <c r="E48" s="19" t="s">
        <v>364</v>
      </c>
      <c r="F48" s="20">
        <v>45071</v>
      </c>
      <c r="G48" s="19" t="s">
        <v>367</v>
      </c>
      <c r="H48" s="19" t="s">
        <v>192</v>
      </c>
      <c r="I48" s="17">
        <v>5211013</v>
      </c>
      <c r="J48" s="17" t="s">
        <v>27</v>
      </c>
      <c r="K48" s="19"/>
      <c r="L48" s="19">
        <v>0</v>
      </c>
      <c r="M48" s="19">
        <v>25</v>
      </c>
      <c r="N48" s="19">
        <v>872</v>
      </c>
      <c r="O48" s="19">
        <f t="shared" si="51"/>
        <v>21800</v>
      </c>
      <c r="P48" s="19" t="s">
        <v>157</v>
      </c>
      <c r="Q48" s="19" t="s">
        <v>247</v>
      </c>
      <c r="R48" s="19" t="s">
        <v>209</v>
      </c>
      <c r="S48" s="19" t="s">
        <v>248</v>
      </c>
      <c r="T48" s="19">
        <v>644</v>
      </c>
      <c r="U48" s="20">
        <v>45103</v>
      </c>
      <c r="V48" s="20">
        <v>45104</v>
      </c>
      <c r="W48" s="19"/>
      <c r="X48" s="24">
        <v>45104.375</v>
      </c>
      <c r="Y48" s="24">
        <v>45104.4375</v>
      </c>
      <c r="Z48" s="25">
        <f t="shared" si="52"/>
        <v>6.25E-2</v>
      </c>
      <c r="AA48" s="24">
        <v>45104.395833333336</v>
      </c>
      <c r="AB48" s="24">
        <v>45104.4375</v>
      </c>
      <c r="AC48" s="25">
        <f t="shared" si="53"/>
        <v>4.1666666664241347E-2</v>
      </c>
    </row>
    <row r="49" spans="1:29" x14ac:dyDescent="0.25">
      <c r="A49" s="12">
        <v>45078</v>
      </c>
      <c r="B49" s="19">
        <v>138</v>
      </c>
      <c r="C49" s="19">
        <v>6416376</v>
      </c>
      <c r="D49" s="19" t="s">
        <v>30</v>
      </c>
      <c r="E49" s="19" t="s">
        <v>364</v>
      </c>
      <c r="F49" s="20">
        <v>45071</v>
      </c>
      <c r="G49" s="19" t="s">
        <v>369</v>
      </c>
      <c r="H49" s="19" t="s">
        <v>192</v>
      </c>
      <c r="I49" s="17">
        <v>5211013</v>
      </c>
      <c r="J49" s="17" t="s">
        <v>27</v>
      </c>
      <c r="K49" s="19"/>
      <c r="L49" s="19">
        <v>0</v>
      </c>
      <c r="M49" s="19">
        <v>25</v>
      </c>
      <c r="N49" s="19">
        <v>80</v>
      </c>
      <c r="O49" s="19">
        <f t="shared" ref="O49:O52" si="54">N49*M49</f>
        <v>2000</v>
      </c>
      <c r="P49" s="19" t="s">
        <v>157</v>
      </c>
      <c r="Q49" s="19" t="s">
        <v>247</v>
      </c>
      <c r="R49" s="19" t="s">
        <v>209</v>
      </c>
      <c r="S49" s="19" t="s">
        <v>248</v>
      </c>
      <c r="T49" s="19">
        <v>644</v>
      </c>
      <c r="U49" s="20">
        <v>45103</v>
      </c>
      <c r="V49" s="20">
        <v>45104</v>
      </c>
      <c r="W49" s="19"/>
      <c r="X49" s="24">
        <v>45104.375</v>
      </c>
      <c r="Y49" s="24">
        <v>45104.4375</v>
      </c>
      <c r="Z49" s="25">
        <f t="shared" ref="Z49:Z52" si="55">Y49-X49</f>
        <v>6.25E-2</v>
      </c>
      <c r="AA49" s="24">
        <v>45104.395833333336</v>
      </c>
      <c r="AB49" s="24">
        <v>45104.4375</v>
      </c>
      <c r="AC49" s="25">
        <f t="shared" ref="AC49:AC52" si="56">AB49-AA49</f>
        <v>4.1666666664241347E-2</v>
      </c>
    </row>
    <row r="50" spans="1:29" x14ac:dyDescent="0.25">
      <c r="A50" s="12">
        <v>45078</v>
      </c>
      <c r="B50" s="19">
        <v>138</v>
      </c>
      <c r="C50" s="19">
        <v>6416376</v>
      </c>
      <c r="D50" s="19" t="s">
        <v>30</v>
      </c>
      <c r="E50" s="19" t="s">
        <v>364</v>
      </c>
      <c r="F50" s="20">
        <v>45071</v>
      </c>
      <c r="G50" s="19" t="s">
        <v>370</v>
      </c>
      <c r="H50" s="19" t="s">
        <v>192</v>
      </c>
      <c r="I50" s="17">
        <v>5211013</v>
      </c>
      <c r="J50" s="17" t="s">
        <v>27</v>
      </c>
      <c r="K50" s="19"/>
      <c r="L50" s="19">
        <v>0</v>
      </c>
      <c r="M50" s="19">
        <v>25</v>
      </c>
      <c r="N50" s="19">
        <v>88</v>
      </c>
      <c r="O50" s="19">
        <f t="shared" si="54"/>
        <v>2200</v>
      </c>
      <c r="P50" s="19" t="s">
        <v>157</v>
      </c>
      <c r="Q50" s="19" t="s">
        <v>247</v>
      </c>
      <c r="R50" s="19" t="s">
        <v>209</v>
      </c>
      <c r="S50" s="19" t="s">
        <v>248</v>
      </c>
      <c r="T50" s="19">
        <v>644</v>
      </c>
      <c r="U50" s="20">
        <v>45103</v>
      </c>
      <c r="V50" s="20">
        <v>45104</v>
      </c>
      <c r="W50" s="19"/>
      <c r="X50" s="24">
        <v>45104.375</v>
      </c>
      <c r="Y50" s="24">
        <v>45104.4375</v>
      </c>
      <c r="Z50" s="25">
        <f t="shared" si="55"/>
        <v>6.25E-2</v>
      </c>
      <c r="AA50" s="24">
        <v>45104.395833333336</v>
      </c>
      <c r="AB50" s="24">
        <v>45104.4375</v>
      </c>
      <c r="AC50" s="25">
        <f t="shared" si="56"/>
        <v>4.1666666664241347E-2</v>
      </c>
    </row>
    <row r="51" spans="1:29" x14ac:dyDescent="0.25">
      <c r="A51" s="12">
        <v>45078</v>
      </c>
      <c r="B51" s="19">
        <v>139</v>
      </c>
      <c r="C51" s="19">
        <v>6182815</v>
      </c>
      <c r="D51" s="19" t="s">
        <v>30</v>
      </c>
      <c r="E51" s="19" t="s">
        <v>371</v>
      </c>
      <c r="F51" s="20">
        <v>45056</v>
      </c>
      <c r="G51" s="19" t="s">
        <v>372</v>
      </c>
      <c r="H51" s="19" t="s">
        <v>192</v>
      </c>
      <c r="I51" s="17">
        <v>5212252</v>
      </c>
      <c r="J51" s="17" t="s">
        <v>23</v>
      </c>
      <c r="K51" s="19"/>
      <c r="L51" s="19">
        <v>0</v>
      </c>
      <c r="M51" s="19">
        <v>25</v>
      </c>
      <c r="N51" s="19">
        <v>1040</v>
      </c>
      <c r="O51" s="19">
        <f t="shared" si="54"/>
        <v>26000</v>
      </c>
      <c r="P51" s="19" t="s">
        <v>157</v>
      </c>
      <c r="Q51" s="19" t="s">
        <v>247</v>
      </c>
      <c r="R51" s="19" t="s">
        <v>209</v>
      </c>
      <c r="S51" s="19" t="s">
        <v>251</v>
      </c>
      <c r="T51" s="19">
        <v>641</v>
      </c>
      <c r="U51" s="20">
        <v>45103</v>
      </c>
      <c r="V51" s="20">
        <v>45104</v>
      </c>
      <c r="W51" s="19"/>
      <c r="X51" s="24">
        <v>45104.375</v>
      </c>
      <c r="Y51" s="24">
        <v>45104.5</v>
      </c>
      <c r="Z51" s="25">
        <f t="shared" si="55"/>
        <v>0.125</v>
      </c>
      <c r="AA51" s="24">
        <v>45104.479166666664</v>
      </c>
      <c r="AB51" s="24">
        <v>45104.5</v>
      </c>
      <c r="AC51" s="25">
        <f t="shared" si="56"/>
        <v>2.0833333335758653E-2</v>
      </c>
    </row>
    <row r="52" spans="1:29" x14ac:dyDescent="0.25">
      <c r="A52" s="12">
        <v>45078</v>
      </c>
      <c r="B52" s="19">
        <v>140</v>
      </c>
      <c r="C52" s="19">
        <v>6182815</v>
      </c>
      <c r="D52" s="19" t="s">
        <v>30</v>
      </c>
      <c r="E52" s="19" t="s">
        <v>371</v>
      </c>
      <c r="F52" s="20">
        <v>45056</v>
      </c>
      <c r="G52" s="19" t="s">
        <v>373</v>
      </c>
      <c r="H52" s="19" t="s">
        <v>192</v>
      </c>
      <c r="I52" s="17">
        <v>5212252</v>
      </c>
      <c r="J52" s="17" t="s">
        <v>23</v>
      </c>
      <c r="K52" s="19"/>
      <c r="L52" s="19">
        <v>0</v>
      </c>
      <c r="M52" s="19">
        <v>25</v>
      </c>
      <c r="N52" s="19">
        <v>880</v>
      </c>
      <c r="O52" s="19">
        <f t="shared" si="54"/>
        <v>22000</v>
      </c>
      <c r="P52" s="19" t="s">
        <v>157</v>
      </c>
      <c r="Q52" s="19" t="s">
        <v>247</v>
      </c>
      <c r="R52" s="19" t="s">
        <v>209</v>
      </c>
      <c r="S52" s="19" t="s">
        <v>250</v>
      </c>
      <c r="T52" s="19">
        <v>642</v>
      </c>
      <c r="U52" s="20">
        <v>45103</v>
      </c>
      <c r="V52" s="20">
        <v>45104</v>
      </c>
      <c r="W52" s="19"/>
      <c r="X52" s="24">
        <v>45104.375</v>
      </c>
      <c r="Y52" s="24">
        <v>45104.534722222219</v>
      </c>
      <c r="Z52" s="25">
        <f t="shared" si="55"/>
        <v>0.15972222221898846</v>
      </c>
      <c r="AA52" s="24">
        <v>45104.5</v>
      </c>
      <c r="AB52" s="24">
        <v>45104.534722222219</v>
      </c>
      <c r="AC52" s="25">
        <f t="shared" si="56"/>
        <v>3.4722222218988463E-2</v>
      </c>
    </row>
    <row r="53" spans="1:29" x14ac:dyDescent="0.25">
      <c r="A53" s="12">
        <v>45078</v>
      </c>
      <c r="B53" s="19">
        <v>140</v>
      </c>
      <c r="C53" s="19">
        <v>6182815</v>
      </c>
      <c r="D53" s="19" t="s">
        <v>30</v>
      </c>
      <c r="E53" s="19" t="s">
        <v>371</v>
      </c>
      <c r="F53" s="20">
        <v>45056</v>
      </c>
      <c r="G53" s="19" t="s">
        <v>73</v>
      </c>
      <c r="H53" s="19" t="s">
        <v>192</v>
      </c>
      <c r="I53" s="17">
        <v>5212252</v>
      </c>
      <c r="J53" s="17" t="s">
        <v>23</v>
      </c>
      <c r="K53" s="19"/>
      <c r="L53" s="19">
        <v>0</v>
      </c>
      <c r="M53" s="19">
        <v>25</v>
      </c>
      <c r="N53" s="19">
        <v>40</v>
      </c>
      <c r="O53" s="19">
        <f t="shared" ref="O53:O58" si="57">N53*M53</f>
        <v>1000</v>
      </c>
      <c r="P53" s="19" t="s">
        <v>157</v>
      </c>
      <c r="Q53" s="19" t="s">
        <v>247</v>
      </c>
      <c r="R53" s="19" t="s">
        <v>209</v>
      </c>
      <c r="S53" s="19" t="s">
        <v>250</v>
      </c>
      <c r="T53" s="19">
        <v>642</v>
      </c>
      <c r="U53" s="20">
        <v>45103</v>
      </c>
      <c r="V53" s="20">
        <v>45104</v>
      </c>
      <c r="W53" s="19"/>
      <c r="X53" s="24">
        <v>45104.375</v>
      </c>
      <c r="Y53" s="24">
        <v>45104.534722222219</v>
      </c>
      <c r="Z53" s="25">
        <f t="shared" ref="Z53:Z58" si="58">Y53-X53</f>
        <v>0.15972222221898846</v>
      </c>
      <c r="AA53" s="24">
        <v>45104.5</v>
      </c>
      <c r="AB53" s="24">
        <v>45104.534722222219</v>
      </c>
      <c r="AC53" s="25">
        <f t="shared" ref="AC53:AC58" si="59">AB53-AA53</f>
        <v>3.4722222218988463E-2</v>
      </c>
    </row>
    <row r="54" spans="1:29" x14ac:dyDescent="0.25">
      <c r="A54" s="12">
        <v>45078</v>
      </c>
      <c r="B54" s="19">
        <v>140</v>
      </c>
      <c r="C54" s="19">
        <v>6182815</v>
      </c>
      <c r="D54" s="19" t="s">
        <v>30</v>
      </c>
      <c r="E54" s="19" t="s">
        <v>371</v>
      </c>
      <c r="F54" s="20">
        <v>45056</v>
      </c>
      <c r="G54" s="19" t="s">
        <v>47</v>
      </c>
      <c r="H54" s="19" t="s">
        <v>192</v>
      </c>
      <c r="I54" s="17">
        <v>5212252</v>
      </c>
      <c r="J54" s="17" t="s">
        <v>23</v>
      </c>
      <c r="K54" s="19"/>
      <c r="L54" s="19">
        <v>0</v>
      </c>
      <c r="M54" s="19">
        <v>25</v>
      </c>
      <c r="N54" s="19">
        <v>120</v>
      </c>
      <c r="O54" s="19">
        <f t="shared" si="57"/>
        <v>3000</v>
      </c>
      <c r="P54" s="19" t="s">
        <v>157</v>
      </c>
      <c r="Q54" s="19" t="s">
        <v>247</v>
      </c>
      <c r="R54" s="19" t="s">
        <v>209</v>
      </c>
      <c r="S54" s="19" t="s">
        <v>250</v>
      </c>
      <c r="T54" s="19">
        <v>642</v>
      </c>
      <c r="U54" s="20">
        <v>45103</v>
      </c>
      <c r="V54" s="20">
        <v>45104</v>
      </c>
      <c r="W54" s="19"/>
      <c r="X54" s="24">
        <v>45104.375</v>
      </c>
      <c r="Y54" s="24">
        <v>45104.534722222219</v>
      </c>
      <c r="Z54" s="25">
        <f t="shared" si="58"/>
        <v>0.15972222221898846</v>
      </c>
      <c r="AA54" s="24">
        <v>45104.5</v>
      </c>
      <c r="AB54" s="24">
        <v>45104.534722222219</v>
      </c>
      <c r="AC54" s="25">
        <f t="shared" si="59"/>
        <v>3.4722222218988463E-2</v>
      </c>
    </row>
    <row r="55" spans="1:29" x14ac:dyDescent="0.25">
      <c r="A55" s="12">
        <v>45078</v>
      </c>
      <c r="B55" s="19">
        <v>141</v>
      </c>
      <c r="C55" s="19">
        <v>6336464</v>
      </c>
      <c r="D55" s="19" t="s">
        <v>30</v>
      </c>
      <c r="E55" s="19" t="s">
        <v>362</v>
      </c>
      <c r="F55" s="20">
        <v>45071</v>
      </c>
      <c r="G55" s="19" t="s">
        <v>368</v>
      </c>
      <c r="H55" s="19" t="s">
        <v>192</v>
      </c>
      <c r="I55" s="17">
        <v>5212252</v>
      </c>
      <c r="J55" s="17" t="s">
        <v>23</v>
      </c>
      <c r="K55" s="19"/>
      <c r="L55" s="19">
        <v>0</v>
      </c>
      <c r="M55" s="19">
        <v>25</v>
      </c>
      <c r="N55" s="19">
        <v>1040</v>
      </c>
      <c r="O55" s="19">
        <f t="shared" si="57"/>
        <v>26000</v>
      </c>
      <c r="P55" s="19" t="s">
        <v>157</v>
      </c>
      <c r="Q55" s="19" t="s">
        <v>247</v>
      </c>
      <c r="R55" s="19" t="s">
        <v>209</v>
      </c>
      <c r="S55" s="19" t="s">
        <v>374</v>
      </c>
      <c r="T55" s="19">
        <v>13441</v>
      </c>
      <c r="U55" s="20">
        <v>45103</v>
      </c>
      <c r="V55" s="20">
        <v>45104</v>
      </c>
      <c r="W55" s="19"/>
      <c r="X55" s="24">
        <v>45104.375</v>
      </c>
      <c r="Y55" s="24">
        <v>45104.631944444445</v>
      </c>
      <c r="Z55" s="25">
        <f t="shared" si="58"/>
        <v>0.25694444444525288</v>
      </c>
      <c r="AA55" s="24">
        <v>45104.569444444445</v>
      </c>
      <c r="AB55" s="24">
        <v>45104.631944444445</v>
      </c>
      <c r="AC55" s="25">
        <f t="shared" si="59"/>
        <v>6.25E-2</v>
      </c>
    </row>
    <row r="56" spans="1:29" x14ac:dyDescent="0.25">
      <c r="A56" s="12">
        <v>45078</v>
      </c>
      <c r="B56" s="19">
        <v>142</v>
      </c>
      <c r="C56" s="19">
        <v>6416249</v>
      </c>
      <c r="D56" s="19" t="s">
        <v>30</v>
      </c>
      <c r="E56" s="19" t="s">
        <v>375</v>
      </c>
      <c r="F56" s="20">
        <v>45069</v>
      </c>
      <c r="G56" s="19" t="s">
        <v>376</v>
      </c>
      <c r="H56" s="19" t="s">
        <v>192</v>
      </c>
      <c r="I56" s="17">
        <v>5210162</v>
      </c>
      <c r="J56" s="17" t="s">
        <v>24</v>
      </c>
      <c r="K56" s="19"/>
      <c r="L56" s="19">
        <v>0</v>
      </c>
      <c r="M56" s="19">
        <v>25</v>
      </c>
      <c r="N56" s="19">
        <v>1040</v>
      </c>
      <c r="O56" s="19">
        <f t="shared" si="57"/>
        <v>26000</v>
      </c>
      <c r="P56" s="19" t="s">
        <v>157</v>
      </c>
      <c r="Q56" s="19" t="s">
        <v>159</v>
      </c>
      <c r="R56" s="19" t="s">
        <v>209</v>
      </c>
      <c r="S56" s="19" t="s">
        <v>377</v>
      </c>
      <c r="T56" s="19">
        <v>643</v>
      </c>
      <c r="U56" s="20">
        <v>45103</v>
      </c>
      <c r="V56" s="20">
        <v>45104</v>
      </c>
      <c r="W56" s="19"/>
      <c r="X56" s="24">
        <v>45104.583333333336</v>
      </c>
      <c r="Y56" s="24">
        <v>45104.652777777781</v>
      </c>
      <c r="Z56" s="25">
        <f t="shared" si="58"/>
        <v>6.9444444445252884E-2</v>
      </c>
      <c r="AA56" s="24">
        <v>45104.611111111109</v>
      </c>
      <c r="AB56" s="24">
        <v>45104.652777777781</v>
      </c>
      <c r="AC56" s="25">
        <f t="shared" si="59"/>
        <v>4.1666666671517305E-2</v>
      </c>
    </row>
    <row r="57" spans="1:29" x14ac:dyDescent="0.25">
      <c r="A57" s="12">
        <v>45078</v>
      </c>
      <c r="B57" s="19">
        <v>143</v>
      </c>
      <c r="C57" s="19">
        <v>6509004</v>
      </c>
      <c r="D57" s="19" t="s">
        <v>30</v>
      </c>
      <c r="E57" s="19" t="s">
        <v>410</v>
      </c>
      <c r="F57" s="20">
        <v>45078</v>
      </c>
      <c r="G57" s="19" t="s">
        <v>411</v>
      </c>
      <c r="H57" s="19" t="s">
        <v>192</v>
      </c>
      <c r="I57" s="17">
        <v>5212252</v>
      </c>
      <c r="J57" s="17" t="s">
        <v>23</v>
      </c>
      <c r="K57" s="19"/>
      <c r="L57" s="19">
        <v>0</v>
      </c>
      <c r="M57" s="19">
        <v>25</v>
      </c>
      <c r="N57" s="19">
        <v>1040</v>
      </c>
      <c r="O57" s="19">
        <f t="shared" si="57"/>
        <v>26000</v>
      </c>
      <c r="P57" s="19" t="s">
        <v>157</v>
      </c>
      <c r="Q57" s="19" t="s">
        <v>247</v>
      </c>
      <c r="R57" s="19" t="s">
        <v>209</v>
      </c>
      <c r="S57" s="19" t="s">
        <v>412</v>
      </c>
      <c r="T57" s="19">
        <v>646</v>
      </c>
      <c r="U57" s="20">
        <v>45105</v>
      </c>
      <c r="V57" s="20">
        <v>45106</v>
      </c>
      <c r="W57" s="19"/>
      <c r="X57" s="24">
        <v>45106.395833333336</v>
      </c>
      <c r="Y57" s="24">
        <v>45106.520833333336</v>
      </c>
      <c r="Z57" s="25">
        <f t="shared" si="58"/>
        <v>0.125</v>
      </c>
      <c r="AA57" s="24">
        <v>45106.486111111109</v>
      </c>
      <c r="AB57" s="24">
        <v>45106.520833333336</v>
      </c>
      <c r="AC57" s="25">
        <f t="shared" si="59"/>
        <v>3.4722222226264421E-2</v>
      </c>
    </row>
    <row r="58" spans="1:29" x14ac:dyDescent="0.25">
      <c r="A58" s="12">
        <v>45078</v>
      </c>
      <c r="B58" s="19">
        <v>144</v>
      </c>
      <c r="C58" s="19">
        <v>6509004</v>
      </c>
      <c r="D58" s="19" t="s">
        <v>30</v>
      </c>
      <c r="E58" s="19" t="s">
        <v>410</v>
      </c>
      <c r="F58" s="20">
        <v>45078</v>
      </c>
      <c r="G58" s="19" t="s">
        <v>413</v>
      </c>
      <c r="H58" s="19" t="s">
        <v>192</v>
      </c>
      <c r="I58" s="17">
        <v>5212252</v>
      </c>
      <c r="J58" s="17" t="s">
        <v>23</v>
      </c>
      <c r="K58" s="19"/>
      <c r="L58" s="19">
        <v>0</v>
      </c>
      <c r="M58" s="19">
        <v>25</v>
      </c>
      <c r="N58" s="19">
        <v>400</v>
      </c>
      <c r="O58" s="19">
        <f t="shared" si="57"/>
        <v>10000</v>
      </c>
      <c r="P58" s="19" t="s">
        <v>157</v>
      </c>
      <c r="Q58" s="19" t="s">
        <v>247</v>
      </c>
      <c r="R58" s="19" t="s">
        <v>209</v>
      </c>
      <c r="S58" s="19" t="s">
        <v>250</v>
      </c>
      <c r="T58" s="19">
        <v>647</v>
      </c>
      <c r="U58" s="20">
        <v>45105</v>
      </c>
      <c r="V58" s="20">
        <v>45106</v>
      </c>
      <c r="W58" s="19"/>
      <c r="X58" s="24">
        <v>45106.395833333336</v>
      </c>
      <c r="Y58" s="24">
        <v>45106.645833333336</v>
      </c>
      <c r="Z58" s="25">
        <f t="shared" si="58"/>
        <v>0.25</v>
      </c>
      <c r="AA58" s="24">
        <v>45106.625</v>
      </c>
      <c r="AB58" s="24">
        <v>45106.645833333336</v>
      </c>
      <c r="AC58" s="25">
        <f t="shared" si="59"/>
        <v>2.0833333335758653E-2</v>
      </c>
    </row>
    <row r="59" spans="1:29" x14ac:dyDescent="0.25">
      <c r="A59" s="12">
        <v>45078</v>
      </c>
      <c r="B59" s="19">
        <v>144</v>
      </c>
      <c r="C59" s="19">
        <v>6509004</v>
      </c>
      <c r="D59" s="19" t="s">
        <v>30</v>
      </c>
      <c r="E59" s="19" t="s">
        <v>410</v>
      </c>
      <c r="F59" s="20">
        <v>45078</v>
      </c>
      <c r="G59" s="19" t="s">
        <v>411</v>
      </c>
      <c r="H59" s="19" t="s">
        <v>192</v>
      </c>
      <c r="I59" s="17">
        <v>5212252</v>
      </c>
      <c r="J59" s="17" t="s">
        <v>23</v>
      </c>
      <c r="K59" s="19"/>
      <c r="L59" s="19">
        <v>0</v>
      </c>
      <c r="M59" s="19">
        <v>25</v>
      </c>
      <c r="N59" s="19">
        <v>424</v>
      </c>
      <c r="O59" s="19">
        <f t="shared" ref="O59:O61" si="60">N59*M59</f>
        <v>10600</v>
      </c>
      <c r="P59" s="19" t="s">
        <v>157</v>
      </c>
      <c r="Q59" s="19" t="s">
        <v>247</v>
      </c>
      <c r="R59" s="19" t="s">
        <v>209</v>
      </c>
      <c r="S59" s="19" t="s">
        <v>250</v>
      </c>
      <c r="T59" s="19">
        <v>647</v>
      </c>
      <c r="U59" s="20">
        <v>45105</v>
      </c>
      <c r="V59" s="20">
        <v>45106</v>
      </c>
      <c r="W59" s="19"/>
      <c r="X59" s="24">
        <v>45106.395833333336</v>
      </c>
      <c r="Y59" s="24">
        <v>45106.645833333336</v>
      </c>
      <c r="Z59" s="25">
        <f t="shared" ref="Z59:Z61" si="61">Y59-X59</f>
        <v>0.25</v>
      </c>
      <c r="AA59" s="24">
        <v>45106.625</v>
      </c>
      <c r="AB59" s="24">
        <v>45106.645833333336</v>
      </c>
      <c r="AC59" s="25">
        <f t="shared" ref="AC59:AC61" si="62">AB59-AA59</f>
        <v>2.0833333335758653E-2</v>
      </c>
    </row>
    <row r="60" spans="1:29" x14ac:dyDescent="0.25">
      <c r="A60" s="12">
        <v>45078</v>
      </c>
      <c r="B60" s="19">
        <v>144</v>
      </c>
      <c r="C60" s="19">
        <v>6509004</v>
      </c>
      <c r="D60" s="19" t="s">
        <v>30</v>
      </c>
      <c r="E60" s="19" t="s">
        <v>410</v>
      </c>
      <c r="F60" s="20">
        <v>45078</v>
      </c>
      <c r="G60" s="19" t="s">
        <v>368</v>
      </c>
      <c r="H60" s="19" t="s">
        <v>192</v>
      </c>
      <c r="I60" s="17">
        <v>5212252</v>
      </c>
      <c r="J60" s="17" t="s">
        <v>23</v>
      </c>
      <c r="K60" s="19"/>
      <c r="L60" s="19">
        <v>0</v>
      </c>
      <c r="M60" s="19">
        <v>25</v>
      </c>
      <c r="N60" s="19">
        <v>216</v>
      </c>
      <c r="O60" s="19">
        <f t="shared" si="60"/>
        <v>5400</v>
      </c>
      <c r="P60" s="19" t="s">
        <v>157</v>
      </c>
      <c r="Q60" s="19" t="s">
        <v>247</v>
      </c>
      <c r="R60" s="19" t="s">
        <v>209</v>
      </c>
      <c r="S60" s="19" t="s">
        <v>250</v>
      </c>
      <c r="T60" s="19">
        <v>647</v>
      </c>
      <c r="U60" s="20">
        <v>45105</v>
      </c>
      <c r="V60" s="20">
        <v>45106</v>
      </c>
      <c r="W60" s="19"/>
      <c r="X60" s="24">
        <v>45106.395833333336</v>
      </c>
      <c r="Y60" s="24">
        <v>45106.645833333336</v>
      </c>
      <c r="Z60" s="25">
        <f t="shared" si="61"/>
        <v>0.25</v>
      </c>
      <c r="AA60" s="24">
        <v>45106.625</v>
      </c>
      <c r="AB60" s="24">
        <v>45106.645833333336</v>
      </c>
      <c r="AC60" s="25">
        <f t="shared" si="62"/>
        <v>2.0833333335758653E-2</v>
      </c>
    </row>
    <row r="61" spans="1:29" x14ac:dyDescent="0.25">
      <c r="A61" s="12">
        <v>45108</v>
      </c>
      <c r="B61" s="19">
        <v>145</v>
      </c>
      <c r="C61" s="19">
        <v>6508852</v>
      </c>
      <c r="D61" s="19">
        <v>5002475658</v>
      </c>
      <c r="E61" s="19" t="s">
        <v>430</v>
      </c>
      <c r="F61" s="20">
        <v>45078</v>
      </c>
      <c r="G61" s="19" t="s">
        <v>413</v>
      </c>
      <c r="H61" s="19" t="s">
        <v>192</v>
      </c>
      <c r="I61" s="17">
        <v>5212252</v>
      </c>
      <c r="J61" s="17" t="s">
        <v>23</v>
      </c>
      <c r="K61" s="19"/>
      <c r="L61" s="19">
        <v>0</v>
      </c>
      <c r="M61" s="19">
        <v>25</v>
      </c>
      <c r="N61" s="19">
        <v>560</v>
      </c>
      <c r="O61" s="19">
        <f t="shared" si="60"/>
        <v>14000</v>
      </c>
      <c r="P61" s="19" t="s">
        <v>157</v>
      </c>
      <c r="Q61" s="19" t="s">
        <v>247</v>
      </c>
      <c r="R61" s="19" t="s">
        <v>158</v>
      </c>
      <c r="S61" s="19" t="s">
        <v>431</v>
      </c>
      <c r="T61" s="19">
        <v>648</v>
      </c>
      <c r="U61" s="20">
        <v>45107</v>
      </c>
      <c r="V61" s="20">
        <v>45108</v>
      </c>
      <c r="W61" s="19"/>
      <c r="X61" s="24">
        <v>45108.375</v>
      </c>
      <c r="Y61" s="24">
        <v>45108.420138888891</v>
      </c>
      <c r="Z61" s="25">
        <f t="shared" si="61"/>
        <v>4.5138888890505768E-2</v>
      </c>
      <c r="AA61" s="24">
        <v>45108.395833333336</v>
      </c>
      <c r="AB61" s="24">
        <v>45108.420138888891</v>
      </c>
      <c r="AC61" s="25">
        <f t="shared" si="62"/>
        <v>2.4305555554747116E-2</v>
      </c>
    </row>
    <row r="62" spans="1:29" x14ac:dyDescent="0.25">
      <c r="A62" s="12">
        <v>45108</v>
      </c>
      <c r="B62" s="19">
        <v>145</v>
      </c>
      <c r="C62" s="19">
        <v>6508852</v>
      </c>
      <c r="D62" s="19">
        <v>5002475658</v>
      </c>
      <c r="E62" s="19" t="s">
        <v>430</v>
      </c>
      <c r="F62" s="20">
        <v>45078</v>
      </c>
      <c r="G62" s="19" t="s">
        <v>432</v>
      </c>
      <c r="H62" s="19" t="s">
        <v>192</v>
      </c>
      <c r="I62" s="17" t="s">
        <v>30</v>
      </c>
      <c r="J62" s="17" t="s">
        <v>434</v>
      </c>
      <c r="K62" s="19"/>
      <c r="L62" s="19">
        <v>0</v>
      </c>
      <c r="M62" s="19">
        <v>25</v>
      </c>
      <c r="N62" s="19">
        <v>80</v>
      </c>
      <c r="O62" s="19">
        <f t="shared" ref="O62:O64" si="63">N62*M62</f>
        <v>2000</v>
      </c>
      <c r="P62" s="19" t="s">
        <v>157</v>
      </c>
      <c r="Q62" s="19" t="s">
        <v>247</v>
      </c>
      <c r="R62" s="19" t="s">
        <v>158</v>
      </c>
      <c r="S62" s="19" t="s">
        <v>431</v>
      </c>
      <c r="T62" s="19">
        <v>648</v>
      </c>
      <c r="U62" s="20">
        <v>45107</v>
      </c>
      <c r="V62" s="20">
        <v>45108</v>
      </c>
      <c r="W62" s="19"/>
      <c r="X62" s="24">
        <v>45108.375</v>
      </c>
      <c r="Y62" s="24">
        <v>45108.420138888891</v>
      </c>
      <c r="Z62" s="25">
        <f t="shared" ref="Z62:Z64" si="64">Y62-X62</f>
        <v>4.5138888890505768E-2</v>
      </c>
      <c r="AA62" s="24">
        <v>45108.395833333336</v>
      </c>
      <c r="AB62" s="24">
        <v>45108.420138888891</v>
      </c>
      <c r="AC62" s="25">
        <f t="shared" ref="AC62:AC64" si="65">AB62-AA62</f>
        <v>2.4305555554747116E-2</v>
      </c>
    </row>
    <row r="63" spans="1:29" x14ac:dyDescent="0.25">
      <c r="A63" s="12">
        <v>45108</v>
      </c>
      <c r="B63" s="19">
        <v>146</v>
      </c>
      <c r="C63" s="19">
        <v>6335852</v>
      </c>
      <c r="D63" s="19">
        <v>5002440906</v>
      </c>
      <c r="E63" s="19" t="s">
        <v>433</v>
      </c>
      <c r="F63" s="20">
        <v>45066</v>
      </c>
      <c r="G63" s="19" t="s">
        <v>376</v>
      </c>
      <c r="H63" s="19" t="s">
        <v>192</v>
      </c>
      <c r="I63" s="17">
        <v>5210162</v>
      </c>
      <c r="J63" s="17" t="s">
        <v>24</v>
      </c>
      <c r="K63" s="19"/>
      <c r="L63" s="19">
        <v>0</v>
      </c>
      <c r="M63" s="19">
        <v>25</v>
      </c>
      <c r="N63" s="19">
        <v>640</v>
      </c>
      <c r="O63" s="19">
        <f t="shared" si="63"/>
        <v>16000</v>
      </c>
      <c r="P63" s="19" t="s">
        <v>157</v>
      </c>
      <c r="Q63" s="19" t="s">
        <v>159</v>
      </c>
      <c r="R63" s="19" t="s">
        <v>158</v>
      </c>
      <c r="S63" s="19" t="s">
        <v>436</v>
      </c>
      <c r="T63" s="19">
        <v>13445</v>
      </c>
      <c r="U63" s="20">
        <v>45107</v>
      </c>
      <c r="V63" s="20">
        <v>45108</v>
      </c>
      <c r="W63" s="19"/>
      <c r="X63" s="24">
        <v>45108.375</v>
      </c>
      <c r="Y63" s="24">
        <v>45108.420138888891</v>
      </c>
      <c r="Z63" s="25">
        <f t="shared" si="64"/>
        <v>4.5138888890505768E-2</v>
      </c>
      <c r="AA63" s="24">
        <v>45108.388888888891</v>
      </c>
      <c r="AB63" s="24">
        <v>45108.416666666664</v>
      </c>
      <c r="AC63" s="25">
        <f t="shared" si="65"/>
        <v>2.7777777773735579E-2</v>
      </c>
    </row>
    <row r="64" spans="1:29" x14ac:dyDescent="0.25">
      <c r="A64" s="12">
        <v>45108</v>
      </c>
      <c r="B64" s="19">
        <v>147</v>
      </c>
      <c r="C64" s="19">
        <v>6337848</v>
      </c>
      <c r="D64" s="19">
        <v>5002475669</v>
      </c>
      <c r="E64" s="19" t="s">
        <v>437</v>
      </c>
      <c r="F64" s="20">
        <v>45078</v>
      </c>
      <c r="G64" s="19" t="s">
        <v>312</v>
      </c>
      <c r="H64" s="19" t="s">
        <v>192</v>
      </c>
      <c r="I64" s="17">
        <v>5212252</v>
      </c>
      <c r="J64" s="17" t="s">
        <v>23</v>
      </c>
      <c r="K64" s="19"/>
      <c r="L64" s="19">
        <v>0</v>
      </c>
      <c r="M64" s="19">
        <v>25</v>
      </c>
      <c r="N64" s="19">
        <v>800</v>
      </c>
      <c r="O64" s="19">
        <f t="shared" si="63"/>
        <v>20000</v>
      </c>
      <c r="P64" s="19" t="s">
        <v>157</v>
      </c>
      <c r="Q64" s="19" t="s">
        <v>159</v>
      </c>
      <c r="R64" s="19" t="s">
        <v>209</v>
      </c>
      <c r="S64" s="19" t="s">
        <v>435</v>
      </c>
      <c r="T64" s="19">
        <v>13446</v>
      </c>
      <c r="U64" s="20">
        <v>45107</v>
      </c>
      <c r="V64" s="20">
        <v>45108</v>
      </c>
      <c r="W64" s="19"/>
      <c r="X64" s="24">
        <v>45108.375</v>
      </c>
      <c r="Y64" s="24">
        <v>45108.472222222219</v>
      </c>
      <c r="Z64" s="25">
        <f t="shared" si="64"/>
        <v>9.7222222218988463E-2</v>
      </c>
      <c r="AA64" s="24">
        <v>45108.444444444445</v>
      </c>
      <c r="AB64" s="24">
        <v>45108.472222222219</v>
      </c>
      <c r="AC64" s="25">
        <f t="shared" si="65"/>
        <v>2.7777777773735579E-2</v>
      </c>
    </row>
    <row r="65" spans="1:29" x14ac:dyDescent="0.25">
      <c r="A65" s="12">
        <v>45108</v>
      </c>
      <c r="B65" s="19">
        <v>147</v>
      </c>
      <c r="C65" s="19">
        <v>6337848</v>
      </c>
      <c r="D65" s="19">
        <v>5002475669</v>
      </c>
      <c r="E65" s="19" t="s">
        <v>437</v>
      </c>
      <c r="F65" s="20">
        <v>45078</v>
      </c>
      <c r="G65" s="19" t="s">
        <v>365</v>
      </c>
      <c r="H65" s="19" t="s">
        <v>192</v>
      </c>
      <c r="I65" s="17">
        <v>5212252</v>
      </c>
      <c r="J65" s="17" t="s">
        <v>23</v>
      </c>
      <c r="K65" s="19"/>
      <c r="L65" s="19">
        <v>0</v>
      </c>
      <c r="M65" s="19">
        <v>25</v>
      </c>
      <c r="N65" s="19">
        <v>240</v>
      </c>
      <c r="O65" s="19">
        <f t="shared" ref="O65:O82" si="66">N65*M65</f>
        <v>6000</v>
      </c>
      <c r="P65" s="19" t="s">
        <v>157</v>
      </c>
      <c r="Q65" s="19" t="s">
        <v>159</v>
      </c>
      <c r="R65" s="19" t="s">
        <v>209</v>
      </c>
      <c r="S65" s="19" t="s">
        <v>435</v>
      </c>
      <c r="T65" s="19">
        <v>13446</v>
      </c>
      <c r="U65" s="20">
        <v>45107</v>
      </c>
      <c r="V65" s="20">
        <v>45108</v>
      </c>
      <c r="W65" s="19"/>
      <c r="X65" s="24">
        <v>45108.375</v>
      </c>
      <c r="Y65" s="24">
        <v>45108.472222222219</v>
      </c>
      <c r="Z65" s="25">
        <f t="shared" ref="Z65:Z66" si="67">Y65-X65</f>
        <v>9.7222222218988463E-2</v>
      </c>
      <c r="AA65" s="24">
        <v>45108.444444444445</v>
      </c>
      <c r="AB65" s="24">
        <v>45108.472222222219</v>
      </c>
      <c r="AC65" s="25">
        <f t="shared" ref="AC65:AC66" si="68">AB65-AA65</f>
        <v>2.7777777773735579E-2</v>
      </c>
    </row>
    <row r="66" spans="1:29" x14ac:dyDescent="0.25">
      <c r="A66" s="12">
        <v>45108</v>
      </c>
      <c r="B66" s="19">
        <v>148</v>
      </c>
      <c r="C66" s="19">
        <v>6337848</v>
      </c>
      <c r="D66" s="19">
        <v>5002475669</v>
      </c>
      <c r="E66" s="19" t="s">
        <v>437</v>
      </c>
      <c r="F66" s="20">
        <v>45078</v>
      </c>
      <c r="G66" s="19" t="s">
        <v>438</v>
      </c>
      <c r="H66" s="19" t="s">
        <v>192</v>
      </c>
      <c r="I66" s="17">
        <v>5212252</v>
      </c>
      <c r="J66" s="17" t="s">
        <v>23</v>
      </c>
      <c r="K66" s="19"/>
      <c r="L66" s="19">
        <v>0</v>
      </c>
      <c r="M66" s="19">
        <v>25</v>
      </c>
      <c r="N66" s="19">
        <v>544</v>
      </c>
      <c r="O66" s="19">
        <f t="shared" si="66"/>
        <v>13600</v>
      </c>
      <c r="P66" s="19" t="s">
        <v>157</v>
      </c>
      <c r="Q66" s="19" t="s">
        <v>159</v>
      </c>
      <c r="R66" s="19" t="s">
        <v>209</v>
      </c>
      <c r="S66" s="19" t="s">
        <v>439</v>
      </c>
      <c r="T66" s="19">
        <v>13447</v>
      </c>
      <c r="U66" s="20">
        <v>45107</v>
      </c>
      <c r="V66" s="20">
        <v>45108</v>
      </c>
      <c r="W66" s="19"/>
      <c r="X66" s="24">
        <v>45108.375</v>
      </c>
      <c r="Y66" s="24">
        <v>45108.465277777781</v>
      </c>
      <c r="Z66" s="25">
        <f t="shared" si="67"/>
        <v>9.0277777781011537E-2</v>
      </c>
      <c r="AA66" s="24">
        <v>45108.4375</v>
      </c>
      <c r="AB66" s="24">
        <v>45108.465277777781</v>
      </c>
      <c r="AC66" s="25">
        <f t="shared" si="68"/>
        <v>2.7777777781011537E-2</v>
      </c>
    </row>
    <row r="67" spans="1:29" x14ac:dyDescent="0.25">
      <c r="A67" s="12">
        <v>45108</v>
      </c>
      <c r="B67" s="19">
        <v>148</v>
      </c>
      <c r="C67" s="19">
        <v>6337848</v>
      </c>
      <c r="D67" s="19">
        <v>5002475669</v>
      </c>
      <c r="E67" s="19" t="s">
        <v>437</v>
      </c>
      <c r="F67" s="20">
        <v>45078</v>
      </c>
      <c r="G67" s="19" t="s">
        <v>365</v>
      </c>
      <c r="H67" s="19" t="s">
        <v>192</v>
      </c>
      <c r="I67" s="17">
        <v>5212252</v>
      </c>
      <c r="J67" s="17" t="s">
        <v>23</v>
      </c>
      <c r="K67" s="19"/>
      <c r="L67" s="19">
        <v>0</v>
      </c>
      <c r="M67" s="19">
        <v>25</v>
      </c>
      <c r="N67" s="19">
        <v>496</v>
      </c>
      <c r="O67" s="19">
        <f t="shared" si="66"/>
        <v>12400</v>
      </c>
      <c r="P67" s="19" t="s">
        <v>157</v>
      </c>
      <c r="Q67" s="19" t="s">
        <v>159</v>
      </c>
      <c r="R67" s="19" t="s">
        <v>209</v>
      </c>
      <c r="S67" s="19" t="s">
        <v>439</v>
      </c>
      <c r="T67" s="19">
        <v>13447</v>
      </c>
      <c r="U67" s="20">
        <v>45107</v>
      </c>
      <c r="V67" s="20">
        <v>45108</v>
      </c>
      <c r="W67" s="19"/>
      <c r="X67" s="24">
        <v>45108.375</v>
      </c>
      <c r="Y67" s="24">
        <v>45108.465277777781</v>
      </c>
      <c r="Z67" s="25">
        <f t="shared" ref="Z67:Z72" si="69">Y67-X67</f>
        <v>9.0277777781011537E-2</v>
      </c>
      <c r="AA67" s="24">
        <v>45108.4375</v>
      </c>
      <c r="AB67" s="24">
        <v>45108.465277777781</v>
      </c>
      <c r="AC67" s="25">
        <f t="shared" ref="AC67:AC72" si="70">AB67-AA67</f>
        <v>2.7777777781011537E-2</v>
      </c>
    </row>
    <row r="68" spans="1:29" x14ac:dyDescent="0.25">
      <c r="A68" s="12">
        <v>45108</v>
      </c>
      <c r="B68" s="19">
        <v>149</v>
      </c>
      <c r="C68" s="19">
        <v>6335482</v>
      </c>
      <c r="D68" s="19">
        <v>5002478682</v>
      </c>
      <c r="E68" s="19" t="s">
        <v>444</v>
      </c>
      <c r="F68" s="20">
        <v>45078</v>
      </c>
      <c r="G68" s="19" t="s">
        <v>445</v>
      </c>
      <c r="H68" s="19" t="s">
        <v>192</v>
      </c>
      <c r="I68" s="17">
        <v>5212259</v>
      </c>
      <c r="J68" s="17" t="s">
        <v>26</v>
      </c>
      <c r="K68" s="19"/>
      <c r="L68" s="19">
        <v>0</v>
      </c>
      <c r="M68" s="19">
        <v>25</v>
      </c>
      <c r="N68" s="19">
        <v>920</v>
      </c>
      <c r="O68" s="19">
        <f t="shared" si="66"/>
        <v>23000</v>
      </c>
      <c r="P68" s="19" t="s">
        <v>157</v>
      </c>
      <c r="Q68" s="19" t="s">
        <v>159</v>
      </c>
      <c r="R68" s="19" t="s">
        <v>209</v>
      </c>
      <c r="S68" s="19" t="s">
        <v>446</v>
      </c>
      <c r="T68" s="19">
        <v>12251</v>
      </c>
      <c r="U68" s="20">
        <v>45108</v>
      </c>
      <c r="V68" s="20">
        <v>45110</v>
      </c>
      <c r="W68" s="19"/>
      <c r="X68" s="24">
        <v>45110.385416666664</v>
      </c>
      <c r="Y68" s="24">
        <v>45110.451388888891</v>
      </c>
      <c r="Z68" s="25">
        <f t="shared" si="69"/>
        <v>6.5972222226264421E-2</v>
      </c>
      <c r="AA68" s="24">
        <v>45110.416666666664</v>
      </c>
      <c r="AB68" s="24">
        <v>45110.451388888891</v>
      </c>
      <c r="AC68" s="25">
        <f t="shared" si="70"/>
        <v>3.4722222226264421E-2</v>
      </c>
    </row>
    <row r="69" spans="1:29" x14ac:dyDescent="0.25">
      <c r="A69" s="12">
        <v>45108</v>
      </c>
      <c r="B69" s="19">
        <v>149</v>
      </c>
      <c r="C69" s="19">
        <v>6335482</v>
      </c>
      <c r="D69" s="19">
        <v>5002478682</v>
      </c>
      <c r="E69" s="19" t="s">
        <v>444</v>
      </c>
      <c r="F69" s="20">
        <v>45078</v>
      </c>
      <c r="G69" s="19" t="s">
        <v>45</v>
      </c>
      <c r="H69" s="19" t="s">
        <v>192</v>
      </c>
      <c r="I69" s="17">
        <v>5212259</v>
      </c>
      <c r="J69" s="17" t="s">
        <v>26</v>
      </c>
      <c r="K69" s="19"/>
      <c r="L69" s="19">
        <v>0</v>
      </c>
      <c r="M69" s="19">
        <v>25</v>
      </c>
      <c r="N69" s="19">
        <v>120</v>
      </c>
      <c r="O69" s="19">
        <f t="shared" ref="O69" si="71">N69*M69</f>
        <v>3000</v>
      </c>
      <c r="P69" s="19" t="s">
        <v>157</v>
      </c>
      <c r="Q69" s="19" t="s">
        <v>159</v>
      </c>
      <c r="R69" s="19" t="s">
        <v>209</v>
      </c>
      <c r="S69" s="19" t="s">
        <v>446</v>
      </c>
      <c r="T69" s="19">
        <v>12251</v>
      </c>
      <c r="U69" s="20">
        <v>45108</v>
      </c>
      <c r="V69" s="20">
        <v>45110</v>
      </c>
      <c r="W69" s="19"/>
      <c r="X69" s="24">
        <v>45110.385416666664</v>
      </c>
      <c r="Y69" s="24">
        <v>45110.451388888891</v>
      </c>
      <c r="Z69" s="25">
        <f t="shared" ref="Z69" si="72">Y69-X69</f>
        <v>6.5972222226264421E-2</v>
      </c>
      <c r="AA69" s="24">
        <v>45110.416666666664</v>
      </c>
      <c r="AB69" s="24">
        <v>45110.451388888891</v>
      </c>
      <c r="AC69" s="25">
        <f t="shared" ref="AC69" si="73">AB69-AA69</f>
        <v>3.4722222226264421E-2</v>
      </c>
    </row>
    <row r="70" spans="1:29" x14ac:dyDescent="0.25">
      <c r="A70" s="12">
        <v>45108</v>
      </c>
      <c r="B70" s="19">
        <v>150</v>
      </c>
      <c r="C70" s="19">
        <v>6335482</v>
      </c>
      <c r="D70" s="19">
        <v>5002478682</v>
      </c>
      <c r="E70" s="19" t="s">
        <v>444</v>
      </c>
      <c r="F70" s="20">
        <v>45078</v>
      </c>
      <c r="G70" s="19" t="s">
        <v>447</v>
      </c>
      <c r="H70" s="19" t="s">
        <v>192</v>
      </c>
      <c r="I70" s="17">
        <v>5212259</v>
      </c>
      <c r="J70" s="17" t="s">
        <v>26</v>
      </c>
      <c r="K70" s="19"/>
      <c r="L70" s="19">
        <v>0</v>
      </c>
      <c r="M70" s="19">
        <v>25</v>
      </c>
      <c r="N70" s="19">
        <v>970</v>
      </c>
      <c r="O70" s="19">
        <f t="shared" si="66"/>
        <v>24250</v>
      </c>
      <c r="P70" s="19" t="s">
        <v>157</v>
      </c>
      <c r="Q70" s="19" t="s">
        <v>159</v>
      </c>
      <c r="R70" s="19" t="s">
        <v>209</v>
      </c>
      <c r="S70" s="19" t="s">
        <v>448</v>
      </c>
      <c r="T70" s="19">
        <v>12251</v>
      </c>
      <c r="U70" s="20">
        <v>45108</v>
      </c>
      <c r="V70" s="20">
        <v>45110</v>
      </c>
      <c r="W70" s="19"/>
      <c r="X70" s="24">
        <v>45110.385416666664</v>
      </c>
      <c r="Y70" s="24">
        <v>45110.493055555555</v>
      </c>
      <c r="Z70" s="25">
        <f t="shared" si="69"/>
        <v>0.10763888889050577</v>
      </c>
      <c r="AA70" s="24">
        <v>45110.451388888891</v>
      </c>
      <c r="AB70" s="24">
        <v>45110.486111111109</v>
      </c>
      <c r="AC70" s="25">
        <f t="shared" si="70"/>
        <v>3.4722222218988463E-2</v>
      </c>
    </row>
    <row r="71" spans="1:29" x14ac:dyDescent="0.25">
      <c r="A71" s="12">
        <v>45108</v>
      </c>
      <c r="B71" s="19">
        <v>150</v>
      </c>
      <c r="C71" s="19">
        <v>6335482</v>
      </c>
      <c r="D71" s="19">
        <v>5002478682</v>
      </c>
      <c r="E71" s="19" t="s">
        <v>444</v>
      </c>
      <c r="F71" s="20">
        <v>45078</v>
      </c>
      <c r="G71" s="19" t="s">
        <v>45</v>
      </c>
      <c r="H71" s="19" t="s">
        <v>192</v>
      </c>
      <c r="I71" s="17">
        <v>5212259</v>
      </c>
      <c r="J71" s="17" t="s">
        <v>26</v>
      </c>
      <c r="K71" s="19"/>
      <c r="L71" s="19">
        <v>0</v>
      </c>
      <c r="M71" s="19">
        <v>25</v>
      </c>
      <c r="N71" s="19">
        <v>70</v>
      </c>
      <c r="O71" s="19">
        <f t="shared" ref="O71" si="74">N71*M71</f>
        <v>1750</v>
      </c>
      <c r="P71" s="19" t="s">
        <v>157</v>
      </c>
      <c r="Q71" s="19" t="s">
        <v>159</v>
      </c>
      <c r="R71" s="19" t="s">
        <v>209</v>
      </c>
      <c r="S71" s="19" t="s">
        <v>448</v>
      </c>
      <c r="T71" s="19">
        <v>12251</v>
      </c>
      <c r="U71" s="20">
        <v>45108</v>
      </c>
      <c r="V71" s="20">
        <v>45110</v>
      </c>
      <c r="W71" s="19"/>
      <c r="X71" s="24">
        <v>45110.385416666664</v>
      </c>
      <c r="Y71" s="24">
        <v>45110.493055555555</v>
      </c>
      <c r="Z71" s="25">
        <f t="shared" ref="Z71" si="75">Y71-X71</f>
        <v>0.10763888889050577</v>
      </c>
      <c r="AA71" s="24">
        <v>45110.451388888891</v>
      </c>
      <c r="AB71" s="24">
        <v>45110.486111111109</v>
      </c>
      <c r="AC71" s="25">
        <f t="shared" ref="AC71" si="76">AB71-AA71</f>
        <v>3.4722222218988463E-2</v>
      </c>
    </row>
    <row r="72" spans="1:29" x14ac:dyDescent="0.25">
      <c r="A72" s="12">
        <v>45108</v>
      </c>
      <c r="B72" s="19">
        <v>151</v>
      </c>
      <c r="C72" s="19">
        <v>2900840</v>
      </c>
      <c r="D72" s="19">
        <v>5002490191</v>
      </c>
      <c r="E72" s="19" t="s">
        <v>449</v>
      </c>
      <c r="F72" s="20">
        <v>45104</v>
      </c>
      <c r="G72" s="21" t="s">
        <v>450</v>
      </c>
      <c r="H72" s="19" t="s">
        <v>132</v>
      </c>
      <c r="I72" s="17">
        <v>5200193</v>
      </c>
      <c r="J72" s="17" t="s">
        <v>41</v>
      </c>
      <c r="K72" s="19"/>
      <c r="L72" s="19">
        <v>0</v>
      </c>
      <c r="M72" s="19">
        <v>250</v>
      </c>
      <c r="N72" s="19">
        <v>40</v>
      </c>
      <c r="O72" s="19">
        <f t="shared" si="66"/>
        <v>10000</v>
      </c>
      <c r="P72" s="19" t="s">
        <v>477</v>
      </c>
      <c r="Q72" s="19" t="s">
        <v>478</v>
      </c>
      <c r="R72" s="19" t="s">
        <v>399</v>
      </c>
      <c r="S72" s="19" t="s">
        <v>479</v>
      </c>
      <c r="T72" s="19">
        <v>339</v>
      </c>
      <c r="U72" s="20">
        <v>45105</v>
      </c>
      <c r="V72" s="20">
        <v>45110</v>
      </c>
      <c r="W72" s="19"/>
      <c r="X72" s="24">
        <v>45110.385416666664</v>
      </c>
      <c r="Y72" s="24">
        <v>45110.666666666664</v>
      </c>
      <c r="Z72" s="25">
        <f t="shared" si="69"/>
        <v>0.28125</v>
      </c>
      <c r="AA72" s="24">
        <v>45110.5</v>
      </c>
      <c r="AB72" s="24">
        <v>45110.666666666664</v>
      </c>
      <c r="AC72" s="25">
        <f t="shared" si="70"/>
        <v>0.16666666666424135</v>
      </c>
    </row>
    <row r="73" spans="1:29" x14ac:dyDescent="0.25">
      <c r="A73" s="12">
        <v>45108</v>
      </c>
      <c r="B73" s="19">
        <v>151</v>
      </c>
      <c r="C73" s="19">
        <v>2900840</v>
      </c>
      <c r="D73" s="19">
        <v>5002490192</v>
      </c>
      <c r="E73" s="19" t="s">
        <v>480</v>
      </c>
      <c r="F73" s="20">
        <v>45104</v>
      </c>
      <c r="G73" s="21" t="s">
        <v>450</v>
      </c>
      <c r="H73" s="19" t="s">
        <v>132</v>
      </c>
      <c r="I73" s="17">
        <v>5200193</v>
      </c>
      <c r="J73" s="17" t="s">
        <v>41</v>
      </c>
      <c r="K73" s="19"/>
      <c r="L73" s="19">
        <v>0</v>
      </c>
      <c r="M73" s="19">
        <v>250</v>
      </c>
      <c r="N73" s="19">
        <v>70</v>
      </c>
      <c r="O73" s="19">
        <f t="shared" si="66"/>
        <v>17500</v>
      </c>
      <c r="P73" s="19" t="s">
        <v>477</v>
      </c>
      <c r="Q73" s="19" t="s">
        <v>478</v>
      </c>
      <c r="R73" s="19" t="s">
        <v>399</v>
      </c>
      <c r="S73" s="19" t="s">
        <v>479</v>
      </c>
      <c r="T73" s="19">
        <v>339</v>
      </c>
      <c r="U73" s="20">
        <v>45105</v>
      </c>
      <c r="V73" s="20">
        <v>45110</v>
      </c>
      <c r="W73" s="19"/>
      <c r="X73" s="24">
        <v>45110.385416666664</v>
      </c>
      <c r="Y73" s="24">
        <v>45110.666666666664</v>
      </c>
      <c r="Z73" s="25">
        <f t="shared" ref="Z73:Z77" si="77">Y73-X73</f>
        <v>0.28125</v>
      </c>
      <c r="AA73" s="24">
        <v>45110.5</v>
      </c>
      <c r="AB73" s="24">
        <v>45110.666666666664</v>
      </c>
      <c r="AC73" s="25">
        <f t="shared" ref="AC73:AC77" si="78">AB73-AA73</f>
        <v>0.16666666666424135</v>
      </c>
    </row>
    <row r="74" spans="1:29" x14ac:dyDescent="0.25">
      <c r="A74" s="12">
        <v>45108</v>
      </c>
      <c r="B74" s="19">
        <v>151</v>
      </c>
      <c r="C74" s="19">
        <v>3486142</v>
      </c>
      <c r="D74" s="19">
        <v>5002490192</v>
      </c>
      <c r="E74" s="19" t="s">
        <v>480</v>
      </c>
      <c r="F74" s="20">
        <v>45104</v>
      </c>
      <c r="G74" s="21" t="s">
        <v>483</v>
      </c>
      <c r="H74" s="19" t="s">
        <v>132</v>
      </c>
      <c r="I74" s="17">
        <v>5302870</v>
      </c>
      <c r="J74" s="17" t="s">
        <v>481</v>
      </c>
      <c r="K74" s="19"/>
      <c r="L74" s="19">
        <v>0</v>
      </c>
      <c r="M74" s="19">
        <v>210</v>
      </c>
      <c r="N74" s="19">
        <v>2</v>
      </c>
      <c r="O74" s="19">
        <f t="shared" si="66"/>
        <v>420</v>
      </c>
      <c r="P74" s="19" t="s">
        <v>477</v>
      </c>
      <c r="Q74" s="19" t="s">
        <v>478</v>
      </c>
      <c r="R74" s="19" t="s">
        <v>399</v>
      </c>
      <c r="S74" s="19" t="s">
        <v>479</v>
      </c>
      <c r="T74" s="19">
        <v>339</v>
      </c>
      <c r="U74" s="20">
        <v>45105</v>
      </c>
      <c r="V74" s="20">
        <v>45110</v>
      </c>
      <c r="W74" s="19"/>
      <c r="X74" s="24">
        <v>45110.385416666664</v>
      </c>
      <c r="Y74" s="24">
        <v>45110.666666666664</v>
      </c>
      <c r="Z74" s="25">
        <f t="shared" si="77"/>
        <v>0.28125</v>
      </c>
      <c r="AA74" s="24">
        <v>45110.5</v>
      </c>
      <c r="AB74" s="24">
        <v>45110.666666666664</v>
      </c>
      <c r="AC74" s="25">
        <f t="shared" si="78"/>
        <v>0.16666666666424135</v>
      </c>
    </row>
    <row r="75" spans="1:29" x14ac:dyDescent="0.25">
      <c r="A75" s="12">
        <v>45108</v>
      </c>
      <c r="B75" s="19">
        <v>152</v>
      </c>
      <c r="C75" s="19">
        <v>2900840</v>
      </c>
      <c r="D75" s="19">
        <v>5002490193</v>
      </c>
      <c r="E75" s="19" t="s">
        <v>482</v>
      </c>
      <c r="F75" s="20">
        <v>45104</v>
      </c>
      <c r="G75" s="21" t="s">
        <v>450</v>
      </c>
      <c r="H75" s="19" t="s">
        <v>132</v>
      </c>
      <c r="I75" s="17">
        <v>5200193</v>
      </c>
      <c r="J75" s="17" t="s">
        <v>41</v>
      </c>
      <c r="K75" s="19"/>
      <c r="L75" s="19">
        <v>0</v>
      </c>
      <c r="M75" s="19">
        <v>250</v>
      </c>
      <c r="N75" s="19">
        <v>112</v>
      </c>
      <c r="O75" s="19">
        <f t="shared" si="66"/>
        <v>28000</v>
      </c>
      <c r="P75" s="19" t="s">
        <v>477</v>
      </c>
      <c r="Q75" s="19" t="s">
        <v>478</v>
      </c>
      <c r="R75" s="19" t="s">
        <v>399</v>
      </c>
      <c r="S75" s="19" t="s">
        <v>484</v>
      </c>
      <c r="T75" s="19">
        <v>340</v>
      </c>
      <c r="U75" s="20">
        <v>45106</v>
      </c>
      <c r="V75" s="20">
        <v>45110</v>
      </c>
      <c r="W75" s="19"/>
      <c r="X75" s="24">
        <v>45110.385416666664</v>
      </c>
      <c r="Y75" s="24">
        <v>45110.986111111109</v>
      </c>
      <c r="Z75" s="25">
        <f t="shared" si="77"/>
        <v>0.60069444444525288</v>
      </c>
      <c r="AA75" s="24">
        <v>45110.888888888891</v>
      </c>
      <c r="AB75" s="24">
        <v>45110.986111111109</v>
      </c>
      <c r="AC75" s="25">
        <f t="shared" si="78"/>
        <v>9.7222222218988463E-2</v>
      </c>
    </row>
    <row r="76" spans="1:29" x14ac:dyDescent="0.25">
      <c r="A76" s="12">
        <v>45108</v>
      </c>
      <c r="B76" s="19">
        <v>153</v>
      </c>
      <c r="C76" s="19">
        <v>6622739</v>
      </c>
      <c r="D76" s="19">
        <v>5002564763</v>
      </c>
      <c r="E76" s="19" t="s">
        <v>558</v>
      </c>
      <c r="F76" s="20">
        <v>45092</v>
      </c>
      <c r="G76" s="19" t="s">
        <v>559</v>
      </c>
      <c r="H76" s="19" t="s">
        <v>192</v>
      </c>
      <c r="I76" s="17">
        <v>5212252</v>
      </c>
      <c r="J76" s="17" t="s">
        <v>23</v>
      </c>
      <c r="K76" s="19"/>
      <c r="L76" s="19">
        <v>0</v>
      </c>
      <c r="M76" s="19">
        <v>25</v>
      </c>
      <c r="N76" s="19">
        <v>1040</v>
      </c>
      <c r="O76" s="19">
        <f t="shared" si="66"/>
        <v>26000</v>
      </c>
      <c r="P76" s="19" t="s">
        <v>477</v>
      </c>
      <c r="Q76" s="19" t="s">
        <v>159</v>
      </c>
      <c r="R76" s="19" t="s">
        <v>209</v>
      </c>
      <c r="S76" s="19" t="s">
        <v>446</v>
      </c>
      <c r="T76" s="19">
        <v>13381</v>
      </c>
      <c r="U76" s="20">
        <v>45119</v>
      </c>
      <c r="V76" s="20">
        <v>45120</v>
      </c>
      <c r="W76" s="19"/>
      <c r="X76" s="24">
        <v>45120.364583333336</v>
      </c>
      <c r="Y76" s="24">
        <v>45120.402777777781</v>
      </c>
      <c r="Z76" s="25">
        <f t="shared" si="77"/>
        <v>3.8194444445252884E-2</v>
      </c>
      <c r="AA76" s="24">
        <v>45120.375</v>
      </c>
      <c r="AB76" s="24">
        <v>45120.402777777781</v>
      </c>
      <c r="AC76" s="25">
        <f t="shared" si="78"/>
        <v>2.7777777781011537E-2</v>
      </c>
    </row>
    <row r="77" spans="1:29" x14ac:dyDescent="0.25">
      <c r="A77" s="12">
        <v>45108</v>
      </c>
      <c r="B77" s="19">
        <v>154</v>
      </c>
      <c r="C77" s="19">
        <v>6622739</v>
      </c>
      <c r="D77" s="19">
        <v>5002564763</v>
      </c>
      <c r="E77" s="19" t="s">
        <v>558</v>
      </c>
      <c r="F77" s="20">
        <v>45092</v>
      </c>
      <c r="G77" s="19" t="s">
        <v>559</v>
      </c>
      <c r="H77" s="19" t="s">
        <v>192</v>
      </c>
      <c r="I77" s="17">
        <v>5212252</v>
      </c>
      <c r="J77" s="17" t="s">
        <v>23</v>
      </c>
      <c r="K77" s="19"/>
      <c r="L77" s="19">
        <v>0</v>
      </c>
      <c r="M77" s="19">
        <v>25</v>
      </c>
      <c r="N77" s="19">
        <v>640</v>
      </c>
      <c r="O77" s="19">
        <f t="shared" si="66"/>
        <v>16000</v>
      </c>
      <c r="P77" s="19" t="s">
        <v>477</v>
      </c>
      <c r="Q77" s="19" t="s">
        <v>159</v>
      </c>
      <c r="R77" s="19" t="s">
        <v>209</v>
      </c>
      <c r="S77" s="19" t="s">
        <v>561</v>
      </c>
      <c r="T77" s="19">
        <v>13382</v>
      </c>
      <c r="U77" s="20">
        <v>45119</v>
      </c>
      <c r="V77" s="20">
        <v>45120</v>
      </c>
      <c r="W77" s="19"/>
      <c r="X77" s="24">
        <v>45120.364583333336</v>
      </c>
      <c r="Y77" s="24">
        <v>45120.430555555555</v>
      </c>
      <c r="Z77" s="25">
        <f t="shared" si="77"/>
        <v>6.5972222218988463E-2</v>
      </c>
      <c r="AA77" s="24">
        <v>45120.402777777781</v>
      </c>
      <c r="AB77" s="24">
        <v>45120.430555555555</v>
      </c>
      <c r="AC77" s="25">
        <f t="shared" si="78"/>
        <v>2.7777777773735579E-2</v>
      </c>
    </row>
    <row r="78" spans="1:29" x14ac:dyDescent="0.25">
      <c r="A78" s="12">
        <v>45108</v>
      </c>
      <c r="B78" s="19">
        <v>154</v>
      </c>
      <c r="C78" s="19">
        <v>6622739</v>
      </c>
      <c r="D78" s="19">
        <v>5002564763</v>
      </c>
      <c r="E78" s="19" t="s">
        <v>558</v>
      </c>
      <c r="F78" s="20">
        <v>45092</v>
      </c>
      <c r="G78" s="19" t="s">
        <v>562</v>
      </c>
      <c r="H78" s="19" t="s">
        <v>192</v>
      </c>
      <c r="I78" s="17">
        <v>5212252</v>
      </c>
      <c r="J78" s="17" t="s">
        <v>23</v>
      </c>
      <c r="K78" s="19"/>
      <c r="L78" s="19">
        <v>0</v>
      </c>
      <c r="M78" s="19">
        <v>25</v>
      </c>
      <c r="N78" s="19">
        <v>18</v>
      </c>
      <c r="O78" s="19">
        <f t="shared" ref="O78" si="79">N78*M78</f>
        <v>450</v>
      </c>
      <c r="P78" s="19" t="s">
        <v>477</v>
      </c>
      <c r="Q78" s="19" t="s">
        <v>159</v>
      </c>
      <c r="R78" s="19" t="s">
        <v>209</v>
      </c>
      <c r="S78" s="19" t="s">
        <v>561</v>
      </c>
      <c r="T78" s="19">
        <v>13382</v>
      </c>
      <c r="U78" s="20">
        <v>45119</v>
      </c>
      <c r="V78" s="20">
        <v>45120</v>
      </c>
      <c r="W78" s="19"/>
      <c r="X78" s="24">
        <v>45120.364583333336</v>
      </c>
      <c r="Y78" s="24">
        <v>45120.430555555555</v>
      </c>
      <c r="Z78" s="25">
        <f t="shared" ref="Z78" si="80">Y78-X78</f>
        <v>6.5972222218988463E-2</v>
      </c>
      <c r="AA78" s="24">
        <v>45120.402777777781</v>
      </c>
      <c r="AB78" s="24">
        <v>45120.430555555555</v>
      </c>
      <c r="AC78" s="25">
        <f t="shared" ref="AC78" si="81">AB78-AA78</f>
        <v>2.7777777773735579E-2</v>
      </c>
    </row>
    <row r="79" spans="1:29" x14ac:dyDescent="0.25">
      <c r="A79" s="12">
        <v>45108</v>
      </c>
      <c r="B79" s="19">
        <v>154</v>
      </c>
      <c r="C79" s="19">
        <v>6622739</v>
      </c>
      <c r="D79" s="19">
        <v>5002564763</v>
      </c>
      <c r="E79" s="19" t="s">
        <v>558</v>
      </c>
      <c r="F79" s="20">
        <v>45092</v>
      </c>
      <c r="G79" s="19" t="s">
        <v>560</v>
      </c>
      <c r="H79" s="19" t="s">
        <v>192</v>
      </c>
      <c r="I79" s="17">
        <v>5212252</v>
      </c>
      <c r="J79" s="17" t="s">
        <v>23</v>
      </c>
      <c r="K79" s="19"/>
      <c r="L79" s="19">
        <v>0</v>
      </c>
      <c r="M79" s="19">
        <v>25</v>
      </c>
      <c r="N79" s="19">
        <v>382</v>
      </c>
      <c r="O79" s="19">
        <f t="shared" si="66"/>
        <v>9550</v>
      </c>
      <c r="P79" s="19" t="s">
        <v>477</v>
      </c>
      <c r="Q79" s="19" t="s">
        <v>159</v>
      </c>
      <c r="R79" s="19" t="s">
        <v>209</v>
      </c>
      <c r="S79" s="19" t="s">
        <v>561</v>
      </c>
      <c r="T79" s="19">
        <v>13382</v>
      </c>
      <c r="U79" s="20">
        <v>45119</v>
      </c>
      <c r="V79" s="20">
        <v>45120</v>
      </c>
      <c r="W79" s="19"/>
      <c r="X79" s="24">
        <v>45120.364583333336</v>
      </c>
      <c r="Y79" s="24">
        <v>45120.430555555555</v>
      </c>
      <c r="Z79" s="25">
        <f t="shared" ref="Z79:Z82" si="82">Y79-X79</f>
        <v>6.5972222218988463E-2</v>
      </c>
      <c r="AA79" s="24">
        <v>45120.402777777781</v>
      </c>
      <c r="AB79" s="24">
        <v>45120.430555555555</v>
      </c>
      <c r="AC79" s="25">
        <f t="shared" ref="AC79:AC82" si="83">AB79-AA79</f>
        <v>2.7777777773735579E-2</v>
      </c>
    </row>
    <row r="80" spans="1:29" x14ac:dyDescent="0.25">
      <c r="A80" s="12">
        <v>45108</v>
      </c>
      <c r="B80" s="19">
        <v>155</v>
      </c>
      <c r="C80" s="19">
        <v>6756899</v>
      </c>
      <c r="D80" s="19">
        <v>5002547080</v>
      </c>
      <c r="E80" s="19" t="s">
        <v>574</v>
      </c>
      <c r="F80" s="20">
        <v>45078</v>
      </c>
      <c r="G80" s="19" t="s">
        <v>575</v>
      </c>
      <c r="H80" s="19" t="s">
        <v>192</v>
      </c>
      <c r="I80" s="17">
        <v>5210162</v>
      </c>
      <c r="J80" s="17" t="s">
        <v>24</v>
      </c>
      <c r="K80" s="19"/>
      <c r="L80" s="19">
        <v>0</v>
      </c>
      <c r="M80" s="19">
        <v>25</v>
      </c>
      <c r="N80" s="19">
        <v>1040</v>
      </c>
      <c r="O80" s="19">
        <f t="shared" si="66"/>
        <v>26000</v>
      </c>
      <c r="P80" s="19" t="s">
        <v>477</v>
      </c>
      <c r="Q80" s="19" t="s">
        <v>247</v>
      </c>
      <c r="R80" s="19" t="s">
        <v>209</v>
      </c>
      <c r="S80" s="19" t="s">
        <v>412</v>
      </c>
      <c r="T80" s="19">
        <v>705</v>
      </c>
      <c r="U80" s="20">
        <v>45121</v>
      </c>
      <c r="V80" s="20">
        <v>45122</v>
      </c>
      <c r="W80" s="19"/>
      <c r="X80" s="24">
        <v>45122.378472222219</v>
      </c>
      <c r="Y80" s="24">
        <v>45122.416666666664</v>
      </c>
      <c r="Z80" s="25">
        <f t="shared" si="82"/>
        <v>3.8194444445252884E-2</v>
      </c>
      <c r="AA80" s="24">
        <v>45122.388888888891</v>
      </c>
      <c r="AB80" s="24">
        <v>45122.416666666664</v>
      </c>
      <c r="AC80" s="25">
        <f t="shared" si="83"/>
        <v>2.7777777773735579E-2</v>
      </c>
    </row>
    <row r="81" spans="1:29" x14ac:dyDescent="0.25">
      <c r="A81" s="12">
        <v>45108</v>
      </c>
      <c r="B81" s="19">
        <v>156</v>
      </c>
      <c r="C81" s="19">
        <v>6624548</v>
      </c>
      <c r="D81" s="19">
        <v>5002565904</v>
      </c>
      <c r="E81" s="19" t="s">
        <v>600</v>
      </c>
      <c r="F81" s="20">
        <v>45090</v>
      </c>
      <c r="G81" s="19" t="s">
        <v>601</v>
      </c>
      <c r="H81" s="19" t="s">
        <v>192</v>
      </c>
      <c r="I81" s="17">
        <v>5212252</v>
      </c>
      <c r="J81" s="17" t="s">
        <v>23</v>
      </c>
      <c r="K81" s="19"/>
      <c r="L81" s="19">
        <v>0</v>
      </c>
      <c r="M81" s="19">
        <v>25</v>
      </c>
      <c r="N81" s="19">
        <v>1040</v>
      </c>
      <c r="O81" s="19">
        <f t="shared" si="66"/>
        <v>26000</v>
      </c>
      <c r="P81" s="19" t="s">
        <v>477</v>
      </c>
      <c r="Q81" s="19" t="s">
        <v>159</v>
      </c>
      <c r="R81" s="19" t="s">
        <v>209</v>
      </c>
      <c r="S81" s="19" t="s">
        <v>602</v>
      </c>
      <c r="T81" s="19">
        <v>13551</v>
      </c>
      <c r="U81" s="20">
        <v>45122</v>
      </c>
      <c r="V81" s="20">
        <v>45124</v>
      </c>
      <c r="W81" s="19"/>
      <c r="X81" s="24">
        <v>45124.402777777781</v>
      </c>
      <c r="Y81" s="24">
        <v>45124.506944444445</v>
      </c>
      <c r="Z81" s="25">
        <f t="shared" si="82"/>
        <v>0.10416666666424135</v>
      </c>
      <c r="AA81" s="24">
        <v>45124.479166666664</v>
      </c>
      <c r="AB81" s="24">
        <v>45124.506944444445</v>
      </c>
      <c r="AC81" s="25">
        <f t="shared" si="83"/>
        <v>2.7777777781011537E-2</v>
      </c>
    </row>
    <row r="82" spans="1:29" x14ac:dyDescent="0.25">
      <c r="A82" s="12">
        <v>45108</v>
      </c>
      <c r="B82" s="19">
        <v>157</v>
      </c>
      <c r="C82" s="19">
        <v>6624548</v>
      </c>
      <c r="D82" s="19">
        <v>5002565904</v>
      </c>
      <c r="E82" s="19" t="s">
        <v>600</v>
      </c>
      <c r="F82" s="20">
        <v>45090</v>
      </c>
      <c r="G82" s="19" t="s">
        <v>601</v>
      </c>
      <c r="H82" s="19" t="s">
        <v>192</v>
      </c>
      <c r="I82" s="17">
        <v>5212252</v>
      </c>
      <c r="J82" s="17" t="s">
        <v>23</v>
      </c>
      <c r="K82" s="19"/>
      <c r="L82" s="19">
        <v>0</v>
      </c>
      <c r="M82" s="19">
        <v>25</v>
      </c>
      <c r="N82" s="19">
        <v>455</v>
      </c>
      <c r="O82" s="19">
        <f t="shared" si="66"/>
        <v>11375</v>
      </c>
      <c r="P82" s="19" t="s">
        <v>477</v>
      </c>
      <c r="Q82" s="19" t="s">
        <v>159</v>
      </c>
      <c r="R82" s="19" t="s">
        <v>209</v>
      </c>
      <c r="S82" s="19" t="s">
        <v>439</v>
      </c>
      <c r="T82" s="19">
        <v>13552</v>
      </c>
      <c r="U82" s="20">
        <v>45122</v>
      </c>
      <c r="V82" s="20">
        <v>45124</v>
      </c>
      <c r="W82" s="19"/>
      <c r="X82" s="24">
        <v>45124.402777777781</v>
      </c>
      <c r="Y82" s="24">
        <v>45124.465277777781</v>
      </c>
      <c r="Z82" s="25">
        <f t="shared" si="82"/>
        <v>6.25E-2</v>
      </c>
      <c r="AA82" s="24">
        <v>45124.416666666664</v>
      </c>
      <c r="AB82" s="24">
        <v>45124.465277777781</v>
      </c>
      <c r="AC82" s="25">
        <f t="shared" si="83"/>
        <v>4.8611111116770189E-2</v>
      </c>
    </row>
    <row r="83" spans="1:29" x14ac:dyDescent="0.25">
      <c r="A83" s="12">
        <v>45108</v>
      </c>
      <c r="B83" s="19">
        <v>157</v>
      </c>
      <c r="C83" s="19">
        <v>6624548</v>
      </c>
      <c r="D83" s="19">
        <v>5002565904</v>
      </c>
      <c r="E83" s="19" t="s">
        <v>600</v>
      </c>
      <c r="F83" s="20">
        <v>45090</v>
      </c>
      <c r="G83" s="19" t="s">
        <v>560</v>
      </c>
      <c r="H83" s="19" t="s">
        <v>192</v>
      </c>
      <c r="I83" s="17">
        <v>5212252</v>
      </c>
      <c r="J83" s="17" t="s">
        <v>23</v>
      </c>
      <c r="K83" s="19"/>
      <c r="L83" s="19">
        <v>0</v>
      </c>
      <c r="M83" s="19">
        <v>25</v>
      </c>
      <c r="N83" s="19">
        <v>585</v>
      </c>
      <c r="O83" s="19">
        <f t="shared" ref="O83:O92" si="84">N83*M83</f>
        <v>14625</v>
      </c>
      <c r="P83" s="19" t="s">
        <v>477</v>
      </c>
      <c r="Q83" s="19" t="s">
        <v>159</v>
      </c>
      <c r="R83" s="19" t="s">
        <v>209</v>
      </c>
      <c r="S83" s="19" t="s">
        <v>439</v>
      </c>
      <c r="T83" s="19">
        <v>13552</v>
      </c>
      <c r="U83" s="20">
        <v>45122</v>
      </c>
      <c r="V83" s="20">
        <v>45124</v>
      </c>
      <c r="W83" s="19"/>
      <c r="X83" s="24">
        <v>45124.402777777781</v>
      </c>
      <c r="Y83" s="24">
        <v>45124.465277777781</v>
      </c>
      <c r="Z83" s="25">
        <f t="shared" ref="Z83:Z86" si="85">Y83-X83</f>
        <v>6.25E-2</v>
      </c>
      <c r="AA83" s="24">
        <v>45124.416666666664</v>
      </c>
      <c r="AB83" s="24">
        <v>45124.465277777781</v>
      </c>
      <c r="AC83" s="25">
        <f t="shared" ref="AC83:AC86" si="86">AB83-AA83</f>
        <v>4.8611111116770189E-2</v>
      </c>
    </row>
    <row r="84" spans="1:29" x14ac:dyDescent="0.25">
      <c r="A84" s="12">
        <v>45108</v>
      </c>
      <c r="B84" s="13">
        <v>158</v>
      </c>
      <c r="C84" s="13">
        <v>6907748</v>
      </c>
      <c r="D84" s="19">
        <v>5002595281</v>
      </c>
      <c r="E84" s="13" t="s">
        <v>702</v>
      </c>
      <c r="F84" s="20">
        <v>45099</v>
      </c>
      <c r="G84" s="13" t="s">
        <v>703</v>
      </c>
      <c r="H84" s="19" t="s">
        <v>192</v>
      </c>
      <c r="I84" s="17">
        <v>5212259</v>
      </c>
      <c r="J84" s="17" t="s">
        <v>26</v>
      </c>
      <c r="K84" s="19"/>
      <c r="L84" s="13">
        <v>0</v>
      </c>
      <c r="M84" s="19">
        <v>25</v>
      </c>
      <c r="N84" s="13">
        <v>1040</v>
      </c>
      <c r="O84" s="13">
        <f t="shared" si="84"/>
        <v>26000</v>
      </c>
      <c r="P84" s="19" t="s">
        <v>477</v>
      </c>
      <c r="Q84" s="19" t="s">
        <v>247</v>
      </c>
      <c r="R84" s="19" t="s">
        <v>209</v>
      </c>
      <c r="S84" s="13" t="s">
        <v>704</v>
      </c>
      <c r="T84" s="13">
        <v>717</v>
      </c>
      <c r="U84" s="20">
        <v>45133</v>
      </c>
      <c r="V84" s="20">
        <v>45134</v>
      </c>
      <c r="W84" s="19"/>
      <c r="X84" s="24">
        <v>45134.395833333336</v>
      </c>
      <c r="Y84" s="24">
        <v>45134.451388888891</v>
      </c>
      <c r="Z84" s="25">
        <f t="shared" si="85"/>
        <v>5.5555555554747116E-2</v>
      </c>
      <c r="AA84" s="24">
        <v>45134.409722222219</v>
      </c>
      <c r="AB84" s="24">
        <v>45134.451388888891</v>
      </c>
      <c r="AC84" s="25">
        <f t="shared" si="86"/>
        <v>4.1666666671517305E-2</v>
      </c>
    </row>
    <row r="85" spans="1:29" x14ac:dyDescent="0.25">
      <c r="A85" s="12">
        <v>45108</v>
      </c>
      <c r="B85" s="13">
        <v>159</v>
      </c>
      <c r="C85" s="13">
        <v>6975150</v>
      </c>
      <c r="D85" s="19">
        <v>5002595353</v>
      </c>
      <c r="E85" s="13" t="s">
        <v>708</v>
      </c>
      <c r="F85" s="20">
        <v>45103</v>
      </c>
      <c r="G85" s="13" t="s">
        <v>709</v>
      </c>
      <c r="H85" s="19" t="s">
        <v>192</v>
      </c>
      <c r="I85" s="17">
        <v>5212252</v>
      </c>
      <c r="J85" s="17" t="s">
        <v>23</v>
      </c>
      <c r="K85" s="19"/>
      <c r="L85" s="13">
        <v>0</v>
      </c>
      <c r="M85" s="19">
        <v>25</v>
      </c>
      <c r="N85" s="13">
        <v>1040</v>
      </c>
      <c r="O85" s="13">
        <f t="shared" si="84"/>
        <v>26000</v>
      </c>
      <c r="P85" s="19" t="s">
        <v>477</v>
      </c>
      <c r="Q85" s="19" t="s">
        <v>247</v>
      </c>
      <c r="R85" s="19" t="s">
        <v>209</v>
      </c>
      <c r="S85" s="13" t="s">
        <v>308</v>
      </c>
      <c r="T85" s="13">
        <v>722</v>
      </c>
      <c r="U85" s="15">
        <v>45134</v>
      </c>
      <c r="V85" s="20">
        <v>45135</v>
      </c>
      <c r="W85" s="19" t="s">
        <v>717</v>
      </c>
      <c r="X85" s="24">
        <v>45135.402777777781</v>
      </c>
      <c r="Y85" s="24">
        <v>45135.517361111109</v>
      </c>
      <c r="Z85" s="25">
        <f t="shared" si="85"/>
        <v>0.11458333332848269</v>
      </c>
      <c r="AA85" s="24">
        <v>45135.423611111109</v>
      </c>
      <c r="AB85" s="24">
        <v>45135.517361111109</v>
      </c>
      <c r="AC85" s="25">
        <f t="shared" si="86"/>
        <v>9.375E-2</v>
      </c>
    </row>
    <row r="86" spans="1:29" x14ac:dyDescent="0.25">
      <c r="A86" s="12">
        <v>45108</v>
      </c>
      <c r="B86" s="13">
        <v>160</v>
      </c>
      <c r="C86" s="13">
        <v>6975150</v>
      </c>
      <c r="D86" s="19">
        <v>5002595353</v>
      </c>
      <c r="E86" s="13" t="s">
        <v>708</v>
      </c>
      <c r="F86" s="20">
        <v>45103</v>
      </c>
      <c r="G86" s="13" t="s">
        <v>709</v>
      </c>
      <c r="H86" s="19" t="s">
        <v>192</v>
      </c>
      <c r="I86" s="17">
        <v>5212252</v>
      </c>
      <c r="J86" s="17" t="s">
        <v>23</v>
      </c>
      <c r="K86" s="19"/>
      <c r="L86" s="13">
        <v>0</v>
      </c>
      <c r="M86" s="19">
        <v>25</v>
      </c>
      <c r="N86" s="13">
        <v>221</v>
      </c>
      <c r="O86" s="13">
        <f t="shared" si="84"/>
        <v>5525</v>
      </c>
      <c r="P86" s="19" t="s">
        <v>477</v>
      </c>
      <c r="Q86" s="19" t="s">
        <v>247</v>
      </c>
      <c r="R86" s="19" t="s">
        <v>209</v>
      </c>
      <c r="S86" s="13" t="s">
        <v>309</v>
      </c>
      <c r="T86" s="13">
        <v>723</v>
      </c>
      <c r="U86" s="15">
        <v>45134</v>
      </c>
      <c r="V86" s="20">
        <v>45135</v>
      </c>
      <c r="W86" s="19"/>
      <c r="X86" s="24">
        <v>45135.402777777781</v>
      </c>
      <c r="Y86" s="24">
        <v>45135.777777777781</v>
      </c>
      <c r="Z86" s="25">
        <f t="shared" si="85"/>
        <v>0.375</v>
      </c>
      <c r="AA86" s="24">
        <v>45135.729166666664</v>
      </c>
      <c r="AB86" s="24">
        <v>45135.774305555555</v>
      </c>
      <c r="AC86" s="25">
        <f t="shared" si="86"/>
        <v>4.5138888890505768E-2</v>
      </c>
    </row>
    <row r="87" spans="1:29" x14ac:dyDescent="0.25">
      <c r="A87" s="12">
        <v>45108</v>
      </c>
      <c r="B87" s="13">
        <v>160</v>
      </c>
      <c r="C87" s="13">
        <v>6975150</v>
      </c>
      <c r="D87" s="19">
        <v>5002595353</v>
      </c>
      <c r="E87" s="13" t="s">
        <v>708</v>
      </c>
      <c r="F87" s="20">
        <v>45103</v>
      </c>
      <c r="G87" s="13" t="s">
        <v>560</v>
      </c>
      <c r="H87" s="19" t="s">
        <v>192</v>
      </c>
      <c r="I87" s="17">
        <v>5212252</v>
      </c>
      <c r="J87" s="17" t="s">
        <v>23</v>
      </c>
      <c r="K87" s="19"/>
      <c r="L87" s="13">
        <v>0</v>
      </c>
      <c r="M87" s="19">
        <v>25</v>
      </c>
      <c r="N87" s="13">
        <v>308</v>
      </c>
      <c r="O87" s="13">
        <f t="shared" si="84"/>
        <v>7700</v>
      </c>
      <c r="P87" s="19" t="s">
        <v>477</v>
      </c>
      <c r="Q87" s="19" t="s">
        <v>247</v>
      </c>
      <c r="R87" s="19" t="s">
        <v>209</v>
      </c>
      <c r="S87" s="13" t="s">
        <v>309</v>
      </c>
      <c r="T87" s="13">
        <v>723</v>
      </c>
      <c r="U87" s="15">
        <v>45134</v>
      </c>
      <c r="V87" s="20">
        <v>45135</v>
      </c>
      <c r="W87" s="19"/>
      <c r="X87" s="24">
        <v>45135.402777777781</v>
      </c>
      <c r="Y87" s="24">
        <v>45135.777777777781</v>
      </c>
      <c r="Z87" s="25">
        <f t="shared" ref="Z87:Z92" si="87">Y87-X87</f>
        <v>0.375</v>
      </c>
      <c r="AA87" s="24">
        <v>45135.729166666664</v>
      </c>
      <c r="AB87" s="24">
        <v>45135.774305555555</v>
      </c>
      <c r="AC87" s="25">
        <f t="shared" ref="AC87:AC92" si="88">AB87-AA87</f>
        <v>4.5138888890505768E-2</v>
      </c>
    </row>
    <row r="88" spans="1:29" x14ac:dyDescent="0.25">
      <c r="A88" s="12">
        <v>45108</v>
      </c>
      <c r="B88" s="13">
        <v>160</v>
      </c>
      <c r="C88" s="13">
        <v>6975150</v>
      </c>
      <c r="D88" s="19">
        <v>5002595353</v>
      </c>
      <c r="E88" s="13" t="s">
        <v>708</v>
      </c>
      <c r="F88" s="20">
        <v>45103</v>
      </c>
      <c r="G88" s="13" t="s">
        <v>413</v>
      </c>
      <c r="H88" s="19" t="s">
        <v>192</v>
      </c>
      <c r="I88" s="17">
        <v>5212252</v>
      </c>
      <c r="J88" s="17" t="s">
        <v>23</v>
      </c>
      <c r="K88" s="19"/>
      <c r="L88" s="13">
        <v>0</v>
      </c>
      <c r="M88" s="19">
        <v>25</v>
      </c>
      <c r="N88" s="13">
        <v>511</v>
      </c>
      <c r="O88" s="13">
        <f t="shared" si="84"/>
        <v>12775</v>
      </c>
      <c r="P88" s="19" t="s">
        <v>477</v>
      </c>
      <c r="Q88" s="19" t="s">
        <v>247</v>
      </c>
      <c r="R88" s="19" t="s">
        <v>209</v>
      </c>
      <c r="S88" s="13" t="s">
        <v>309</v>
      </c>
      <c r="T88" s="13">
        <v>723</v>
      </c>
      <c r="U88" s="15">
        <v>45134</v>
      </c>
      <c r="V88" s="20">
        <v>45135</v>
      </c>
      <c r="W88" s="19"/>
      <c r="X88" s="24">
        <v>45135.402777777781</v>
      </c>
      <c r="Y88" s="24">
        <v>45135.777777777781</v>
      </c>
      <c r="Z88" s="25">
        <f t="shared" si="87"/>
        <v>0.375</v>
      </c>
      <c r="AA88" s="24">
        <v>45135.729166666664</v>
      </c>
      <c r="AB88" s="24">
        <v>45135.774305555555</v>
      </c>
      <c r="AC88" s="25">
        <f t="shared" si="88"/>
        <v>4.5138888890505768E-2</v>
      </c>
    </row>
    <row r="89" spans="1:29" x14ac:dyDescent="0.25">
      <c r="A89" s="12">
        <v>45108</v>
      </c>
      <c r="B89" s="13">
        <v>161</v>
      </c>
      <c r="C89" s="13">
        <v>6879599</v>
      </c>
      <c r="D89" s="19">
        <v>5002595316</v>
      </c>
      <c r="E89" s="13" t="s">
        <v>713</v>
      </c>
      <c r="F89" s="20">
        <v>45104</v>
      </c>
      <c r="G89" s="19" t="s">
        <v>714</v>
      </c>
      <c r="H89" s="19" t="s">
        <v>192</v>
      </c>
      <c r="I89" s="17">
        <v>5211013</v>
      </c>
      <c r="J89" s="17" t="s">
        <v>27</v>
      </c>
      <c r="K89" s="19"/>
      <c r="L89" s="13">
        <v>0</v>
      </c>
      <c r="M89" s="19">
        <v>25</v>
      </c>
      <c r="N89" s="13">
        <v>920</v>
      </c>
      <c r="O89" s="13">
        <f>N89*M89</f>
        <v>23000</v>
      </c>
      <c r="P89" s="19" t="s">
        <v>477</v>
      </c>
      <c r="Q89" s="13" t="s">
        <v>159</v>
      </c>
      <c r="R89" s="19" t="s">
        <v>209</v>
      </c>
      <c r="S89" s="13" t="s">
        <v>715</v>
      </c>
      <c r="T89" s="13">
        <v>13582</v>
      </c>
      <c r="U89" s="15">
        <v>45134</v>
      </c>
      <c r="V89" s="20">
        <v>45135</v>
      </c>
      <c r="W89" s="19" t="s">
        <v>717</v>
      </c>
      <c r="X89" s="24">
        <v>45135.402777777781</v>
      </c>
      <c r="Y89" s="24">
        <v>45135.840277777781</v>
      </c>
      <c r="Z89" s="25">
        <f>Y89-X89</f>
        <v>0.4375</v>
      </c>
      <c r="AA89" s="24">
        <v>45135.805555555555</v>
      </c>
      <c r="AB89" s="24">
        <v>45135.840277777781</v>
      </c>
      <c r="AC89" s="25">
        <f>AB89-AA89</f>
        <v>3.4722222226264421E-2</v>
      </c>
    </row>
    <row r="90" spans="1:29" x14ac:dyDescent="0.25">
      <c r="A90" s="12">
        <v>45108</v>
      </c>
      <c r="B90" s="13">
        <v>161</v>
      </c>
      <c r="C90" s="13">
        <v>6879599</v>
      </c>
      <c r="D90" s="19">
        <v>5002595316</v>
      </c>
      <c r="E90" s="13" t="s">
        <v>713</v>
      </c>
      <c r="F90" s="20">
        <v>45104</v>
      </c>
      <c r="G90" s="19" t="s">
        <v>716</v>
      </c>
      <c r="H90" s="19" t="s">
        <v>192</v>
      </c>
      <c r="I90" s="17">
        <v>5211013</v>
      </c>
      <c r="J90" s="17" t="s">
        <v>27</v>
      </c>
      <c r="K90" s="19"/>
      <c r="L90" s="13">
        <v>0</v>
      </c>
      <c r="M90" s="19">
        <v>25</v>
      </c>
      <c r="N90" s="13">
        <v>120</v>
      </c>
      <c r="O90" s="13">
        <f>N90*M90</f>
        <v>3000</v>
      </c>
      <c r="P90" s="19" t="s">
        <v>477</v>
      </c>
      <c r="Q90" s="13" t="s">
        <v>159</v>
      </c>
      <c r="R90" s="19" t="s">
        <v>209</v>
      </c>
      <c r="S90" s="13" t="s">
        <v>715</v>
      </c>
      <c r="T90" s="13">
        <v>13582</v>
      </c>
      <c r="U90" s="15">
        <v>45134</v>
      </c>
      <c r="V90" s="20">
        <v>45135</v>
      </c>
      <c r="W90" s="19"/>
      <c r="X90" s="24">
        <v>45135.402777777781</v>
      </c>
      <c r="Y90" s="24">
        <v>45135.840277777781</v>
      </c>
      <c r="Z90" s="25">
        <f t="shared" ref="Z90" si="89">Y90-X90</f>
        <v>0.4375</v>
      </c>
      <c r="AA90" s="24">
        <v>45135.805555555555</v>
      </c>
      <c r="AB90" s="24">
        <v>45135.840277777781</v>
      </c>
      <c r="AC90" s="25">
        <f t="shared" ref="AC90" si="90">AB90-AA90</f>
        <v>3.4722222226264421E-2</v>
      </c>
    </row>
    <row r="91" spans="1:29" x14ac:dyDescent="0.25">
      <c r="A91" s="12">
        <v>45108</v>
      </c>
      <c r="B91" s="13">
        <v>162</v>
      </c>
      <c r="C91" s="13">
        <v>6879598</v>
      </c>
      <c r="D91" s="19">
        <v>5002595314</v>
      </c>
      <c r="E91" s="19" t="s">
        <v>710</v>
      </c>
      <c r="F91" s="20">
        <v>45100</v>
      </c>
      <c r="G91" s="13" t="s">
        <v>711</v>
      </c>
      <c r="H91" s="19" t="s">
        <v>192</v>
      </c>
      <c r="I91" s="17">
        <v>5210162</v>
      </c>
      <c r="J91" s="17" t="s">
        <v>24</v>
      </c>
      <c r="K91" s="19"/>
      <c r="L91" s="13">
        <v>0</v>
      </c>
      <c r="M91" s="19">
        <v>25</v>
      </c>
      <c r="N91" s="13">
        <v>1040</v>
      </c>
      <c r="O91" s="13">
        <f t="shared" si="84"/>
        <v>26000</v>
      </c>
      <c r="P91" s="19" t="s">
        <v>477</v>
      </c>
      <c r="Q91" s="13" t="s">
        <v>159</v>
      </c>
      <c r="R91" s="19" t="s">
        <v>209</v>
      </c>
      <c r="S91" s="13" t="s">
        <v>712</v>
      </c>
      <c r="T91" s="13">
        <v>13581</v>
      </c>
      <c r="U91" s="15">
        <v>45134</v>
      </c>
      <c r="V91" s="20">
        <v>45135</v>
      </c>
      <c r="W91" s="19"/>
      <c r="X91" s="24">
        <v>45135.402777777781</v>
      </c>
      <c r="Y91" s="24">
        <v>45135.8125</v>
      </c>
      <c r="Z91" s="25">
        <f t="shared" si="87"/>
        <v>0.40972222221898846</v>
      </c>
      <c r="AA91" s="24">
        <v>45135.75</v>
      </c>
      <c r="AB91" s="24">
        <v>45135.8125</v>
      </c>
      <c r="AC91" s="25">
        <f t="shared" si="88"/>
        <v>6.25E-2</v>
      </c>
    </row>
    <row r="92" spans="1:29" x14ac:dyDescent="0.25">
      <c r="A92" s="12">
        <v>45108</v>
      </c>
      <c r="B92" s="13">
        <v>163</v>
      </c>
      <c r="C92" s="13">
        <v>6874989</v>
      </c>
      <c r="D92" s="19">
        <v>5002595262</v>
      </c>
      <c r="E92" s="13" t="s">
        <v>731</v>
      </c>
      <c r="F92" s="20">
        <v>45104</v>
      </c>
      <c r="G92" s="13" t="s">
        <v>729</v>
      </c>
      <c r="H92" s="19" t="s">
        <v>192</v>
      </c>
      <c r="I92" s="17">
        <v>5212252</v>
      </c>
      <c r="J92" s="17" t="s">
        <v>23</v>
      </c>
      <c r="K92" s="19"/>
      <c r="L92" s="13">
        <v>0</v>
      </c>
      <c r="M92" s="19">
        <v>25</v>
      </c>
      <c r="N92" s="19">
        <v>490</v>
      </c>
      <c r="O92" s="13">
        <f t="shared" si="84"/>
        <v>12250</v>
      </c>
      <c r="P92" s="19" t="s">
        <v>477</v>
      </c>
      <c r="Q92" s="13" t="s">
        <v>159</v>
      </c>
      <c r="R92" s="19" t="s">
        <v>209</v>
      </c>
      <c r="S92" s="13" t="s">
        <v>712</v>
      </c>
      <c r="T92" s="13">
        <v>13588</v>
      </c>
      <c r="U92" s="20">
        <v>45136</v>
      </c>
      <c r="V92" s="20">
        <v>45138</v>
      </c>
      <c r="W92" s="19" t="s">
        <v>732</v>
      </c>
      <c r="X92" s="24">
        <v>45138.416666666664</v>
      </c>
      <c r="Y92" s="24">
        <v>45138.458333333336</v>
      </c>
      <c r="Z92" s="25">
        <f t="shared" si="87"/>
        <v>4.1666666671517305E-2</v>
      </c>
      <c r="AA92" s="24">
        <v>45138.430555555555</v>
      </c>
      <c r="AB92" s="24">
        <v>45138.458333333336</v>
      </c>
      <c r="AC92" s="25">
        <f t="shared" si="88"/>
        <v>2.7777777781011537E-2</v>
      </c>
    </row>
    <row r="93" spans="1:29" x14ac:dyDescent="0.25">
      <c r="A93" s="12">
        <v>45108</v>
      </c>
      <c r="B93" s="13">
        <v>163</v>
      </c>
      <c r="C93" s="13">
        <v>6874989</v>
      </c>
      <c r="D93" s="19">
        <v>5002595262</v>
      </c>
      <c r="E93" s="13" t="s">
        <v>731</v>
      </c>
      <c r="F93" s="20">
        <v>45104</v>
      </c>
      <c r="G93" s="13" t="s">
        <v>730</v>
      </c>
      <c r="H93" s="19" t="s">
        <v>192</v>
      </c>
      <c r="I93" s="17">
        <v>5212252</v>
      </c>
      <c r="J93" s="17" t="s">
        <v>23</v>
      </c>
      <c r="K93" s="19"/>
      <c r="L93" s="13">
        <v>0</v>
      </c>
      <c r="M93" s="19">
        <v>25</v>
      </c>
      <c r="N93" s="19">
        <v>550</v>
      </c>
      <c r="O93" s="13">
        <f t="shared" ref="O93:O109" si="91">N93*M93</f>
        <v>13750</v>
      </c>
      <c r="P93" s="19" t="s">
        <v>477</v>
      </c>
      <c r="Q93" s="13" t="s">
        <v>159</v>
      </c>
      <c r="R93" s="19" t="s">
        <v>209</v>
      </c>
      <c r="S93" s="13" t="s">
        <v>712</v>
      </c>
      <c r="T93" s="13">
        <v>13588</v>
      </c>
      <c r="U93" s="20">
        <v>45136</v>
      </c>
      <c r="V93" s="20">
        <v>45138</v>
      </c>
      <c r="W93" s="19"/>
      <c r="X93" s="24">
        <v>45138.416666666664</v>
      </c>
      <c r="Y93" s="24">
        <v>45138.458333333336</v>
      </c>
      <c r="Z93" s="25">
        <f t="shared" ref="Z93:Z99" si="92">Y93-X93</f>
        <v>4.1666666671517305E-2</v>
      </c>
      <c r="AA93" s="24">
        <v>45138.430555555555</v>
      </c>
      <c r="AB93" s="24">
        <v>45138.458333333336</v>
      </c>
      <c r="AC93" s="25">
        <f t="shared" ref="AC93:AC96" si="93">AB93-AA93</f>
        <v>2.7777777781011537E-2</v>
      </c>
    </row>
    <row r="94" spans="1:29" x14ac:dyDescent="0.25">
      <c r="A94" s="12">
        <v>45108</v>
      </c>
      <c r="B94" s="13">
        <v>164</v>
      </c>
      <c r="C94" s="13">
        <v>6874989</v>
      </c>
      <c r="D94" s="19">
        <v>5002595262</v>
      </c>
      <c r="E94" s="13" t="s">
        <v>731</v>
      </c>
      <c r="F94" s="20">
        <v>45104</v>
      </c>
      <c r="G94" s="13" t="s">
        <v>729</v>
      </c>
      <c r="H94" s="19" t="s">
        <v>192</v>
      </c>
      <c r="I94" s="17">
        <v>5212252</v>
      </c>
      <c r="J94" s="17" t="s">
        <v>23</v>
      </c>
      <c r="K94" s="19"/>
      <c r="L94" s="13">
        <v>0</v>
      </c>
      <c r="M94" s="19">
        <v>25</v>
      </c>
      <c r="N94" s="13">
        <v>1040</v>
      </c>
      <c r="O94" s="13">
        <f t="shared" si="91"/>
        <v>26000</v>
      </c>
      <c r="P94" s="19" t="s">
        <v>477</v>
      </c>
      <c r="Q94" s="13" t="s">
        <v>159</v>
      </c>
      <c r="R94" s="19" t="s">
        <v>209</v>
      </c>
      <c r="S94" s="13" t="s">
        <v>715</v>
      </c>
      <c r="T94" s="13">
        <v>13587</v>
      </c>
      <c r="U94" s="20">
        <v>45136</v>
      </c>
      <c r="V94" s="20">
        <v>45138</v>
      </c>
      <c r="W94" s="19" t="s">
        <v>733</v>
      </c>
      <c r="X94" s="24">
        <v>45138.416666666664</v>
      </c>
      <c r="Y94" s="24">
        <v>45138.472222222219</v>
      </c>
      <c r="Z94" s="25">
        <f t="shared" si="92"/>
        <v>5.5555555554747116E-2</v>
      </c>
      <c r="AA94" s="24">
        <v>45138.4375</v>
      </c>
      <c r="AB94" s="24">
        <v>45138.472222222219</v>
      </c>
      <c r="AC94" s="25">
        <f t="shared" si="93"/>
        <v>3.4722222218988463E-2</v>
      </c>
    </row>
    <row r="95" spans="1:29" x14ac:dyDescent="0.25">
      <c r="A95" s="12">
        <v>45139</v>
      </c>
      <c r="B95" s="13">
        <v>165</v>
      </c>
      <c r="C95" s="13">
        <v>6907842</v>
      </c>
      <c r="D95" s="19">
        <v>4907620004</v>
      </c>
      <c r="E95" s="13" t="s">
        <v>745</v>
      </c>
      <c r="F95" s="20">
        <v>45098</v>
      </c>
      <c r="G95" s="13" t="s">
        <v>747</v>
      </c>
      <c r="H95" s="13" t="s">
        <v>132</v>
      </c>
      <c r="I95" s="17">
        <v>5302847</v>
      </c>
      <c r="J95" s="17" t="s">
        <v>746</v>
      </c>
      <c r="K95" s="19"/>
      <c r="L95" s="13">
        <v>0</v>
      </c>
      <c r="M95" s="19">
        <v>210</v>
      </c>
      <c r="N95" s="13">
        <v>120</v>
      </c>
      <c r="O95" s="13">
        <f t="shared" si="91"/>
        <v>25200</v>
      </c>
      <c r="P95" s="19" t="s">
        <v>477</v>
      </c>
      <c r="Q95" s="13" t="s">
        <v>159</v>
      </c>
      <c r="R95" s="19" t="s">
        <v>209</v>
      </c>
      <c r="S95" s="19" t="s">
        <v>715</v>
      </c>
      <c r="T95" s="19">
        <v>13591</v>
      </c>
      <c r="U95" s="20">
        <v>45138</v>
      </c>
      <c r="V95" s="20">
        <v>45139</v>
      </c>
      <c r="W95" s="19"/>
      <c r="X95" s="24">
        <v>45139.583333333336</v>
      </c>
      <c r="Y95" s="24">
        <v>45139.75</v>
      </c>
      <c r="Z95" s="25">
        <f t="shared" si="92"/>
        <v>0.16666666666424135</v>
      </c>
      <c r="AA95" s="24">
        <v>45139.694444444445</v>
      </c>
      <c r="AB95" s="24">
        <v>45139.75</v>
      </c>
      <c r="AC95" s="25">
        <f t="shared" si="93"/>
        <v>5.5555555554747116E-2</v>
      </c>
    </row>
    <row r="96" spans="1:29" x14ac:dyDescent="0.25">
      <c r="A96" s="12">
        <v>45139</v>
      </c>
      <c r="B96" s="13">
        <v>166</v>
      </c>
      <c r="C96" s="13">
        <v>6907842</v>
      </c>
      <c r="D96" s="19">
        <v>4907620004</v>
      </c>
      <c r="E96" s="13" t="s">
        <v>745</v>
      </c>
      <c r="F96" s="20">
        <v>45098</v>
      </c>
      <c r="G96" s="13" t="s">
        <v>747</v>
      </c>
      <c r="H96" s="13" t="s">
        <v>132</v>
      </c>
      <c r="I96" s="17">
        <v>5302847</v>
      </c>
      <c r="J96" s="17" t="s">
        <v>746</v>
      </c>
      <c r="K96" s="19"/>
      <c r="L96" s="13">
        <v>0</v>
      </c>
      <c r="M96" s="19">
        <v>210</v>
      </c>
      <c r="N96" s="13">
        <v>71</v>
      </c>
      <c r="O96" s="13">
        <f t="shared" si="91"/>
        <v>14910</v>
      </c>
      <c r="P96" s="19" t="s">
        <v>477</v>
      </c>
      <c r="Q96" s="13" t="s">
        <v>159</v>
      </c>
      <c r="R96" s="19" t="s">
        <v>209</v>
      </c>
      <c r="S96" s="19" t="s">
        <v>712</v>
      </c>
      <c r="T96" s="19">
        <v>13592</v>
      </c>
      <c r="U96" s="20">
        <v>45138</v>
      </c>
      <c r="V96" s="20">
        <v>45139</v>
      </c>
      <c r="W96" s="19"/>
      <c r="X96" s="24">
        <v>45139.583333333336</v>
      </c>
      <c r="Y96" s="24">
        <v>45139.666666666664</v>
      </c>
      <c r="Z96" s="25">
        <f t="shared" si="92"/>
        <v>8.3333333328482695E-2</v>
      </c>
      <c r="AA96" s="24">
        <v>45139.618055555555</v>
      </c>
      <c r="AB96" s="24">
        <v>45139.666666666664</v>
      </c>
      <c r="AC96" s="25">
        <f t="shared" si="93"/>
        <v>4.8611111109494232E-2</v>
      </c>
    </row>
    <row r="97" spans="1:29" x14ac:dyDescent="0.25">
      <c r="A97" s="12">
        <v>45139</v>
      </c>
      <c r="B97" s="13">
        <v>166</v>
      </c>
      <c r="C97" s="13">
        <v>6907842</v>
      </c>
      <c r="D97" s="19">
        <v>4907620004</v>
      </c>
      <c r="E97" s="13" t="s">
        <v>745</v>
      </c>
      <c r="F97" s="20">
        <v>45098</v>
      </c>
      <c r="G97" s="13" t="s">
        <v>748</v>
      </c>
      <c r="H97" s="13" t="s">
        <v>132</v>
      </c>
      <c r="I97" s="17">
        <v>5302847</v>
      </c>
      <c r="J97" s="17" t="s">
        <v>746</v>
      </c>
      <c r="K97" s="19"/>
      <c r="L97" s="13">
        <v>0</v>
      </c>
      <c r="M97" s="19">
        <v>210</v>
      </c>
      <c r="N97" s="13">
        <v>49</v>
      </c>
      <c r="O97" s="13">
        <f t="shared" si="91"/>
        <v>10290</v>
      </c>
      <c r="P97" s="19" t="s">
        <v>477</v>
      </c>
      <c r="Q97" s="13" t="s">
        <v>159</v>
      </c>
      <c r="R97" s="19" t="s">
        <v>209</v>
      </c>
      <c r="S97" s="19" t="s">
        <v>712</v>
      </c>
      <c r="T97" s="19">
        <v>13592</v>
      </c>
      <c r="U97" s="20">
        <v>45138</v>
      </c>
      <c r="V97" s="20">
        <v>45139</v>
      </c>
      <c r="W97" s="19"/>
      <c r="X97" s="24">
        <v>45139.583333333336</v>
      </c>
      <c r="Y97" s="24">
        <v>45139.666666666664</v>
      </c>
      <c r="Z97" s="25">
        <f t="shared" si="92"/>
        <v>8.3333333328482695E-2</v>
      </c>
      <c r="AA97" s="24">
        <v>45139.618055555555</v>
      </c>
      <c r="AB97" s="24">
        <v>45139.666666666664</v>
      </c>
      <c r="AC97" s="25">
        <f t="shared" ref="AC97:AC99" si="94">AB97-AA97</f>
        <v>4.8611111109494232E-2</v>
      </c>
    </row>
    <row r="98" spans="1:29" x14ac:dyDescent="0.25">
      <c r="A98" s="12">
        <v>45139</v>
      </c>
      <c r="B98" s="13">
        <v>167</v>
      </c>
      <c r="C98" s="13">
        <v>6874991</v>
      </c>
      <c r="D98" s="19">
        <v>4907634561</v>
      </c>
      <c r="E98" s="13" t="s">
        <v>756</v>
      </c>
      <c r="F98" s="20">
        <v>45111</v>
      </c>
      <c r="G98" s="13" t="s">
        <v>757</v>
      </c>
      <c r="H98" s="13" t="s">
        <v>192</v>
      </c>
      <c r="I98" s="17">
        <v>5212252</v>
      </c>
      <c r="J98" s="17" t="s">
        <v>23</v>
      </c>
      <c r="K98" s="19"/>
      <c r="L98" s="13">
        <v>0</v>
      </c>
      <c r="M98" s="13">
        <v>25</v>
      </c>
      <c r="N98" s="13">
        <v>1040</v>
      </c>
      <c r="O98" s="13">
        <f t="shared" si="91"/>
        <v>26000</v>
      </c>
      <c r="P98" s="19" t="s">
        <v>477</v>
      </c>
      <c r="Q98" s="13" t="s">
        <v>159</v>
      </c>
      <c r="R98" s="19" t="s">
        <v>209</v>
      </c>
      <c r="S98" s="19" t="s">
        <v>715</v>
      </c>
      <c r="T98" s="19">
        <v>21305</v>
      </c>
      <c r="U98" s="20">
        <v>45141</v>
      </c>
      <c r="V98" s="20">
        <v>45142</v>
      </c>
      <c r="W98" s="19" t="s">
        <v>758</v>
      </c>
      <c r="X98" s="24">
        <v>45142.375</v>
      </c>
      <c r="Y98" s="24">
        <v>45142.427083333336</v>
      </c>
      <c r="Z98" s="25">
        <f t="shared" si="92"/>
        <v>5.2083333335758653E-2</v>
      </c>
      <c r="AA98" s="24">
        <v>45142.388888888891</v>
      </c>
      <c r="AB98" s="24">
        <v>45142.423611111109</v>
      </c>
      <c r="AC98" s="25">
        <f t="shared" si="94"/>
        <v>3.4722222218988463E-2</v>
      </c>
    </row>
    <row r="99" spans="1:29" x14ac:dyDescent="0.25">
      <c r="A99" s="12">
        <v>45139</v>
      </c>
      <c r="B99" s="13">
        <v>168</v>
      </c>
      <c r="C99" s="13">
        <v>6874991</v>
      </c>
      <c r="D99" s="19">
        <v>4907634561</v>
      </c>
      <c r="E99" s="13" t="s">
        <v>756</v>
      </c>
      <c r="F99" s="20">
        <v>45111</v>
      </c>
      <c r="G99" s="13" t="s">
        <v>757</v>
      </c>
      <c r="H99" s="13" t="s">
        <v>192</v>
      </c>
      <c r="I99" s="17">
        <v>5212252</v>
      </c>
      <c r="J99" s="17" t="s">
        <v>23</v>
      </c>
      <c r="K99" s="19"/>
      <c r="L99" s="13">
        <v>0</v>
      </c>
      <c r="M99" s="13">
        <v>25</v>
      </c>
      <c r="N99" s="13">
        <v>397</v>
      </c>
      <c r="O99" s="13">
        <f t="shared" si="91"/>
        <v>9925</v>
      </c>
      <c r="P99" s="19" t="s">
        <v>477</v>
      </c>
      <c r="Q99" s="13" t="s">
        <v>159</v>
      </c>
      <c r="R99" s="19" t="s">
        <v>209</v>
      </c>
      <c r="S99" s="19" t="s">
        <v>712</v>
      </c>
      <c r="T99" s="19">
        <v>21306</v>
      </c>
      <c r="U99" s="20">
        <v>45141</v>
      </c>
      <c r="V99" s="20">
        <v>45142</v>
      </c>
      <c r="W99" s="19"/>
      <c r="X99" s="24">
        <v>45142.375</v>
      </c>
      <c r="Y99" s="24">
        <v>45142.451388888891</v>
      </c>
      <c r="Z99" s="25">
        <f t="shared" si="92"/>
        <v>7.6388888890505768E-2</v>
      </c>
      <c r="AA99" s="24">
        <v>45142.395833333336</v>
      </c>
      <c r="AB99" s="24">
        <v>45142.451388888891</v>
      </c>
      <c r="AC99" s="25">
        <f t="shared" si="94"/>
        <v>5.5555555554747116E-2</v>
      </c>
    </row>
    <row r="100" spans="1:29" x14ac:dyDescent="0.25">
      <c r="A100" s="12">
        <v>45139</v>
      </c>
      <c r="B100" s="13">
        <v>168</v>
      </c>
      <c r="C100" s="13">
        <v>6874991</v>
      </c>
      <c r="D100" s="19">
        <v>4907634561</v>
      </c>
      <c r="E100" s="13" t="s">
        <v>756</v>
      </c>
      <c r="F100" s="20">
        <v>45111</v>
      </c>
      <c r="G100" s="13" t="s">
        <v>730</v>
      </c>
      <c r="H100" s="13" t="s">
        <v>192</v>
      </c>
      <c r="I100" s="17">
        <v>5212252</v>
      </c>
      <c r="J100" s="17" t="s">
        <v>23</v>
      </c>
      <c r="K100" s="19"/>
      <c r="L100" s="13">
        <v>0</v>
      </c>
      <c r="M100" s="13">
        <v>25</v>
      </c>
      <c r="N100" s="13">
        <v>643</v>
      </c>
      <c r="O100" s="13">
        <f t="shared" si="91"/>
        <v>16075</v>
      </c>
      <c r="P100" s="19" t="s">
        <v>477</v>
      </c>
      <c r="Q100" s="13" t="s">
        <v>159</v>
      </c>
      <c r="R100" s="19" t="s">
        <v>209</v>
      </c>
      <c r="S100" s="19" t="s">
        <v>712</v>
      </c>
      <c r="T100" s="19">
        <v>21306</v>
      </c>
      <c r="U100" s="20">
        <v>45141</v>
      </c>
      <c r="V100" s="20">
        <v>45142</v>
      </c>
      <c r="W100" s="19"/>
      <c r="X100" s="24">
        <v>45142.375</v>
      </c>
      <c r="Y100" s="24">
        <v>45142.451388888891</v>
      </c>
      <c r="Z100" s="25">
        <f t="shared" ref="Z100:Z102" si="95">Y100-X100</f>
        <v>7.6388888890505768E-2</v>
      </c>
      <c r="AA100" s="24">
        <v>45142.395833333336</v>
      </c>
      <c r="AB100" s="24">
        <v>45142.451388888891</v>
      </c>
      <c r="AC100" s="25">
        <f t="shared" ref="AC100:AC102" si="96">AB100-AA100</f>
        <v>5.5555555554747116E-2</v>
      </c>
    </row>
    <row r="101" spans="1:29" x14ac:dyDescent="0.25">
      <c r="A101" s="12">
        <v>45139</v>
      </c>
      <c r="B101" s="13">
        <v>169</v>
      </c>
      <c r="C101" s="13">
        <v>7071414</v>
      </c>
      <c r="D101" s="19">
        <v>4908059257</v>
      </c>
      <c r="E101" s="13" t="s">
        <v>769</v>
      </c>
      <c r="F101" s="20">
        <v>45112</v>
      </c>
      <c r="G101" s="13" t="s">
        <v>770</v>
      </c>
      <c r="H101" s="13" t="s">
        <v>192</v>
      </c>
      <c r="I101" s="17">
        <v>5210162</v>
      </c>
      <c r="J101" s="17" t="s">
        <v>24</v>
      </c>
      <c r="K101" s="19"/>
      <c r="L101" s="13">
        <v>0</v>
      </c>
      <c r="M101" s="13">
        <v>25</v>
      </c>
      <c r="N101" s="13">
        <v>1040</v>
      </c>
      <c r="O101" s="13">
        <f t="shared" si="91"/>
        <v>26000</v>
      </c>
      <c r="P101" s="19" t="s">
        <v>477</v>
      </c>
      <c r="Q101" s="13" t="s">
        <v>771</v>
      </c>
      <c r="R101" s="19" t="s">
        <v>209</v>
      </c>
      <c r="S101" s="13" t="s">
        <v>772</v>
      </c>
      <c r="T101" s="13">
        <v>603</v>
      </c>
      <c r="U101" s="20">
        <v>45142</v>
      </c>
      <c r="V101" s="20">
        <v>45145</v>
      </c>
      <c r="W101" s="19"/>
      <c r="X101" s="24">
        <v>45145.375</v>
      </c>
      <c r="Y101" s="24">
        <v>45145.409722222219</v>
      </c>
      <c r="Z101" s="25">
        <f t="shared" si="95"/>
        <v>3.4722222218988463E-2</v>
      </c>
      <c r="AA101" s="24">
        <v>45145.388888888891</v>
      </c>
      <c r="AB101" s="24">
        <v>45145.409722222219</v>
      </c>
      <c r="AC101" s="25">
        <f t="shared" si="96"/>
        <v>2.0833333328482695E-2</v>
      </c>
    </row>
    <row r="102" spans="1:29" x14ac:dyDescent="0.25">
      <c r="A102" s="12">
        <v>45139</v>
      </c>
      <c r="B102" s="13">
        <v>170</v>
      </c>
      <c r="C102" s="13">
        <v>6929067</v>
      </c>
      <c r="D102" s="19">
        <v>4907683798</v>
      </c>
      <c r="E102" s="13" t="s">
        <v>777</v>
      </c>
      <c r="F102" s="20">
        <v>45112</v>
      </c>
      <c r="G102" s="13" t="s">
        <v>562</v>
      </c>
      <c r="H102" s="13" t="s">
        <v>192</v>
      </c>
      <c r="I102" s="17">
        <v>5212252</v>
      </c>
      <c r="J102" s="17" t="s">
        <v>23</v>
      </c>
      <c r="K102" s="19"/>
      <c r="L102" s="13">
        <v>0</v>
      </c>
      <c r="M102" s="13">
        <v>25</v>
      </c>
      <c r="N102" s="13">
        <v>385</v>
      </c>
      <c r="O102" s="13">
        <f t="shared" si="91"/>
        <v>9625</v>
      </c>
      <c r="P102" s="19" t="s">
        <v>477</v>
      </c>
      <c r="Q102" s="13" t="s">
        <v>159</v>
      </c>
      <c r="R102" s="19" t="s">
        <v>209</v>
      </c>
      <c r="S102" s="13" t="s">
        <v>715</v>
      </c>
      <c r="T102" s="13">
        <v>11975</v>
      </c>
      <c r="U102" s="20">
        <v>45145</v>
      </c>
      <c r="V102" s="20">
        <v>45146</v>
      </c>
      <c r="W102" s="19"/>
      <c r="X102" s="24">
        <v>45146.361111111109</v>
      </c>
      <c r="Y102" s="24">
        <v>45146.423611111109</v>
      </c>
      <c r="Z102" s="25">
        <f t="shared" si="95"/>
        <v>6.25E-2</v>
      </c>
      <c r="AA102" s="24">
        <v>45146.395833333336</v>
      </c>
      <c r="AB102" s="24">
        <v>45146.423611111109</v>
      </c>
      <c r="AC102" s="25">
        <f t="shared" si="96"/>
        <v>2.7777777773735579E-2</v>
      </c>
    </row>
    <row r="103" spans="1:29" x14ac:dyDescent="0.25">
      <c r="A103" s="12">
        <v>45139</v>
      </c>
      <c r="B103" s="13">
        <v>170</v>
      </c>
      <c r="C103" s="13">
        <v>6929067</v>
      </c>
      <c r="D103" s="19">
        <v>4907683798</v>
      </c>
      <c r="E103" s="13" t="s">
        <v>777</v>
      </c>
      <c r="F103" s="20">
        <v>45112</v>
      </c>
      <c r="G103" s="13" t="s">
        <v>709</v>
      </c>
      <c r="H103" s="13" t="s">
        <v>192</v>
      </c>
      <c r="I103" s="17">
        <v>5212252</v>
      </c>
      <c r="J103" s="17" t="s">
        <v>23</v>
      </c>
      <c r="K103" s="19"/>
      <c r="L103" s="13">
        <v>0</v>
      </c>
      <c r="M103" s="13">
        <v>25</v>
      </c>
      <c r="N103" s="13">
        <v>175</v>
      </c>
      <c r="O103" s="13">
        <f t="shared" si="91"/>
        <v>4375</v>
      </c>
      <c r="P103" s="19" t="s">
        <v>477</v>
      </c>
      <c r="Q103" s="13" t="s">
        <v>159</v>
      </c>
      <c r="R103" s="19" t="s">
        <v>209</v>
      </c>
      <c r="S103" s="13" t="s">
        <v>715</v>
      </c>
      <c r="T103" s="13">
        <v>11975</v>
      </c>
      <c r="U103" s="20">
        <v>45145</v>
      </c>
      <c r="V103" s="20">
        <v>45146</v>
      </c>
      <c r="W103" s="19"/>
      <c r="X103" s="24">
        <v>45146.361111111109</v>
      </c>
      <c r="Y103" s="24">
        <v>45146.423611111109</v>
      </c>
      <c r="Z103" s="25">
        <f t="shared" ref="Z103:Z106" si="97">Y103-X103</f>
        <v>6.25E-2</v>
      </c>
      <c r="AA103" s="24">
        <v>45146.395833333336</v>
      </c>
      <c r="AB103" s="24">
        <v>45146.423611111109</v>
      </c>
      <c r="AC103" s="25">
        <f t="shared" ref="AC103:AC106" si="98">AB103-AA103</f>
        <v>2.7777777773735579E-2</v>
      </c>
    </row>
    <row r="104" spans="1:29" x14ac:dyDescent="0.25">
      <c r="A104" s="12">
        <v>45139</v>
      </c>
      <c r="B104" s="13">
        <v>170</v>
      </c>
      <c r="C104" s="13">
        <v>6929067</v>
      </c>
      <c r="D104" s="19">
        <v>4907683798</v>
      </c>
      <c r="E104" s="13" t="s">
        <v>777</v>
      </c>
      <c r="F104" s="20">
        <v>45112</v>
      </c>
      <c r="G104" s="13" t="s">
        <v>778</v>
      </c>
      <c r="H104" s="13" t="s">
        <v>192</v>
      </c>
      <c r="I104" s="17">
        <v>5212252</v>
      </c>
      <c r="J104" s="17" t="s">
        <v>23</v>
      </c>
      <c r="K104" s="19"/>
      <c r="L104" s="13">
        <v>0</v>
      </c>
      <c r="M104" s="13">
        <v>25</v>
      </c>
      <c r="N104" s="13">
        <v>218</v>
      </c>
      <c r="O104" s="13">
        <f t="shared" si="91"/>
        <v>5450</v>
      </c>
      <c r="P104" s="19" t="s">
        <v>477</v>
      </c>
      <c r="Q104" s="13" t="s">
        <v>159</v>
      </c>
      <c r="R104" s="19" t="s">
        <v>209</v>
      </c>
      <c r="S104" s="13" t="s">
        <v>715</v>
      </c>
      <c r="T104" s="13">
        <v>11975</v>
      </c>
      <c r="U104" s="20">
        <v>45145</v>
      </c>
      <c r="V104" s="20">
        <v>45146</v>
      </c>
      <c r="W104" s="19"/>
      <c r="X104" s="24">
        <v>45146.361111111109</v>
      </c>
      <c r="Y104" s="24">
        <v>45146.423611111109</v>
      </c>
      <c r="Z104" s="25">
        <f t="shared" si="97"/>
        <v>6.25E-2</v>
      </c>
      <c r="AA104" s="24">
        <v>45146.395833333336</v>
      </c>
      <c r="AB104" s="24">
        <v>45146.423611111109</v>
      </c>
      <c r="AC104" s="25">
        <f t="shared" si="98"/>
        <v>2.7777777773735579E-2</v>
      </c>
    </row>
    <row r="105" spans="1:29" x14ac:dyDescent="0.25">
      <c r="A105" s="12">
        <v>45139</v>
      </c>
      <c r="B105" s="13">
        <v>170</v>
      </c>
      <c r="C105" s="13">
        <v>6929067</v>
      </c>
      <c r="D105" s="19">
        <v>4907683798</v>
      </c>
      <c r="E105" s="13" t="s">
        <v>777</v>
      </c>
      <c r="F105" s="20">
        <v>45112</v>
      </c>
      <c r="G105" s="13" t="s">
        <v>730</v>
      </c>
      <c r="H105" s="13" t="s">
        <v>192</v>
      </c>
      <c r="I105" s="17">
        <v>5212252</v>
      </c>
      <c r="J105" s="17" t="s">
        <v>23</v>
      </c>
      <c r="K105" s="19"/>
      <c r="L105" s="13">
        <v>0</v>
      </c>
      <c r="M105" s="13">
        <v>25</v>
      </c>
      <c r="N105" s="13">
        <v>262</v>
      </c>
      <c r="O105" s="13">
        <f t="shared" si="91"/>
        <v>6550</v>
      </c>
      <c r="P105" s="19" t="s">
        <v>477</v>
      </c>
      <c r="Q105" s="13" t="s">
        <v>159</v>
      </c>
      <c r="R105" s="19" t="s">
        <v>209</v>
      </c>
      <c r="S105" s="13" t="s">
        <v>715</v>
      </c>
      <c r="T105" s="13">
        <v>11975</v>
      </c>
      <c r="U105" s="20">
        <v>45145</v>
      </c>
      <c r="V105" s="20">
        <v>45146</v>
      </c>
      <c r="W105" s="19"/>
      <c r="X105" s="24">
        <v>45146.361111111109</v>
      </c>
      <c r="Y105" s="24">
        <v>45146.423611111109</v>
      </c>
      <c r="Z105" s="25">
        <f t="shared" si="97"/>
        <v>6.25E-2</v>
      </c>
      <c r="AA105" s="24">
        <v>45146.395833333336</v>
      </c>
      <c r="AB105" s="24">
        <v>45146.423611111109</v>
      </c>
      <c r="AC105" s="25">
        <f t="shared" si="98"/>
        <v>2.7777777773735579E-2</v>
      </c>
    </row>
    <row r="106" spans="1:29" x14ac:dyDescent="0.25">
      <c r="A106" s="12">
        <v>45139</v>
      </c>
      <c r="B106" s="13">
        <v>171</v>
      </c>
      <c r="C106" s="13">
        <v>6929067</v>
      </c>
      <c r="D106" s="19">
        <v>4907683798</v>
      </c>
      <c r="E106" s="13" t="s">
        <v>777</v>
      </c>
      <c r="F106" s="20">
        <v>45112</v>
      </c>
      <c r="G106" s="13" t="s">
        <v>562</v>
      </c>
      <c r="H106" s="13" t="s">
        <v>192</v>
      </c>
      <c r="I106" s="17">
        <v>5212252</v>
      </c>
      <c r="J106" s="17" t="s">
        <v>23</v>
      </c>
      <c r="K106" s="19"/>
      <c r="L106" s="13">
        <v>0</v>
      </c>
      <c r="M106" s="13">
        <v>25</v>
      </c>
      <c r="N106" s="13">
        <v>80</v>
      </c>
      <c r="O106" s="13">
        <f t="shared" si="91"/>
        <v>2000</v>
      </c>
      <c r="P106" s="19" t="s">
        <v>477</v>
      </c>
      <c r="Q106" s="13" t="s">
        <v>159</v>
      </c>
      <c r="R106" s="19" t="s">
        <v>209</v>
      </c>
      <c r="S106" s="13" t="s">
        <v>712</v>
      </c>
      <c r="T106" s="13">
        <v>11976</v>
      </c>
      <c r="U106" s="20">
        <v>45145</v>
      </c>
      <c r="V106" s="20">
        <v>45146</v>
      </c>
      <c r="W106" s="19"/>
      <c r="X106" s="24">
        <v>45146.361111111109</v>
      </c>
      <c r="Y106" s="24">
        <v>45146.409722222219</v>
      </c>
      <c r="Z106" s="25">
        <f t="shared" si="97"/>
        <v>4.8611111109494232E-2</v>
      </c>
      <c r="AA106" s="24">
        <v>45146.368055555555</v>
      </c>
      <c r="AB106" s="24">
        <v>45146.392361111109</v>
      </c>
      <c r="AC106" s="25">
        <f t="shared" si="98"/>
        <v>2.4305555554747116E-2</v>
      </c>
    </row>
    <row r="107" spans="1:29" x14ac:dyDescent="0.25">
      <c r="A107" s="12">
        <v>45139</v>
      </c>
      <c r="B107" s="13">
        <v>171</v>
      </c>
      <c r="C107" s="13">
        <v>6929067</v>
      </c>
      <c r="D107" s="19">
        <v>4907683798</v>
      </c>
      <c r="E107" s="13" t="s">
        <v>777</v>
      </c>
      <c r="F107" s="20">
        <v>45112</v>
      </c>
      <c r="G107" s="13" t="s">
        <v>778</v>
      </c>
      <c r="H107" s="13" t="s">
        <v>192</v>
      </c>
      <c r="I107" s="17">
        <v>5212252</v>
      </c>
      <c r="J107" s="17" t="s">
        <v>23</v>
      </c>
      <c r="K107" s="19"/>
      <c r="L107" s="13">
        <v>0</v>
      </c>
      <c r="M107" s="13">
        <v>25</v>
      </c>
      <c r="N107" s="13">
        <v>960</v>
      </c>
      <c r="O107" s="13">
        <f t="shared" si="91"/>
        <v>24000</v>
      </c>
      <c r="P107" s="19" t="s">
        <v>477</v>
      </c>
      <c r="Q107" s="13" t="s">
        <v>159</v>
      </c>
      <c r="R107" s="19" t="s">
        <v>209</v>
      </c>
      <c r="S107" s="13" t="s">
        <v>712</v>
      </c>
      <c r="T107" s="13">
        <v>11976</v>
      </c>
      <c r="U107" s="20">
        <v>45145</v>
      </c>
      <c r="V107" s="20">
        <v>45146</v>
      </c>
      <c r="W107" s="19"/>
      <c r="X107" s="24">
        <v>45146.361111111109</v>
      </c>
      <c r="Y107" s="24">
        <v>45146.409722222219</v>
      </c>
      <c r="Z107" s="25">
        <f t="shared" ref="Z107:Z118" si="99">Y107-X107</f>
        <v>4.8611111109494232E-2</v>
      </c>
      <c r="AA107" s="24">
        <v>45146.368055555555</v>
      </c>
      <c r="AB107" s="24">
        <v>45146.392361111109</v>
      </c>
      <c r="AC107" s="25">
        <f t="shared" ref="AC107:AC118" si="100">AB107-AA107</f>
        <v>2.4305555554747116E-2</v>
      </c>
    </row>
    <row r="108" spans="1:29" x14ac:dyDescent="0.25">
      <c r="A108" s="12">
        <v>45139</v>
      </c>
      <c r="B108" s="13">
        <v>172</v>
      </c>
      <c r="C108" s="13">
        <v>7057019</v>
      </c>
      <c r="D108" s="19">
        <v>4907673371</v>
      </c>
      <c r="E108" s="13" t="s">
        <v>785</v>
      </c>
      <c r="F108" s="20">
        <v>45111</v>
      </c>
      <c r="G108" s="13" t="s">
        <v>786</v>
      </c>
      <c r="H108" s="13" t="s">
        <v>192</v>
      </c>
      <c r="I108" s="17">
        <v>5211013</v>
      </c>
      <c r="J108" s="17" t="s">
        <v>27</v>
      </c>
      <c r="K108" s="19"/>
      <c r="L108" s="13">
        <v>0</v>
      </c>
      <c r="M108" s="13">
        <v>25</v>
      </c>
      <c r="N108" s="13">
        <v>1040</v>
      </c>
      <c r="O108" s="13">
        <f t="shared" si="91"/>
        <v>26000</v>
      </c>
      <c r="P108" s="19" t="s">
        <v>477</v>
      </c>
      <c r="Q108" s="13" t="s">
        <v>247</v>
      </c>
      <c r="R108" s="19" t="s">
        <v>209</v>
      </c>
      <c r="S108" s="13" t="s">
        <v>316</v>
      </c>
      <c r="T108" s="13">
        <v>730</v>
      </c>
      <c r="U108" s="20">
        <v>45146</v>
      </c>
      <c r="V108" s="20">
        <v>45147</v>
      </c>
      <c r="W108" s="19" t="s">
        <v>717</v>
      </c>
      <c r="X108" s="24">
        <v>45147.375</v>
      </c>
      <c r="Y108" s="24">
        <v>45147.430555555555</v>
      </c>
      <c r="Z108" s="25">
        <f t="shared" si="99"/>
        <v>5.5555555554747116E-2</v>
      </c>
      <c r="AA108" s="24">
        <v>45147.395833333336</v>
      </c>
      <c r="AB108" s="24">
        <v>45147.430555555555</v>
      </c>
      <c r="AC108" s="25">
        <f t="shared" si="100"/>
        <v>3.4722222218988463E-2</v>
      </c>
    </row>
    <row r="109" spans="1:29" x14ac:dyDescent="0.25">
      <c r="A109" s="12">
        <v>45139</v>
      </c>
      <c r="B109" s="13">
        <v>173</v>
      </c>
      <c r="C109" s="13">
        <v>7197282</v>
      </c>
      <c r="D109" s="19">
        <v>4908158006</v>
      </c>
      <c r="E109" s="13">
        <v>91519032</v>
      </c>
      <c r="F109" s="20">
        <v>45142</v>
      </c>
      <c r="G109" s="13" t="s">
        <v>811</v>
      </c>
      <c r="H109" s="13" t="s">
        <v>132</v>
      </c>
      <c r="I109" s="17">
        <v>5309040</v>
      </c>
      <c r="J109" s="17" t="s">
        <v>105</v>
      </c>
      <c r="K109" s="19"/>
      <c r="L109" s="13">
        <v>0</v>
      </c>
      <c r="M109" s="13">
        <v>250</v>
      </c>
      <c r="N109" s="13">
        <v>80</v>
      </c>
      <c r="O109" s="13">
        <f t="shared" si="91"/>
        <v>20000</v>
      </c>
      <c r="P109" s="19" t="s">
        <v>477</v>
      </c>
      <c r="Q109" s="13" t="s">
        <v>247</v>
      </c>
      <c r="R109" s="19" t="s">
        <v>158</v>
      </c>
      <c r="S109" s="13" t="s">
        <v>812</v>
      </c>
      <c r="T109" s="13">
        <v>740</v>
      </c>
      <c r="U109" s="20">
        <v>45150</v>
      </c>
      <c r="V109" s="20">
        <v>45152</v>
      </c>
      <c r="W109" s="19"/>
      <c r="X109" s="24">
        <v>45152.381944444445</v>
      </c>
      <c r="Y109" s="24">
        <v>45152.413194444445</v>
      </c>
      <c r="Z109" s="25">
        <f t="shared" si="99"/>
        <v>3.125E-2</v>
      </c>
      <c r="AA109" s="24">
        <v>45152.399305555555</v>
      </c>
      <c r="AB109" s="24">
        <v>45152.413194444445</v>
      </c>
      <c r="AC109" s="25">
        <f t="shared" si="100"/>
        <v>1.3888888890505768E-2</v>
      </c>
    </row>
    <row r="110" spans="1:29" x14ac:dyDescent="0.25">
      <c r="A110" s="12">
        <v>45139</v>
      </c>
      <c r="B110" s="13">
        <v>174</v>
      </c>
      <c r="C110" s="13">
        <v>7197282</v>
      </c>
      <c r="D110" s="19">
        <v>4908158006</v>
      </c>
      <c r="E110" s="13">
        <v>91519032</v>
      </c>
      <c r="F110" s="20">
        <v>45142</v>
      </c>
      <c r="G110" s="13" t="s">
        <v>811</v>
      </c>
      <c r="H110" s="13" t="s">
        <v>132</v>
      </c>
      <c r="I110" s="17">
        <v>5309040</v>
      </c>
      <c r="J110" s="17" t="s">
        <v>105</v>
      </c>
      <c r="K110" s="19"/>
      <c r="L110" s="13">
        <v>0</v>
      </c>
      <c r="M110" s="13">
        <v>250</v>
      </c>
      <c r="N110" s="13">
        <v>80</v>
      </c>
      <c r="O110" s="13">
        <f t="shared" ref="O110" si="101">N110*M110</f>
        <v>20000</v>
      </c>
      <c r="P110" s="19" t="s">
        <v>477</v>
      </c>
      <c r="Q110" s="13" t="s">
        <v>247</v>
      </c>
      <c r="R110" s="19" t="s">
        <v>158</v>
      </c>
      <c r="S110" s="13" t="s">
        <v>813</v>
      </c>
      <c r="T110" s="13">
        <v>739</v>
      </c>
      <c r="U110" s="20">
        <v>45150</v>
      </c>
      <c r="V110" s="20">
        <v>45152</v>
      </c>
      <c r="W110" s="19"/>
      <c r="X110" s="24">
        <v>45152.381944444445</v>
      </c>
      <c r="Y110" s="24">
        <v>45152.430555555555</v>
      </c>
      <c r="Z110" s="25">
        <f t="shared" si="99"/>
        <v>4.8611111109494232E-2</v>
      </c>
      <c r="AA110" s="24">
        <v>45152.388888888891</v>
      </c>
      <c r="AB110" s="24">
        <v>45152.430555555555</v>
      </c>
      <c r="AC110" s="25">
        <f t="shared" si="100"/>
        <v>4.1666666664241347E-2</v>
      </c>
    </row>
    <row r="111" spans="1:29" x14ac:dyDescent="0.25">
      <c r="A111" s="12">
        <v>45139</v>
      </c>
      <c r="B111" s="13">
        <v>175</v>
      </c>
      <c r="C111" s="13">
        <v>7197282</v>
      </c>
      <c r="D111" s="19">
        <v>4908158006</v>
      </c>
      <c r="E111" s="13">
        <v>91519032</v>
      </c>
      <c r="F111" s="20">
        <v>45142</v>
      </c>
      <c r="G111" s="13" t="s">
        <v>811</v>
      </c>
      <c r="H111" s="13" t="s">
        <v>132</v>
      </c>
      <c r="I111" s="17">
        <v>5309040</v>
      </c>
      <c r="J111" s="17" t="s">
        <v>105</v>
      </c>
      <c r="K111" s="19"/>
      <c r="L111" s="13">
        <v>0</v>
      </c>
      <c r="M111" s="13">
        <v>250</v>
      </c>
      <c r="N111" s="13">
        <v>80</v>
      </c>
      <c r="O111" s="13">
        <f t="shared" ref="O111" si="102">N111*M111</f>
        <v>20000</v>
      </c>
      <c r="P111" s="19" t="s">
        <v>477</v>
      </c>
      <c r="Q111" s="13" t="s">
        <v>247</v>
      </c>
      <c r="R111" s="19" t="s">
        <v>158</v>
      </c>
      <c r="S111" s="13" t="s">
        <v>275</v>
      </c>
      <c r="T111" s="13">
        <v>741</v>
      </c>
      <c r="U111" s="20">
        <v>45150</v>
      </c>
      <c r="V111" s="20">
        <v>45152</v>
      </c>
      <c r="W111" s="19"/>
      <c r="X111" s="24">
        <v>45152.381944444445</v>
      </c>
      <c r="Y111" s="24">
        <v>45152.458333333336</v>
      </c>
      <c r="Z111" s="25">
        <f t="shared" si="99"/>
        <v>7.6388888890505768E-2</v>
      </c>
      <c r="AA111" s="24">
        <v>45152.430555555555</v>
      </c>
      <c r="AB111" s="24">
        <v>45152.458333333336</v>
      </c>
      <c r="AC111" s="25">
        <f t="shared" si="100"/>
        <v>2.7777777781011537E-2</v>
      </c>
    </row>
    <row r="112" spans="1:29" x14ac:dyDescent="0.25">
      <c r="A112" s="12">
        <v>45139</v>
      </c>
      <c r="B112" s="13">
        <v>176</v>
      </c>
      <c r="C112" s="13">
        <v>7197282</v>
      </c>
      <c r="D112" s="19">
        <v>4908158006</v>
      </c>
      <c r="E112" s="13">
        <v>91519032</v>
      </c>
      <c r="F112" s="20">
        <v>45142</v>
      </c>
      <c r="G112" s="13" t="s">
        <v>811</v>
      </c>
      <c r="H112" s="13" t="s">
        <v>132</v>
      </c>
      <c r="I112" s="17">
        <v>5309040</v>
      </c>
      <c r="J112" s="17" t="s">
        <v>105</v>
      </c>
      <c r="K112" s="19"/>
      <c r="L112" s="13">
        <v>0</v>
      </c>
      <c r="M112" s="13">
        <v>250</v>
      </c>
      <c r="N112" s="13">
        <v>80</v>
      </c>
      <c r="O112" s="13">
        <f t="shared" ref="O112" si="103">N112*M112</f>
        <v>20000</v>
      </c>
      <c r="P112" s="19" t="s">
        <v>477</v>
      </c>
      <c r="Q112" s="13" t="s">
        <v>247</v>
      </c>
      <c r="R112" s="19" t="s">
        <v>158</v>
      </c>
      <c r="S112" s="13" t="s">
        <v>431</v>
      </c>
      <c r="T112" s="13">
        <v>743</v>
      </c>
      <c r="U112" s="20">
        <v>45150</v>
      </c>
      <c r="V112" s="20">
        <v>45152</v>
      </c>
      <c r="W112" s="19"/>
      <c r="X112" s="24">
        <v>45152.381944444445</v>
      </c>
      <c r="Y112" s="24">
        <v>45152.493055555555</v>
      </c>
      <c r="Z112" s="25">
        <f t="shared" si="99"/>
        <v>0.11111111110949423</v>
      </c>
      <c r="AA112" s="24">
        <v>45152.46875</v>
      </c>
      <c r="AB112" s="24">
        <v>45152.493055555555</v>
      </c>
      <c r="AC112" s="25">
        <f t="shared" si="100"/>
        <v>2.4305555554747116E-2</v>
      </c>
    </row>
    <row r="113" spans="1:29" x14ac:dyDescent="0.25">
      <c r="A113" s="12">
        <v>45139</v>
      </c>
      <c r="B113" s="13">
        <v>177</v>
      </c>
      <c r="C113" s="13">
        <v>7197282</v>
      </c>
      <c r="D113" s="19">
        <v>4908158006</v>
      </c>
      <c r="E113" s="13">
        <v>91519032</v>
      </c>
      <c r="F113" s="20">
        <v>45142</v>
      </c>
      <c r="G113" s="13" t="s">
        <v>811</v>
      </c>
      <c r="H113" s="13" t="s">
        <v>132</v>
      </c>
      <c r="I113" s="17">
        <v>5309040</v>
      </c>
      <c r="J113" s="17" t="s">
        <v>105</v>
      </c>
      <c r="K113" s="19"/>
      <c r="L113" s="13">
        <v>0</v>
      </c>
      <c r="M113" s="13">
        <v>250</v>
      </c>
      <c r="N113" s="13">
        <v>80</v>
      </c>
      <c r="O113" s="13">
        <f t="shared" ref="O113:O118" si="104">N113*M113</f>
        <v>20000</v>
      </c>
      <c r="P113" s="19" t="s">
        <v>477</v>
      </c>
      <c r="Q113" s="13" t="s">
        <v>247</v>
      </c>
      <c r="R113" s="19" t="s">
        <v>158</v>
      </c>
      <c r="S113" s="19" t="s">
        <v>814</v>
      </c>
      <c r="T113" s="19">
        <v>742</v>
      </c>
      <c r="U113" s="20">
        <v>45150</v>
      </c>
      <c r="V113" s="20">
        <v>45152</v>
      </c>
      <c r="W113" s="19"/>
      <c r="X113" s="24">
        <v>45152.381944444445</v>
      </c>
      <c r="Y113" s="24">
        <v>45152.53125</v>
      </c>
      <c r="Z113" s="25">
        <f t="shared" si="99"/>
        <v>0.14930555555474712</v>
      </c>
      <c r="AA113" s="24">
        <v>45152.496527777781</v>
      </c>
      <c r="AB113" s="24">
        <v>45152.53125</v>
      </c>
      <c r="AC113" s="25">
        <f t="shared" si="100"/>
        <v>3.4722222218988463E-2</v>
      </c>
    </row>
    <row r="114" spans="1:29" x14ac:dyDescent="0.25">
      <c r="A114" s="12">
        <v>45139</v>
      </c>
      <c r="B114" s="13">
        <v>178</v>
      </c>
      <c r="C114" s="13">
        <v>7179395</v>
      </c>
      <c r="D114" s="19">
        <v>4907930058</v>
      </c>
      <c r="E114" s="13" t="s">
        <v>822</v>
      </c>
      <c r="F114" s="20">
        <v>45121</v>
      </c>
      <c r="G114" s="13" t="s">
        <v>823</v>
      </c>
      <c r="H114" s="13" t="s">
        <v>192</v>
      </c>
      <c r="I114" s="17">
        <v>5211013</v>
      </c>
      <c r="J114" s="17" t="s">
        <v>27</v>
      </c>
      <c r="K114" s="19"/>
      <c r="L114" s="13">
        <v>0</v>
      </c>
      <c r="M114" s="19">
        <v>25</v>
      </c>
      <c r="N114" s="13">
        <v>1040</v>
      </c>
      <c r="O114" s="13">
        <f t="shared" si="104"/>
        <v>26000</v>
      </c>
      <c r="P114" s="19" t="s">
        <v>477</v>
      </c>
      <c r="Q114" s="13" t="s">
        <v>247</v>
      </c>
      <c r="R114" s="19" t="s">
        <v>209</v>
      </c>
      <c r="S114" s="13" t="s">
        <v>704</v>
      </c>
      <c r="T114" s="13">
        <v>745</v>
      </c>
      <c r="U114" s="20">
        <v>45152</v>
      </c>
      <c r="V114" s="20">
        <v>45154</v>
      </c>
      <c r="W114" s="19" t="s">
        <v>717</v>
      </c>
      <c r="X114" s="24">
        <v>45154.378472222219</v>
      </c>
      <c r="Y114" s="24">
        <v>45154.451388888891</v>
      </c>
      <c r="Z114" s="25">
        <f t="shared" si="99"/>
        <v>7.2916666671517305E-2</v>
      </c>
      <c r="AA114" s="24">
        <v>45154.427083333336</v>
      </c>
      <c r="AB114" s="24">
        <v>45154.451388888891</v>
      </c>
      <c r="AC114" s="25">
        <f t="shared" si="100"/>
        <v>2.4305555554747116E-2</v>
      </c>
    </row>
    <row r="115" spans="1:29" x14ac:dyDescent="0.25">
      <c r="A115" s="12">
        <v>45139</v>
      </c>
      <c r="B115" s="13">
        <v>179</v>
      </c>
      <c r="C115" s="13">
        <v>7179395</v>
      </c>
      <c r="D115" s="19">
        <v>4907930058</v>
      </c>
      <c r="E115" s="13" t="s">
        <v>822</v>
      </c>
      <c r="F115" s="20">
        <v>45121</v>
      </c>
      <c r="G115" s="13" t="s">
        <v>824</v>
      </c>
      <c r="H115" s="13" t="s">
        <v>192</v>
      </c>
      <c r="I115" s="17">
        <v>5211013</v>
      </c>
      <c r="J115" s="17" t="s">
        <v>27</v>
      </c>
      <c r="K115" s="19"/>
      <c r="L115" s="13">
        <v>0</v>
      </c>
      <c r="M115" s="19">
        <v>25</v>
      </c>
      <c r="N115" s="13">
        <v>290</v>
      </c>
      <c r="O115" s="13">
        <f t="shared" si="104"/>
        <v>7250</v>
      </c>
      <c r="P115" s="19" t="s">
        <v>477</v>
      </c>
      <c r="Q115" s="13" t="s">
        <v>247</v>
      </c>
      <c r="R115" s="19" t="s">
        <v>209</v>
      </c>
      <c r="S115" s="13" t="s">
        <v>825</v>
      </c>
      <c r="T115" s="13">
        <v>744</v>
      </c>
      <c r="U115" s="20">
        <v>45152</v>
      </c>
      <c r="V115" s="20">
        <v>45154</v>
      </c>
      <c r="W115" s="19"/>
      <c r="X115" s="24">
        <v>45154.378472222219</v>
      </c>
      <c r="Y115" s="24">
        <v>45154.423611111109</v>
      </c>
      <c r="Z115" s="25">
        <f t="shared" si="99"/>
        <v>4.5138888890505768E-2</v>
      </c>
      <c r="AA115" s="24">
        <v>45154.395833333336</v>
      </c>
      <c r="AB115" s="24">
        <v>45154.423611111109</v>
      </c>
      <c r="AC115" s="25">
        <f t="shared" si="100"/>
        <v>2.7777777773735579E-2</v>
      </c>
    </row>
    <row r="116" spans="1:29" x14ac:dyDescent="0.25">
      <c r="A116" s="12">
        <v>45139</v>
      </c>
      <c r="B116" s="13">
        <v>179</v>
      </c>
      <c r="C116" s="13">
        <v>7179395</v>
      </c>
      <c r="D116" s="19">
        <v>4907930058</v>
      </c>
      <c r="E116" s="13" t="s">
        <v>822</v>
      </c>
      <c r="F116" s="20">
        <v>45121</v>
      </c>
      <c r="G116" s="13" t="s">
        <v>823</v>
      </c>
      <c r="H116" s="13" t="s">
        <v>192</v>
      </c>
      <c r="I116" s="17">
        <v>5211013</v>
      </c>
      <c r="J116" s="17" t="s">
        <v>27</v>
      </c>
      <c r="K116" s="19"/>
      <c r="L116" s="13">
        <v>0</v>
      </c>
      <c r="M116" s="19">
        <v>25</v>
      </c>
      <c r="N116" s="13">
        <v>18</v>
      </c>
      <c r="O116" s="13">
        <f t="shared" si="104"/>
        <v>450</v>
      </c>
      <c r="P116" s="19" t="s">
        <v>477</v>
      </c>
      <c r="Q116" s="13" t="s">
        <v>247</v>
      </c>
      <c r="R116" s="19" t="s">
        <v>209</v>
      </c>
      <c r="S116" s="13" t="s">
        <v>825</v>
      </c>
      <c r="T116" s="13">
        <v>744</v>
      </c>
      <c r="U116" s="20">
        <v>45152</v>
      </c>
      <c r="V116" s="20">
        <v>45154</v>
      </c>
      <c r="W116" s="19"/>
      <c r="X116" s="24">
        <v>45154.378472222219</v>
      </c>
      <c r="Y116" s="24">
        <v>45154.423611111109</v>
      </c>
      <c r="Z116" s="25">
        <f t="shared" si="99"/>
        <v>4.5138888890505768E-2</v>
      </c>
      <c r="AA116" s="24">
        <v>45154.395833333336</v>
      </c>
      <c r="AB116" s="24">
        <v>45154.423611111109</v>
      </c>
      <c r="AC116" s="25">
        <f t="shared" si="100"/>
        <v>2.7777777773735579E-2</v>
      </c>
    </row>
    <row r="117" spans="1:29" x14ac:dyDescent="0.25">
      <c r="A117" s="12">
        <v>45139</v>
      </c>
      <c r="B117" s="13">
        <v>179</v>
      </c>
      <c r="C117" s="13">
        <v>7179395</v>
      </c>
      <c r="D117" s="19">
        <v>4907930058</v>
      </c>
      <c r="E117" s="13" t="s">
        <v>822</v>
      </c>
      <c r="F117" s="20">
        <v>45121</v>
      </c>
      <c r="G117" s="13" t="s">
        <v>828</v>
      </c>
      <c r="H117" s="13" t="s">
        <v>192</v>
      </c>
      <c r="I117" s="17">
        <v>5211013</v>
      </c>
      <c r="J117" s="17" t="s">
        <v>27</v>
      </c>
      <c r="K117" s="19"/>
      <c r="L117" s="13">
        <v>0</v>
      </c>
      <c r="M117" s="19">
        <v>25</v>
      </c>
      <c r="N117" s="13">
        <v>732</v>
      </c>
      <c r="O117" s="13">
        <f t="shared" si="104"/>
        <v>18300</v>
      </c>
      <c r="P117" s="19" t="s">
        <v>477</v>
      </c>
      <c r="Q117" s="13" t="s">
        <v>247</v>
      </c>
      <c r="R117" s="19" t="s">
        <v>209</v>
      </c>
      <c r="S117" s="13" t="s">
        <v>825</v>
      </c>
      <c r="T117" s="13">
        <v>744</v>
      </c>
      <c r="U117" s="20">
        <v>45152</v>
      </c>
      <c r="V117" s="20">
        <v>45154</v>
      </c>
      <c r="W117" s="19"/>
      <c r="X117" s="24">
        <v>45154.378472222219</v>
      </c>
      <c r="Y117" s="24">
        <v>45154.423611111109</v>
      </c>
      <c r="Z117" s="25">
        <f t="shared" si="99"/>
        <v>4.5138888890505768E-2</v>
      </c>
      <c r="AA117" s="24">
        <v>45154.395833333336</v>
      </c>
      <c r="AB117" s="24">
        <v>45154.423611111109</v>
      </c>
      <c r="AC117" s="25">
        <f t="shared" si="100"/>
        <v>2.7777777773735579E-2</v>
      </c>
    </row>
    <row r="118" spans="1:29" x14ac:dyDescent="0.25">
      <c r="A118" s="12">
        <v>45139</v>
      </c>
      <c r="B118" s="13">
        <v>180</v>
      </c>
      <c r="C118" s="13">
        <v>7197682</v>
      </c>
      <c r="D118" s="19">
        <v>4908059442</v>
      </c>
      <c r="E118" s="13" t="s">
        <v>843</v>
      </c>
      <c r="F118" s="20">
        <v>45125</v>
      </c>
      <c r="G118" s="13" t="s">
        <v>844</v>
      </c>
      <c r="H118" s="13" t="s">
        <v>192</v>
      </c>
      <c r="I118" s="17">
        <v>5212252</v>
      </c>
      <c r="J118" s="17" t="s">
        <v>23</v>
      </c>
      <c r="K118" s="19"/>
      <c r="L118" s="13">
        <v>0</v>
      </c>
      <c r="M118" s="19">
        <v>25</v>
      </c>
      <c r="N118" s="13">
        <v>800</v>
      </c>
      <c r="O118" s="13">
        <f t="shared" si="104"/>
        <v>20000</v>
      </c>
      <c r="P118" s="19" t="s">
        <v>477</v>
      </c>
      <c r="Q118" s="13" t="s">
        <v>159</v>
      </c>
      <c r="R118" s="19" t="s">
        <v>209</v>
      </c>
      <c r="S118" s="13" t="s">
        <v>715</v>
      </c>
      <c r="T118" s="13">
        <v>111983</v>
      </c>
      <c r="U118" s="20">
        <v>45155</v>
      </c>
      <c r="V118" s="20">
        <v>45156</v>
      </c>
      <c r="W118" s="19"/>
      <c r="X118" s="24">
        <v>45156.381944444445</v>
      </c>
      <c r="Y118" s="24">
        <v>45156.423611111109</v>
      </c>
      <c r="Z118" s="25">
        <f t="shared" si="99"/>
        <v>4.1666666664241347E-2</v>
      </c>
      <c r="AA118" s="24">
        <v>45156.385416666664</v>
      </c>
      <c r="AB118" s="24">
        <v>45156.423611111109</v>
      </c>
      <c r="AC118" s="25">
        <f t="shared" si="100"/>
        <v>3.8194444445252884E-2</v>
      </c>
    </row>
    <row r="119" spans="1:29" x14ac:dyDescent="0.25">
      <c r="A119" s="12">
        <v>45139</v>
      </c>
      <c r="B119" s="13">
        <v>180</v>
      </c>
      <c r="C119" s="13">
        <v>7197682</v>
      </c>
      <c r="D119" s="19">
        <v>4908059442</v>
      </c>
      <c r="E119" s="13" t="s">
        <v>843</v>
      </c>
      <c r="F119" s="20">
        <v>45125</v>
      </c>
      <c r="G119" s="13" t="s">
        <v>845</v>
      </c>
      <c r="H119" s="13" t="s">
        <v>192</v>
      </c>
      <c r="I119" s="17">
        <v>5212252</v>
      </c>
      <c r="J119" s="17" t="s">
        <v>23</v>
      </c>
      <c r="K119" s="19"/>
      <c r="L119" s="13">
        <v>0</v>
      </c>
      <c r="M119" s="19">
        <v>25</v>
      </c>
      <c r="N119" s="13">
        <v>240</v>
      </c>
      <c r="O119" s="13">
        <f t="shared" ref="O119:O120" si="105">N119*M119</f>
        <v>6000</v>
      </c>
      <c r="P119" s="19" t="s">
        <v>477</v>
      </c>
      <c r="Q119" s="13" t="s">
        <v>159</v>
      </c>
      <c r="R119" s="19" t="s">
        <v>209</v>
      </c>
      <c r="S119" s="13" t="s">
        <v>715</v>
      </c>
      <c r="T119" s="13">
        <v>111983</v>
      </c>
      <c r="U119" s="20">
        <v>45155</v>
      </c>
      <c r="V119" s="20">
        <v>45156</v>
      </c>
      <c r="W119" s="19"/>
      <c r="X119" s="24">
        <v>45156.381944444445</v>
      </c>
      <c r="Y119" s="24">
        <v>45156.423611111109</v>
      </c>
      <c r="Z119" s="25">
        <f t="shared" ref="Z119:Z120" si="106">Y119-X119</f>
        <v>4.1666666664241347E-2</v>
      </c>
      <c r="AA119" s="24">
        <v>45156.385416666664</v>
      </c>
      <c r="AB119" s="24">
        <v>45156.423611111109</v>
      </c>
      <c r="AC119" s="25">
        <f t="shared" ref="AC119:AC120" si="107">AB119-AA119</f>
        <v>3.8194444445252884E-2</v>
      </c>
    </row>
    <row r="120" spans="1:29" x14ac:dyDescent="0.25">
      <c r="A120" s="12">
        <v>45139</v>
      </c>
      <c r="B120" s="13">
        <v>181</v>
      </c>
      <c r="C120" s="13">
        <v>7197680</v>
      </c>
      <c r="D120" s="19">
        <v>4908059443</v>
      </c>
      <c r="E120" s="13" t="s">
        <v>846</v>
      </c>
      <c r="F120" s="20">
        <v>45125</v>
      </c>
      <c r="G120" s="13" t="s">
        <v>847</v>
      </c>
      <c r="H120" s="13" t="s">
        <v>192</v>
      </c>
      <c r="I120" s="17">
        <v>5212256</v>
      </c>
      <c r="J120" s="17" t="s">
        <v>22</v>
      </c>
      <c r="K120" s="19"/>
      <c r="L120" s="13">
        <v>0</v>
      </c>
      <c r="M120" s="13">
        <v>25</v>
      </c>
      <c r="N120" s="13">
        <v>400</v>
      </c>
      <c r="O120" s="13">
        <f t="shared" si="105"/>
        <v>10000</v>
      </c>
      <c r="P120" s="19" t="s">
        <v>477</v>
      </c>
      <c r="Q120" s="13" t="s">
        <v>159</v>
      </c>
      <c r="R120" s="19" t="s">
        <v>209</v>
      </c>
      <c r="S120" s="13" t="s">
        <v>712</v>
      </c>
      <c r="T120" s="13">
        <v>11984</v>
      </c>
      <c r="U120" s="20">
        <v>45155</v>
      </c>
      <c r="V120" s="20">
        <v>45156</v>
      </c>
      <c r="W120" s="19"/>
      <c r="X120" s="24">
        <v>45156.381944444445</v>
      </c>
      <c r="Y120" s="24">
        <v>45156.416666666664</v>
      </c>
      <c r="Z120" s="25">
        <f t="shared" si="106"/>
        <v>3.4722222218988463E-2</v>
      </c>
      <c r="AA120" s="24">
        <v>45156.381944444445</v>
      </c>
      <c r="AB120" s="24">
        <v>45156.416666666664</v>
      </c>
      <c r="AC120" s="25">
        <f t="shared" si="107"/>
        <v>3.4722222218988463E-2</v>
      </c>
    </row>
    <row r="121" spans="1:29" x14ac:dyDescent="0.25">
      <c r="A121" s="12">
        <v>45139</v>
      </c>
      <c r="B121" s="13">
        <v>181</v>
      </c>
      <c r="C121" s="13">
        <v>7197680</v>
      </c>
      <c r="D121" s="19">
        <v>4908059444</v>
      </c>
      <c r="E121" s="13" t="s">
        <v>846</v>
      </c>
      <c r="F121" s="20">
        <v>45125</v>
      </c>
      <c r="G121" s="13" t="s">
        <v>848</v>
      </c>
      <c r="H121" s="13" t="s">
        <v>192</v>
      </c>
      <c r="I121" s="17">
        <v>5211013</v>
      </c>
      <c r="J121" s="17" t="s">
        <v>27</v>
      </c>
      <c r="K121" s="19"/>
      <c r="L121" s="13">
        <v>0</v>
      </c>
      <c r="M121" s="13">
        <v>25</v>
      </c>
      <c r="N121" s="13">
        <v>640</v>
      </c>
      <c r="O121" s="13">
        <f t="shared" ref="O121:O122" si="108">N121*M121</f>
        <v>16000</v>
      </c>
      <c r="P121" s="19" t="s">
        <v>477</v>
      </c>
      <c r="Q121" s="13" t="s">
        <v>159</v>
      </c>
      <c r="R121" s="19" t="s">
        <v>209</v>
      </c>
      <c r="S121" s="13" t="s">
        <v>712</v>
      </c>
      <c r="T121" s="13">
        <v>11984</v>
      </c>
      <c r="U121" s="20">
        <v>45155</v>
      </c>
      <c r="V121" s="20">
        <v>45156</v>
      </c>
      <c r="W121" s="19" t="s">
        <v>733</v>
      </c>
      <c r="X121" s="24">
        <v>45156.381944444445</v>
      </c>
      <c r="Y121" s="24">
        <v>45156.416666666664</v>
      </c>
      <c r="Z121" s="25">
        <f t="shared" ref="Z121:Z122" si="109">Y121-X121</f>
        <v>3.4722222218988463E-2</v>
      </c>
      <c r="AA121" s="24">
        <v>45156.381944444445</v>
      </c>
      <c r="AB121" s="24">
        <v>45156.416666666664</v>
      </c>
      <c r="AC121" s="25">
        <f t="shared" ref="AC121:AC122" si="110">AB121-AA121</f>
        <v>3.4722222218988463E-2</v>
      </c>
    </row>
    <row r="122" spans="1:29" x14ac:dyDescent="0.25">
      <c r="A122" s="12">
        <v>45139</v>
      </c>
      <c r="B122" s="13">
        <v>182</v>
      </c>
      <c r="C122" s="13">
        <v>7285627</v>
      </c>
      <c r="D122" s="19">
        <v>4908059445</v>
      </c>
      <c r="E122" s="13" t="s">
        <v>849</v>
      </c>
      <c r="F122" s="20">
        <v>45148</v>
      </c>
      <c r="G122" s="13" t="s">
        <v>770</v>
      </c>
      <c r="H122" s="13" t="s">
        <v>192</v>
      </c>
      <c r="I122" s="17">
        <v>5210162</v>
      </c>
      <c r="J122" s="17" t="s">
        <v>24</v>
      </c>
      <c r="K122" s="19"/>
      <c r="L122" s="13">
        <v>0</v>
      </c>
      <c r="M122" s="13">
        <v>25</v>
      </c>
      <c r="N122" s="13">
        <v>400</v>
      </c>
      <c r="O122" s="13">
        <f t="shared" si="108"/>
        <v>10000</v>
      </c>
      <c r="P122" s="19" t="s">
        <v>477</v>
      </c>
      <c r="Q122" s="13" t="s">
        <v>247</v>
      </c>
      <c r="R122" s="19" t="s">
        <v>209</v>
      </c>
      <c r="S122" s="13" t="s">
        <v>316</v>
      </c>
      <c r="T122" s="13">
        <v>746</v>
      </c>
      <c r="U122" s="20">
        <v>45155</v>
      </c>
      <c r="V122" s="20">
        <v>45156</v>
      </c>
      <c r="W122" s="19"/>
      <c r="X122" s="24">
        <v>45156.381944444445</v>
      </c>
      <c r="Y122" s="24">
        <v>45156.479166666664</v>
      </c>
      <c r="Z122" s="25">
        <f t="shared" si="109"/>
        <v>9.7222222218988463E-2</v>
      </c>
      <c r="AA122" s="24">
        <v>45156.451388888891</v>
      </c>
      <c r="AB122" s="24">
        <v>45156.479166666664</v>
      </c>
      <c r="AC122" s="25">
        <f t="shared" si="110"/>
        <v>2.7777777773735579E-2</v>
      </c>
    </row>
    <row r="123" spans="1:29" x14ac:dyDescent="0.25">
      <c r="A123" s="12">
        <v>45139</v>
      </c>
      <c r="B123" s="13">
        <v>182</v>
      </c>
      <c r="C123" s="13">
        <v>7285627</v>
      </c>
      <c r="D123" s="19">
        <v>4908059445</v>
      </c>
      <c r="E123" s="13" t="s">
        <v>849</v>
      </c>
      <c r="F123" s="20">
        <v>45148</v>
      </c>
      <c r="G123" s="13" t="s">
        <v>844</v>
      </c>
      <c r="H123" s="13" t="s">
        <v>192</v>
      </c>
      <c r="I123" s="17">
        <v>5212252</v>
      </c>
      <c r="J123" s="17" t="s">
        <v>23</v>
      </c>
      <c r="K123" s="19"/>
      <c r="L123" s="13">
        <v>0</v>
      </c>
      <c r="M123" s="13">
        <v>25</v>
      </c>
      <c r="N123" s="13">
        <v>640</v>
      </c>
      <c r="O123" s="13">
        <f t="shared" ref="O123:O128" si="111">N123*M123</f>
        <v>16000</v>
      </c>
      <c r="P123" s="19" t="s">
        <v>477</v>
      </c>
      <c r="Q123" s="13" t="s">
        <v>247</v>
      </c>
      <c r="R123" s="19" t="s">
        <v>209</v>
      </c>
      <c r="S123" s="13" t="s">
        <v>316</v>
      </c>
      <c r="T123" s="13">
        <v>746</v>
      </c>
      <c r="U123" s="20">
        <v>45155</v>
      </c>
      <c r="V123" s="20">
        <v>45156</v>
      </c>
      <c r="W123" s="19" t="s">
        <v>733</v>
      </c>
      <c r="X123" s="24">
        <v>45156.381944444445</v>
      </c>
      <c r="Y123" s="24">
        <v>45156.479166666664</v>
      </c>
      <c r="Z123" s="25">
        <f t="shared" ref="Z123:Z127" si="112">Y123-X123</f>
        <v>9.7222222218988463E-2</v>
      </c>
      <c r="AA123" s="24">
        <v>45156.451388888891</v>
      </c>
      <c r="AB123" s="24">
        <v>45156.479166666664</v>
      </c>
      <c r="AC123" s="25">
        <f t="shared" ref="AC123:AC127" si="113">AB123-AA123</f>
        <v>2.7777777773735579E-2</v>
      </c>
    </row>
    <row r="124" spans="1:29" x14ac:dyDescent="0.25">
      <c r="A124" s="12">
        <v>45139</v>
      </c>
      <c r="B124" s="13">
        <v>183</v>
      </c>
      <c r="C124" s="13">
        <v>7463185</v>
      </c>
      <c r="D124" s="19">
        <v>4908466175</v>
      </c>
      <c r="E124" s="19">
        <v>91518925</v>
      </c>
      <c r="F124" s="20">
        <v>45107</v>
      </c>
      <c r="G124" s="13" t="s">
        <v>889</v>
      </c>
      <c r="H124" s="13" t="s">
        <v>890</v>
      </c>
      <c r="I124" s="19" t="s">
        <v>30</v>
      </c>
      <c r="J124" s="17" t="s">
        <v>891</v>
      </c>
      <c r="K124" s="19"/>
      <c r="L124" s="13">
        <v>0</v>
      </c>
      <c r="M124" s="13">
        <v>1000</v>
      </c>
      <c r="N124" s="13">
        <v>20</v>
      </c>
      <c r="O124" s="13">
        <f t="shared" si="111"/>
        <v>20000</v>
      </c>
      <c r="P124" s="19" t="s">
        <v>477</v>
      </c>
      <c r="Q124" s="13" t="s">
        <v>159</v>
      </c>
      <c r="R124" s="19" t="s">
        <v>209</v>
      </c>
      <c r="S124" s="13" t="s">
        <v>715</v>
      </c>
      <c r="T124" s="13">
        <v>13901</v>
      </c>
      <c r="U124" s="20">
        <v>45164</v>
      </c>
      <c r="V124" s="20">
        <v>45166</v>
      </c>
      <c r="W124" s="19"/>
      <c r="X124" s="24">
        <v>45166.395833333336</v>
      </c>
      <c r="Y124" s="24">
        <v>45166.458333333336</v>
      </c>
      <c r="Z124" s="25">
        <f t="shared" si="112"/>
        <v>6.25E-2</v>
      </c>
      <c r="AA124" s="24">
        <v>45166.416666666664</v>
      </c>
      <c r="AB124" s="24">
        <v>45166.458333333336</v>
      </c>
      <c r="AC124" s="25">
        <f t="shared" si="113"/>
        <v>4.1666666671517305E-2</v>
      </c>
    </row>
    <row r="125" spans="1:29" x14ac:dyDescent="0.25">
      <c r="A125" s="12">
        <v>45139</v>
      </c>
      <c r="B125" s="13">
        <v>184</v>
      </c>
      <c r="C125" s="13">
        <v>7463185</v>
      </c>
      <c r="D125" s="19">
        <v>4908466175</v>
      </c>
      <c r="E125" s="19">
        <v>91518925</v>
      </c>
      <c r="F125" s="20">
        <v>45107</v>
      </c>
      <c r="G125" s="13" t="s">
        <v>889</v>
      </c>
      <c r="H125" s="13" t="s">
        <v>890</v>
      </c>
      <c r="I125" s="19" t="s">
        <v>30</v>
      </c>
      <c r="J125" s="17" t="s">
        <v>891</v>
      </c>
      <c r="K125" s="19"/>
      <c r="L125" s="13">
        <v>0</v>
      </c>
      <c r="M125" s="13">
        <v>1000</v>
      </c>
      <c r="N125" s="13">
        <v>20</v>
      </c>
      <c r="O125" s="13">
        <f t="shared" si="111"/>
        <v>20000</v>
      </c>
      <c r="P125" s="19" t="s">
        <v>477</v>
      </c>
      <c r="Q125" s="13" t="s">
        <v>159</v>
      </c>
      <c r="R125" s="19" t="s">
        <v>209</v>
      </c>
      <c r="S125" s="13" t="s">
        <v>712</v>
      </c>
      <c r="T125" s="13">
        <v>13902</v>
      </c>
      <c r="U125" s="20">
        <v>45164</v>
      </c>
      <c r="V125" s="20">
        <v>45166</v>
      </c>
      <c r="W125" s="19" t="s">
        <v>892</v>
      </c>
      <c r="X125" s="24">
        <v>45166.395833333336</v>
      </c>
      <c r="Y125" s="24">
        <v>45166.5</v>
      </c>
      <c r="Z125" s="25">
        <f t="shared" si="112"/>
        <v>0.10416666666424135</v>
      </c>
      <c r="AA125" s="24">
        <v>45166.458333333336</v>
      </c>
      <c r="AB125" s="24">
        <v>45166.5</v>
      </c>
      <c r="AC125" s="25">
        <f t="shared" si="113"/>
        <v>4.1666666664241347E-2</v>
      </c>
    </row>
    <row r="126" spans="1:29" x14ac:dyDescent="0.25">
      <c r="A126" s="12">
        <v>45139</v>
      </c>
      <c r="B126" s="13">
        <v>185</v>
      </c>
      <c r="C126" s="13">
        <v>7258855</v>
      </c>
      <c r="D126" s="19">
        <v>4908056409</v>
      </c>
      <c r="E126" s="13" t="s">
        <v>919</v>
      </c>
      <c r="F126" s="20">
        <v>45135</v>
      </c>
      <c r="G126" s="13" t="s">
        <v>920</v>
      </c>
      <c r="H126" s="13" t="s">
        <v>192</v>
      </c>
      <c r="I126" s="17">
        <v>5212252</v>
      </c>
      <c r="J126" s="17" t="s">
        <v>23</v>
      </c>
      <c r="K126" s="19"/>
      <c r="L126" s="13">
        <v>0</v>
      </c>
      <c r="M126" s="13">
        <v>25</v>
      </c>
      <c r="N126" s="13">
        <v>1040</v>
      </c>
      <c r="O126" s="13">
        <f t="shared" si="111"/>
        <v>26000</v>
      </c>
      <c r="P126" s="19" t="s">
        <v>477</v>
      </c>
      <c r="Q126" s="13" t="s">
        <v>247</v>
      </c>
      <c r="R126" s="19" t="s">
        <v>209</v>
      </c>
      <c r="S126" s="13" t="s">
        <v>712</v>
      </c>
      <c r="T126" s="13">
        <v>13906</v>
      </c>
      <c r="U126" s="20">
        <v>45167</v>
      </c>
      <c r="V126" s="20">
        <v>45168</v>
      </c>
      <c r="W126" s="19" t="s">
        <v>717</v>
      </c>
      <c r="X126" s="24">
        <v>45168.333333333336</v>
      </c>
      <c r="Y126" s="24">
        <v>45168.364583333336</v>
      </c>
      <c r="Z126" s="25">
        <f t="shared" si="112"/>
        <v>3.125E-2</v>
      </c>
      <c r="AA126" s="24">
        <v>45168.340277777781</v>
      </c>
      <c r="AB126" s="24">
        <v>45168.364583333336</v>
      </c>
      <c r="AC126" s="25">
        <f t="shared" si="113"/>
        <v>2.4305555554747116E-2</v>
      </c>
    </row>
    <row r="127" spans="1:29" x14ac:dyDescent="0.25">
      <c r="A127" s="12">
        <v>45139</v>
      </c>
      <c r="B127" s="13">
        <v>186</v>
      </c>
      <c r="C127" s="13">
        <v>7258855</v>
      </c>
      <c r="D127" s="19">
        <v>4908158659</v>
      </c>
      <c r="E127" s="13" t="s">
        <v>919</v>
      </c>
      <c r="F127" s="20">
        <v>45135</v>
      </c>
      <c r="G127" s="13" t="s">
        <v>920</v>
      </c>
      <c r="H127" s="13" t="s">
        <v>192</v>
      </c>
      <c r="I127" s="17">
        <v>5212252</v>
      </c>
      <c r="J127" s="17" t="s">
        <v>23</v>
      </c>
      <c r="K127" s="19"/>
      <c r="L127" s="13">
        <v>0</v>
      </c>
      <c r="M127" s="13">
        <v>25</v>
      </c>
      <c r="N127" s="13">
        <v>375</v>
      </c>
      <c r="O127" s="13">
        <f t="shared" si="111"/>
        <v>9375</v>
      </c>
      <c r="P127" s="19" t="s">
        <v>477</v>
      </c>
      <c r="Q127" s="13" t="s">
        <v>247</v>
      </c>
      <c r="R127" s="19" t="s">
        <v>209</v>
      </c>
      <c r="S127" s="13" t="s">
        <v>715</v>
      </c>
      <c r="T127" s="13">
        <v>13905</v>
      </c>
      <c r="U127" s="20">
        <v>45167</v>
      </c>
      <c r="V127" s="20">
        <v>45168</v>
      </c>
      <c r="W127" s="19"/>
      <c r="X127" s="24">
        <v>45168.333333333336</v>
      </c>
      <c r="Y127" s="24">
        <v>45168.388888888891</v>
      </c>
      <c r="Z127" s="25">
        <f t="shared" si="112"/>
        <v>5.5555555554747116E-2</v>
      </c>
      <c r="AA127" s="24">
        <v>45168.347222222219</v>
      </c>
      <c r="AB127" s="24">
        <v>45168.388888888891</v>
      </c>
      <c r="AC127" s="25">
        <f t="shared" si="113"/>
        <v>4.1666666671517305E-2</v>
      </c>
    </row>
    <row r="128" spans="1:29" x14ac:dyDescent="0.25">
      <c r="A128" s="12">
        <v>45139</v>
      </c>
      <c r="B128" s="13">
        <v>186</v>
      </c>
      <c r="C128" s="13">
        <v>7258855</v>
      </c>
      <c r="D128" s="19">
        <v>4908158659</v>
      </c>
      <c r="E128" s="13" t="s">
        <v>919</v>
      </c>
      <c r="F128" s="20">
        <v>45135</v>
      </c>
      <c r="G128" s="13" t="s">
        <v>921</v>
      </c>
      <c r="H128" s="13" t="s">
        <v>192</v>
      </c>
      <c r="I128" s="17">
        <v>5212252</v>
      </c>
      <c r="J128" s="17" t="s">
        <v>23</v>
      </c>
      <c r="K128" s="19"/>
      <c r="L128" s="13">
        <v>0</v>
      </c>
      <c r="M128" s="13">
        <v>25</v>
      </c>
      <c r="N128" s="13">
        <v>280</v>
      </c>
      <c r="O128" s="13">
        <f t="shared" si="111"/>
        <v>7000</v>
      </c>
      <c r="P128" s="19" t="s">
        <v>477</v>
      </c>
      <c r="Q128" s="13" t="s">
        <v>247</v>
      </c>
      <c r="R128" s="19" t="s">
        <v>209</v>
      </c>
      <c r="S128" s="13" t="s">
        <v>715</v>
      </c>
      <c r="T128" s="13">
        <v>13905</v>
      </c>
      <c r="U128" s="20">
        <v>45167</v>
      </c>
      <c r="V128" s="20">
        <v>45168</v>
      </c>
      <c r="W128" s="19"/>
      <c r="X128" s="24">
        <v>45168.333333333336</v>
      </c>
      <c r="Y128" s="24">
        <v>45168.388888888891</v>
      </c>
      <c r="Z128" s="25">
        <f t="shared" ref="Z128:Z131" si="114">Y128-X128</f>
        <v>5.5555555554747116E-2</v>
      </c>
      <c r="AA128" s="24">
        <v>45168.347222222219</v>
      </c>
      <c r="AB128" s="24">
        <v>45168.388888888891</v>
      </c>
      <c r="AC128" s="25">
        <f t="shared" ref="AC128:AC131" si="115">AB128-AA128</f>
        <v>4.1666666671517305E-2</v>
      </c>
    </row>
    <row r="129" spans="1:29" x14ac:dyDescent="0.25">
      <c r="A129" s="12">
        <v>45139</v>
      </c>
      <c r="B129" s="13">
        <v>186</v>
      </c>
      <c r="C129" s="13">
        <v>7258855</v>
      </c>
      <c r="D129" s="19">
        <v>4908158659</v>
      </c>
      <c r="E129" s="13" t="s">
        <v>919</v>
      </c>
      <c r="F129" s="20">
        <v>45135</v>
      </c>
      <c r="G129" s="13" t="s">
        <v>845</v>
      </c>
      <c r="H129" s="13" t="s">
        <v>192</v>
      </c>
      <c r="I129" s="17">
        <v>5212252</v>
      </c>
      <c r="J129" s="17" t="s">
        <v>23</v>
      </c>
      <c r="K129" s="19"/>
      <c r="L129" s="13">
        <v>0</v>
      </c>
      <c r="M129" s="13">
        <v>25</v>
      </c>
      <c r="N129" s="13">
        <v>385</v>
      </c>
      <c r="O129" s="13">
        <f t="shared" ref="O129:O130" si="116">N129*M129</f>
        <v>9625</v>
      </c>
      <c r="P129" s="19" t="s">
        <v>477</v>
      </c>
      <c r="Q129" s="13" t="s">
        <v>247</v>
      </c>
      <c r="R129" s="19" t="s">
        <v>209</v>
      </c>
      <c r="S129" s="13" t="s">
        <v>715</v>
      </c>
      <c r="T129" s="13">
        <v>13905</v>
      </c>
      <c r="U129" s="20">
        <v>45167</v>
      </c>
      <c r="V129" s="20">
        <v>45168</v>
      </c>
      <c r="W129" s="19" t="s">
        <v>733</v>
      </c>
      <c r="X129" s="24">
        <v>45168.333333333336</v>
      </c>
      <c r="Y129" s="24">
        <v>45168.388888888891</v>
      </c>
      <c r="Z129" s="25">
        <f t="shared" si="114"/>
        <v>5.5555555554747116E-2</v>
      </c>
      <c r="AA129" s="24">
        <v>45168.347222222219</v>
      </c>
      <c r="AB129" s="24">
        <v>45168.388888888891</v>
      </c>
      <c r="AC129" s="25">
        <f t="shared" si="115"/>
        <v>4.1666666671517305E-2</v>
      </c>
    </row>
    <row r="130" spans="1:29" x14ac:dyDescent="0.25">
      <c r="A130" s="12">
        <v>45139</v>
      </c>
      <c r="B130" s="13">
        <v>187</v>
      </c>
      <c r="C130" s="13">
        <v>7556097</v>
      </c>
      <c r="D130" s="19">
        <v>4908059442</v>
      </c>
      <c r="E130" s="13" t="s">
        <v>922</v>
      </c>
      <c r="F130" s="20">
        <v>45121</v>
      </c>
      <c r="G130" s="13" t="s">
        <v>923</v>
      </c>
      <c r="H130" s="13" t="s">
        <v>192</v>
      </c>
      <c r="I130" s="17">
        <v>5212252</v>
      </c>
      <c r="J130" s="17" t="s">
        <v>23</v>
      </c>
      <c r="K130" s="19"/>
      <c r="L130" s="13">
        <v>0</v>
      </c>
      <c r="M130" s="13">
        <v>25</v>
      </c>
      <c r="N130" s="13">
        <v>1040</v>
      </c>
      <c r="O130" s="13">
        <f t="shared" si="116"/>
        <v>26000</v>
      </c>
      <c r="P130" s="19" t="s">
        <v>477</v>
      </c>
      <c r="Q130" s="13" t="s">
        <v>247</v>
      </c>
      <c r="R130" s="19" t="s">
        <v>209</v>
      </c>
      <c r="S130" s="13" t="s">
        <v>924</v>
      </c>
      <c r="T130" s="13">
        <v>709</v>
      </c>
      <c r="U130" s="20">
        <v>45167</v>
      </c>
      <c r="V130" s="20">
        <v>45168</v>
      </c>
      <c r="W130" s="19"/>
      <c r="X130" s="24">
        <v>45168.333333333336</v>
      </c>
      <c r="Y130" s="24">
        <v>45168.444444444445</v>
      </c>
      <c r="Z130" s="25">
        <f t="shared" si="114"/>
        <v>0.11111111110949423</v>
      </c>
      <c r="AA130" s="24">
        <v>45168.388888888891</v>
      </c>
      <c r="AB130" s="24">
        <v>45168.444444444445</v>
      </c>
      <c r="AC130" s="25">
        <f t="shared" si="115"/>
        <v>5.5555555554747116E-2</v>
      </c>
    </row>
    <row r="131" spans="1:29" x14ac:dyDescent="0.25">
      <c r="A131" s="12">
        <v>45139</v>
      </c>
      <c r="B131" s="13">
        <v>188</v>
      </c>
      <c r="C131" s="13">
        <v>7556097</v>
      </c>
      <c r="D131" s="19">
        <v>4908059446</v>
      </c>
      <c r="E131" s="13" t="s">
        <v>922</v>
      </c>
      <c r="F131" s="20">
        <v>45121</v>
      </c>
      <c r="G131" s="13" t="s">
        <v>845</v>
      </c>
      <c r="H131" s="13" t="s">
        <v>192</v>
      </c>
      <c r="I131" s="17">
        <v>5212252</v>
      </c>
      <c r="J131" s="17" t="s">
        <v>23</v>
      </c>
      <c r="K131" s="19"/>
      <c r="L131" s="13">
        <v>0</v>
      </c>
      <c r="M131" s="13">
        <v>25</v>
      </c>
      <c r="N131" s="13">
        <v>630</v>
      </c>
      <c r="O131" s="13">
        <f t="shared" ref="O131:O133" si="117">N131*M131</f>
        <v>15750</v>
      </c>
      <c r="P131" s="19" t="s">
        <v>477</v>
      </c>
      <c r="Q131" s="13" t="s">
        <v>247</v>
      </c>
      <c r="R131" s="19" t="s">
        <v>209</v>
      </c>
      <c r="S131" s="13" t="s">
        <v>925</v>
      </c>
      <c r="T131" s="13">
        <v>708</v>
      </c>
      <c r="U131" s="20">
        <v>45167</v>
      </c>
      <c r="V131" s="20">
        <v>45168</v>
      </c>
      <c r="W131" s="19" t="s">
        <v>733</v>
      </c>
      <c r="X131" s="24">
        <v>45168.333333333336</v>
      </c>
      <c r="Y131" s="24">
        <v>45168.416666666664</v>
      </c>
      <c r="Z131" s="25">
        <f t="shared" si="114"/>
        <v>8.3333333328482695E-2</v>
      </c>
      <c r="AA131" s="24">
        <v>45168.375</v>
      </c>
      <c r="AB131" s="24">
        <v>45168.416666666664</v>
      </c>
      <c r="AC131" s="25">
        <f t="shared" si="115"/>
        <v>4.1666666664241347E-2</v>
      </c>
    </row>
    <row r="132" spans="1:29" x14ac:dyDescent="0.25">
      <c r="A132" s="12">
        <v>45139</v>
      </c>
      <c r="B132" s="13">
        <v>188</v>
      </c>
      <c r="C132" s="13">
        <v>7556097</v>
      </c>
      <c r="D132" s="19">
        <v>4908059446</v>
      </c>
      <c r="E132" s="13" t="s">
        <v>922</v>
      </c>
      <c r="F132" s="20">
        <v>45121</v>
      </c>
      <c r="G132" s="13" t="s">
        <v>923</v>
      </c>
      <c r="H132" s="13" t="s">
        <v>192</v>
      </c>
      <c r="I132" s="17">
        <v>5212252</v>
      </c>
      <c r="J132" s="17" t="s">
        <v>23</v>
      </c>
      <c r="K132" s="19"/>
      <c r="L132" s="13">
        <v>0</v>
      </c>
      <c r="M132" s="13">
        <v>25</v>
      </c>
      <c r="N132" s="13">
        <v>410</v>
      </c>
      <c r="O132" s="13">
        <f t="shared" si="117"/>
        <v>10250</v>
      </c>
      <c r="P132" s="19" t="s">
        <v>477</v>
      </c>
      <c r="Q132" s="13" t="s">
        <v>247</v>
      </c>
      <c r="R132" s="19" t="s">
        <v>209</v>
      </c>
      <c r="S132" s="13" t="s">
        <v>925</v>
      </c>
      <c r="T132" s="13">
        <v>708</v>
      </c>
      <c r="U132" s="20">
        <v>45167</v>
      </c>
      <c r="V132" s="20">
        <v>45168</v>
      </c>
      <c r="W132" s="19"/>
      <c r="X132" s="24">
        <v>45168.333333333336</v>
      </c>
      <c r="Y132" s="24">
        <v>45168.416666666664</v>
      </c>
      <c r="Z132" s="25">
        <f t="shared" ref="Z132:Z133" si="118">Y132-X132</f>
        <v>8.3333333328482695E-2</v>
      </c>
      <c r="AA132" s="24">
        <v>45168.375</v>
      </c>
      <c r="AB132" s="24">
        <v>45168.416666666664</v>
      </c>
      <c r="AC132" s="25">
        <f t="shared" ref="AC132:AC133" si="119">AB132-AA132</f>
        <v>4.1666666664241347E-2</v>
      </c>
    </row>
    <row r="133" spans="1:29" x14ac:dyDescent="0.25">
      <c r="A133" s="12">
        <v>45170</v>
      </c>
      <c r="B133" s="13">
        <v>189</v>
      </c>
      <c r="C133" s="13">
        <v>7447959</v>
      </c>
      <c r="D133" s="19">
        <v>4908213224</v>
      </c>
      <c r="E133" s="13" t="s">
        <v>954</v>
      </c>
      <c r="F133" s="20">
        <v>45138</v>
      </c>
      <c r="G133" s="13" t="s">
        <v>921</v>
      </c>
      <c r="H133" s="13" t="s">
        <v>192</v>
      </c>
      <c r="I133" s="17">
        <v>5212252</v>
      </c>
      <c r="J133" s="17" t="s">
        <v>23</v>
      </c>
      <c r="K133" s="19"/>
      <c r="L133" s="13">
        <v>0</v>
      </c>
      <c r="M133" s="13">
        <v>25</v>
      </c>
      <c r="N133" s="13">
        <v>1008</v>
      </c>
      <c r="O133" s="13">
        <f t="shared" si="117"/>
        <v>25200</v>
      </c>
      <c r="P133" s="19" t="s">
        <v>477</v>
      </c>
      <c r="Q133" s="13" t="s">
        <v>247</v>
      </c>
      <c r="R133" s="19" t="s">
        <v>209</v>
      </c>
      <c r="S133" s="13" t="s">
        <v>704</v>
      </c>
      <c r="T133" s="13">
        <v>768</v>
      </c>
      <c r="U133" s="20">
        <v>45173</v>
      </c>
      <c r="V133" s="20">
        <v>45174</v>
      </c>
      <c r="W133" s="19"/>
      <c r="X133" s="24">
        <v>45174.375</v>
      </c>
      <c r="Y133" s="24">
        <v>45174.430555555555</v>
      </c>
      <c r="Z133" s="25">
        <f t="shared" si="118"/>
        <v>5.5555555554747116E-2</v>
      </c>
      <c r="AA133" s="24">
        <v>45174.395833333336</v>
      </c>
      <c r="AB133" s="24">
        <v>45174.430555555555</v>
      </c>
      <c r="AC133" s="25">
        <f t="shared" si="119"/>
        <v>3.4722222218988463E-2</v>
      </c>
    </row>
    <row r="134" spans="1:29" x14ac:dyDescent="0.25">
      <c r="A134" s="12">
        <v>45170</v>
      </c>
      <c r="B134" s="13">
        <v>189</v>
      </c>
      <c r="C134" s="13">
        <v>7447959</v>
      </c>
      <c r="D134" s="19">
        <v>4908213224</v>
      </c>
      <c r="E134" s="13" t="s">
        <v>954</v>
      </c>
      <c r="F134" s="20">
        <v>45138</v>
      </c>
      <c r="G134" s="13" t="s">
        <v>778</v>
      </c>
      <c r="H134" s="13" t="s">
        <v>192</v>
      </c>
      <c r="I134" s="17">
        <v>5212252</v>
      </c>
      <c r="J134" s="17" t="s">
        <v>23</v>
      </c>
      <c r="K134" s="19"/>
      <c r="L134" s="13">
        <v>0</v>
      </c>
      <c r="M134" s="13">
        <v>25</v>
      </c>
      <c r="N134" s="13">
        <v>32</v>
      </c>
      <c r="O134" s="13">
        <f t="shared" ref="O134:O135" si="120">N134*M134</f>
        <v>800</v>
      </c>
      <c r="P134" s="19" t="s">
        <v>477</v>
      </c>
      <c r="Q134" s="13" t="s">
        <v>247</v>
      </c>
      <c r="R134" s="19" t="s">
        <v>209</v>
      </c>
      <c r="S134" s="13" t="s">
        <v>704</v>
      </c>
      <c r="T134" s="13">
        <v>768</v>
      </c>
      <c r="U134" s="20">
        <v>45173</v>
      </c>
      <c r="V134" s="20">
        <v>45174</v>
      </c>
      <c r="W134" s="19"/>
      <c r="X134" s="24">
        <v>45174.375</v>
      </c>
      <c r="Y134" s="24">
        <v>45174.430555555555</v>
      </c>
      <c r="Z134" s="25">
        <f t="shared" ref="Z134:Z135" si="121">Y134-X134</f>
        <v>5.5555555554747116E-2</v>
      </c>
      <c r="AA134" s="24">
        <v>45174.395833333336</v>
      </c>
      <c r="AB134" s="24">
        <v>45174.430555555555</v>
      </c>
      <c r="AC134" s="25">
        <f t="shared" ref="AC134:AC135" si="122">AB134-AA134</f>
        <v>3.4722222218988463E-2</v>
      </c>
    </row>
    <row r="135" spans="1:29" x14ac:dyDescent="0.25">
      <c r="A135" s="12">
        <v>45170</v>
      </c>
      <c r="B135" s="13">
        <v>190</v>
      </c>
      <c r="C135" s="13">
        <v>7447959</v>
      </c>
      <c r="D135" s="19">
        <v>4908213224</v>
      </c>
      <c r="E135" s="13" t="s">
        <v>954</v>
      </c>
      <c r="F135" s="20">
        <v>45138</v>
      </c>
      <c r="G135" s="13" t="s">
        <v>955</v>
      </c>
      <c r="H135" s="13" t="s">
        <v>192</v>
      </c>
      <c r="I135" s="17">
        <v>5212252</v>
      </c>
      <c r="J135" s="17" t="s">
        <v>23</v>
      </c>
      <c r="K135" s="19"/>
      <c r="L135" s="13">
        <v>0</v>
      </c>
      <c r="M135" s="13">
        <v>25</v>
      </c>
      <c r="N135" s="13">
        <v>966</v>
      </c>
      <c r="O135" s="13">
        <f t="shared" si="120"/>
        <v>24150</v>
      </c>
      <c r="P135" s="19" t="s">
        <v>477</v>
      </c>
      <c r="Q135" s="13" t="s">
        <v>247</v>
      </c>
      <c r="R135" s="19" t="s">
        <v>209</v>
      </c>
      <c r="S135" s="13" t="s">
        <v>956</v>
      </c>
      <c r="T135" s="13">
        <v>767</v>
      </c>
      <c r="U135" s="20">
        <v>45173</v>
      </c>
      <c r="V135" s="20">
        <v>45174</v>
      </c>
      <c r="W135" s="19"/>
      <c r="X135" s="24">
        <v>45174.375</v>
      </c>
      <c r="Y135" s="24">
        <v>45174.458333333336</v>
      </c>
      <c r="Z135" s="25">
        <f t="shared" si="121"/>
        <v>8.3333333335758653E-2</v>
      </c>
      <c r="AA135" s="24">
        <v>45174.4375</v>
      </c>
      <c r="AB135" s="24">
        <v>45174.458333333336</v>
      </c>
      <c r="AC135" s="25">
        <f t="shared" si="122"/>
        <v>2.0833333335758653E-2</v>
      </c>
    </row>
    <row r="136" spans="1:29" x14ac:dyDescent="0.25">
      <c r="A136" s="12">
        <v>45170</v>
      </c>
      <c r="B136" s="13">
        <v>190</v>
      </c>
      <c r="C136" s="13">
        <v>7447959</v>
      </c>
      <c r="D136" s="19">
        <v>4908213224</v>
      </c>
      <c r="E136" s="13" t="s">
        <v>954</v>
      </c>
      <c r="F136" s="20">
        <v>45138</v>
      </c>
      <c r="G136" s="13" t="s">
        <v>778</v>
      </c>
      <c r="H136" s="13" t="s">
        <v>192</v>
      </c>
      <c r="I136" s="17">
        <v>5212252</v>
      </c>
      <c r="J136" s="17" t="s">
        <v>23</v>
      </c>
      <c r="K136" s="19"/>
      <c r="L136" s="13">
        <v>0</v>
      </c>
      <c r="M136" s="13">
        <v>25</v>
      </c>
      <c r="N136" s="13">
        <v>74</v>
      </c>
      <c r="O136" s="13">
        <f t="shared" ref="O136:O138" si="123">N136*M136</f>
        <v>1850</v>
      </c>
      <c r="P136" s="19" t="s">
        <v>477</v>
      </c>
      <c r="Q136" s="13" t="s">
        <v>247</v>
      </c>
      <c r="R136" s="19" t="s">
        <v>209</v>
      </c>
      <c r="S136" s="13" t="s">
        <v>956</v>
      </c>
      <c r="T136" s="13">
        <v>767</v>
      </c>
      <c r="U136" s="20">
        <v>45173</v>
      </c>
      <c r="V136" s="20">
        <v>45174</v>
      </c>
      <c r="W136" s="19"/>
      <c r="X136" s="24">
        <v>45174.375</v>
      </c>
      <c r="Y136" s="24">
        <v>45174.458333333336</v>
      </c>
      <c r="Z136" s="25">
        <f t="shared" ref="Z136:Z138" si="124">Y136-X136</f>
        <v>8.3333333335758653E-2</v>
      </c>
      <c r="AA136" s="24">
        <v>45174.4375</v>
      </c>
      <c r="AB136" s="24">
        <v>45174.458333333336</v>
      </c>
      <c r="AC136" s="25">
        <f t="shared" ref="AC136:AC138" si="125">AB136-AA136</f>
        <v>2.0833333335758653E-2</v>
      </c>
    </row>
    <row r="137" spans="1:29" x14ac:dyDescent="0.25">
      <c r="A137" s="12">
        <v>45170</v>
      </c>
      <c r="B137" s="13">
        <v>191</v>
      </c>
      <c r="C137" s="13">
        <v>7612640</v>
      </c>
      <c r="D137" s="19">
        <v>4908264423</v>
      </c>
      <c r="E137" s="13" t="s">
        <v>982</v>
      </c>
      <c r="F137" s="20">
        <v>45150</v>
      </c>
      <c r="G137" s="14" t="s">
        <v>983</v>
      </c>
      <c r="H137" s="13" t="s">
        <v>132</v>
      </c>
      <c r="I137" s="17" t="s">
        <v>30</v>
      </c>
      <c r="J137" s="17" t="s">
        <v>984</v>
      </c>
      <c r="K137" s="19"/>
      <c r="L137" s="13">
        <v>0</v>
      </c>
      <c r="M137" s="13">
        <v>250</v>
      </c>
      <c r="N137" s="13">
        <v>80</v>
      </c>
      <c r="O137" s="13">
        <f t="shared" si="123"/>
        <v>20000</v>
      </c>
      <c r="P137" s="19" t="s">
        <v>477</v>
      </c>
      <c r="Q137" s="13" t="s">
        <v>771</v>
      </c>
      <c r="R137" s="19" t="s">
        <v>209</v>
      </c>
      <c r="S137" s="13" t="s">
        <v>985</v>
      </c>
      <c r="T137" s="13">
        <v>640</v>
      </c>
      <c r="U137" s="20">
        <v>45183</v>
      </c>
      <c r="V137" s="20">
        <v>45184</v>
      </c>
      <c r="W137" s="19"/>
      <c r="X137" s="24">
        <v>45174.378472222219</v>
      </c>
      <c r="Y137" s="24">
        <v>45174.513888888891</v>
      </c>
      <c r="Z137" s="25">
        <f t="shared" si="124"/>
        <v>0.13541666667151731</v>
      </c>
      <c r="AA137" s="24">
        <v>45174.402777777781</v>
      </c>
      <c r="AB137" s="24">
        <v>45174.513888888891</v>
      </c>
      <c r="AC137" s="25">
        <f t="shared" si="125"/>
        <v>0.11111111110949423</v>
      </c>
    </row>
    <row r="138" spans="1:29" x14ac:dyDescent="0.25">
      <c r="A138" s="12">
        <v>45170</v>
      </c>
      <c r="B138" s="13">
        <v>192</v>
      </c>
      <c r="C138" s="13">
        <v>7753447</v>
      </c>
      <c r="D138" s="19"/>
      <c r="E138" s="13" t="s">
        <v>995</v>
      </c>
      <c r="F138" s="20">
        <v>45158</v>
      </c>
      <c r="G138" s="14" t="s">
        <v>996</v>
      </c>
      <c r="H138" s="13" t="s">
        <v>132</v>
      </c>
      <c r="I138" s="17">
        <v>5306988</v>
      </c>
      <c r="J138" s="17" t="s">
        <v>55</v>
      </c>
      <c r="K138" s="19"/>
      <c r="L138" s="13">
        <v>0</v>
      </c>
      <c r="M138" s="13">
        <v>200</v>
      </c>
      <c r="N138" s="13">
        <v>30</v>
      </c>
      <c r="O138" s="13">
        <f t="shared" si="123"/>
        <v>6000</v>
      </c>
      <c r="P138" s="19" t="s">
        <v>477</v>
      </c>
      <c r="Q138" s="13" t="s">
        <v>247</v>
      </c>
      <c r="R138" s="13" t="s">
        <v>997</v>
      </c>
      <c r="S138" s="13" t="s">
        <v>275</v>
      </c>
      <c r="T138" s="13">
        <v>796</v>
      </c>
      <c r="U138" s="20">
        <v>45189</v>
      </c>
      <c r="V138" s="20">
        <v>45190</v>
      </c>
      <c r="W138" s="19"/>
      <c r="X138" s="24">
        <v>45190.375</v>
      </c>
      <c r="Y138" s="24">
        <v>45190.454861111109</v>
      </c>
      <c r="Z138" s="25">
        <f t="shared" si="124"/>
        <v>7.9861111109494232E-2</v>
      </c>
      <c r="AA138" s="24">
        <v>45190.40625</v>
      </c>
      <c r="AB138" s="24">
        <v>45190.454861111109</v>
      </c>
      <c r="AC138" s="25">
        <f t="shared" si="125"/>
        <v>4.8611111109494232E-2</v>
      </c>
    </row>
    <row r="139" spans="1:29" x14ac:dyDescent="0.25">
      <c r="A139" s="12">
        <v>45170</v>
      </c>
      <c r="B139" s="13">
        <v>192</v>
      </c>
      <c r="C139" s="13">
        <v>7753447</v>
      </c>
      <c r="D139" s="19"/>
      <c r="E139" s="13" t="s">
        <v>995</v>
      </c>
      <c r="F139" s="20">
        <v>45158</v>
      </c>
      <c r="G139" s="14" t="s">
        <v>998</v>
      </c>
      <c r="H139" s="13" t="s">
        <v>132</v>
      </c>
      <c r="I139" s="17">
        <v>5306988</v>
      </c>
      <c r="J139" s="17" t="s">
        <v>55</v>
      </c>
      <c r="K139" s="19"/>
      <c r="L139" s="13">
        <v>0</v>
      </c>
      <c r="M139" s="13">
        <v>200</v>
      </c>
      <c r="N139" s="13">
        <v>50</v>
      </c>
      <c r="O139" s="13">
        <f t="shared" ref="O139:O140" si="126">N139*M139</f>
        <v>10000</v>
      </c>
      <c r="P139" s="19" t="s">
        <v>477</v>
      </c>
      <c r="Q139" s="13" t="s">
        <v>247</v>
      </c>
      <c r="R139" s="13" t="s">
        <v>997</v>
      </c>
      <c r="S139" s="13" t="s">
        <v>275</v>
      </c>
      <c r="T139" s="13">
        <v>796</v>
      </c>
      <c r="U139" s="20">
        <v>45189</v>
      </c>
      <c r="V139" s="20">
        <v>45190</v>
      </c>
      <c r="W139" s="19"/>
      <c r="X139" s="24">
        <v>45190.375</v>
      </c>
      <c r="Y139" s="24">
        <v>45190.454861111109</v>
      </c>
      <c r="Z139" s="25">
        <f t="shared" ref="Z139:Z140" si="127">Y139-X139</f>
        <v>7.9861111109494232E-2</v>
      </c>
      <c r="AA139" s="24">
        <v>45190.40625</v>
      </c>
      <c r="AB139" s="24">
        <v>45190.454861111109</v>
      </c>
      <c r="AC139" s="25">
        <f t="shared" ref="AC139:AC140" si="128">AB139-AA139</f>
        <v>4.8611111109494232E-2</v>
      </c>
    </row>
    <row r="140" spans="1:29" x14ac:dyDescent="0.25">
      <c r="A140" s="12">
        <v>45170</v>
      </c>
      <c r="B140" s="13">
        <v>193</v>
      </c>
      <c r="C140" s="13">
        <v>7749572</v>
      </c>
      <c r="D140" s="19"/>
      <c r="E140" s="13" t="s">
        <v>999</v>
      </c>
      <c r="F140" s="20">
        <v>45157</v>
      </c>
      <c r="G140" s="14" t="s">
        <v>1000</v>
      </c>
      <c r="H140" s="13" t="s">
        <v>132</v>
      </c>
      <c r="I140" s="17">
        <v>5231523</v>
      </c>
      <c r="J140" s="17" t="s">
        <v>1001</v>
      </c>
      <c r="K140" s="19"/>
      <c r="L140" s="13">
        <v>0</v>
      </c>
      <c r="M140" s="13">
        <v>200</v>
      </c>
      <c r="N140" s="13">
        <v>20</v>
      </c>
      <c r="O140" s="13">
        <f t="shared" si="126"/>
        <v>4000</v>
      </c>
      <c r="P140" s="19" t="s">
        <v>477</v>
      </c>
      <c r="Q140" s="13" t="s">
        <v>247</v>
      </c>
      <c r="R140" s="13" t="s">
        <v>997</v>
      </c>
      <c r="S140" s="13" t="s">
        <v>813</v>
      </c>
      <c r="T140" s="13">
        <v>794</v>
      </c>
      <c r="U140" s="20">
        <v>45189</v>
      </c>
      <c r="V140" s="20">
        <v>45190</v>
      </c>
      <c r="W140" s="19"/>
      <c r="X140" s="24">
        <v>45190.375</v>
      </c>
      <c r="Y140" s="24">
        <v>45190.444444444445</v>
      </c>
      <c r="Z140" s="25">
        <f t="shared" si="127"/>
        <v>6.9444444445252884E-2</v>
      </c>
      <c r="AA140" s="24">
        <v>45190.395833333336</v>
      </c>
      <c r="AB140" s="24">
        <v>45190.444444444445</v>
      </c>
      <c r="AC140" s="25">
        <f t="shared" si="128"/>
        <v>4.8611111109494232E-2</v>
      </c>
    </row>
    <row r="141" spans="1:29" x14ac:dyDescent="0.25">
      <c r="A141" s="12">
        <v>45170</v>
      </c>
      <c r="B141" s="13">
        <v>193</v>
      </c>
      <c r="C141" s="13">
        <v>7749572</v>
      </c>
      <c r="D141" s="19"/>
      <c r="E141" s="13" t="s">
        <v>999</v>
      </c>
      <c r="F141" s="20">
        <v>45157</v>
      </c>
      <c r="G141" s="14" t="s">
        <v>1002</v>
      </c>
      <c r="H141" s="13" t="s">
        <v>132</v>
      </c>
      <c r="I141" s="17">
        <v>5231523</v>
      </c>
      <c r="J141" s="17" t="s">
        <v>1001</v>
      </c>
      <c r="K141" s="19"/>
      <c r="L141" s="13">
        <v>0</v>
      </c>
      <c r="M141" s="13">
        <v>200</v>
      </c>
      <c r="N141" s="13">
        <v>60</v>
      </c>
      <c r="O141" s="13">
        <f t="shared" ref="O141:O143" si="129">N141*M141</f>
        <v>12000</v>
      </c>
      <c r="P141" s="19" t="s">
        <v>477</v>
      </c>
      <c r="Q141" s="13" t="s">
        <v>247</v>
      </c>
      <c r="R141" s="13" t="s">
        <v>997</v>
      </c>
      <c r="S141" s="13" t="s">
        <v>813</v>
      </c>
      <c r="T141" s="13">
        <v>794</v>
      </c>
      <c r="U141" s="20">
        <v>45189</v>
      </c>
      <c r="V141" s="20">
        <v>45190</v>
      </c>
      <c r="W141" s="19"/>
      <c r="X141" s="24">
        <v>45190.375</v>
      </c>
      <c r="Y141" s="24">
        <v>45190.444444444445</v>
      </c>
      <c r="Z141" s="25">
        <f t="shared" ref="Z141:Z143" si="130">Y141-X141</f>
        <v>6.9444444445252884E-2</v>
      </c>
      <c r="AA141" s="24">
        <v>45190.395833333336</v>
      </c>
      <c r="AB141" s="24">
        <v>45190.444444444445</v>
      </c>
      <c r="AC141" s="25">
        <f t="shared" ref="AC141:AC143" si="131">AB141-AA141</f>
        <v>4.8611111109494232E-2</v>
      </c>
    </row>
    <row r="142" spans="1:29" x14ac:dyDescent="0.25">
      <c r="A142" s="12">
        <v>45170</v>
      </c>
      <c r="B142" s="13">
        <v>194</v>
      </c>
      <c r="C142" s="13">
        <v>7796790</v>
      </c>
      <c r="D142" s="19"/>
      <c r="E142" s="13" t="s">
        <v>1003</v>
      </c>
      <c r="F142" s="20">
        <v>45157</v>
      </c>
      <c r="G142" s="14" t="s">
        <v>1004</v>
      </c>
      <c r="H142" s="13" t="s">
        <v>132</v>
      </c>
      <c r="I142" s="17">
        <v>5200399</v>
      </c>
      <c r="J142" s="17" t="s">
        <v>1005</v>
      </c>
      <c r="K142" s="19"/>
      <c r="L142" s="13">
        <v>0</v>
      </c>
      <c r="M142" s="13">
        <v>250</v>
      </c>
      <c r="N142" s="13">
        <v>48</v>
      </c>
      <c r="O142" s="13">
        <f t="shared" si="129"/>
        <v>12000</v>
      </c>
      <c r="P142" s="19" t="s">
        <v>477</v>
      </c>
      <c r="Q142" s="13" t="s">
        <v>247</v>
      </c>
      <c r="R142" s="13" t="s">
        <v>997</v>
      </c>
      <c r="S142" s="13" t="s">
        <v>340</v>
      </c>
      <c r="T142" s="13">
        <v>795</v>
      </c>
      <c r="U142" s="20">
        <v>45189</v>
      </c>
      <c r="V142" s="20">
        <v>45190</v>
      </c>
      <c r="W142" s="19"/>
      <c r="X142" s="24">
        <v>45190.375</v>
      </c>
      <c r="Y142" s="24">
        <v>45190.5625</v>
      </c>
      <c r="Z142" s="25">
        <f t="shared" si="130"/>
        <v>0.1875</v>
      </c>
      <c r="AA142" s="24">
        <v>45190.5</v>
      </c>
      <c r="AB142" s="24">
        <v>45190.5625</v>
      </c>
      <c r="AC142" s="25">
        <f t="shared" si="131"/>
        <v>6.25E-2</v>
      </c>
    </row>
    <row r="143" spans="1:29" x14ac:dyDescent="0.25">
      <c r="A143" s="12">
        <v>45170</v>
      </c>
      <c r="B143" s="13">
        <v>195</v>
      </c>
      <c r="C143" s="13">
        <v>7722164</v>
      </c>
      <c r="D143" s="19"/>
      <c r="E143" s="13" t="s">
        <v>1009</v>
      </c>
      <c r="F143" s="20">
        <v>45155</v>
      </c>
      <c r="G143" s="14" t="s">
        <v>1010</v>
      </c>
      <c r="H143" s="13" t="s">
        <v>132</v>
      </c>
      <c r="I143" s="17">
        <v>5230087</v>
      </c>
      <c r="J143" s="17" t="s">
        <v>1011</v>
      </c>
      <c r="K143" s="19"/>
      <c r="L143" s="13">
        <v>0</v>
      </c>
      <c r="M143" s="13">
        <v>250</v>
      </c>
      <c r="N143" s="13">
        <v>6</v>
      </c>
      <c r="O143" s="13">
        <f t="shared" si="129"/>
        <v>1500</v>
      </c>
      <c r="P143" s="19" t="s">
        <v>477</v>
      </c>
      <c r="Q143" s="13" t="s">
        <v>247</v>
      </c>
      <c r="R143" s="13" t="s">
        <v>997</v>
      </c>
      <c r="S143" s="13" t="s">
        <v>1012</v>
      </c>
      <c r="T143" s="13">
        <v>776</v>
      </c>
      <c r="U143" s="20">
        <v>45189</v>
      </c>
      <c r="V143" s="20">
        <v>45190</v>
      </c>
      <c r="W143" s="19"/>
      <c r="X143" s="24">
        <v>45190.375</v>
      </c>
      <c r="Y143" s="24">
        <v>45190.732638888891</v>
      </c>
      <c r="Z143" s="25">
        <f t="shared" si="130"/>
        <v>0.35763888889050577</v>
      </c>
      <c r="AA143" s="24">
        <v>45190.666666666664</v>
      </c>
      <c r="AB143" s="24">
        <v>45190.732638888891</v>
      </c>
      <c r="AC143" s="25">
        <f t="shared" si="131"/>
        <v>6.5972222226264421E-2</v>
      </c>
    </row>
    <row r="144" spans="1:29" x14ac:dyDescent="0.25">
      <c r="A144" s="12">
        <v>45170</v>
      </c>
      <c r="B144" s="13">
        <v>195</v>
      </c>
      <c r="C144" s="13">
        <v>7722164</v>
      </c>
      <c r="D144" s="19"/>
      <c r="E144" s="13" t="s">
        <v>1009</v>
      </c>
      <c r="F144" s="20">
        <v>45155</v>
      </c>
      <c r="G144" s="14" t="s">
        <v>1013</v>
      </c>
      <c r="H144" s="13" t="s">
        <v>132</v>
      </c>
      <c r="I144" s="17">
        <v>5230087</v>
      </c>
      <c r="J144" s="17" t="s">
        <v>1011</v>
      </c>
      <c r="K144" s="19"/>
      <c r="L144" s="13">
        <v>0</v>
      </c>
      <c r="M144" s="13">
        <v>250</v>
      </c>
      <c r="N144" s="13">
        <v>74</v>
      </c>
      <c r="O144" s="13">
        <f t="shared" ref="O144:O146" si="132">N144*M144</f>
        <v>18500</v>
      </c>
      <c r="P144" s="19" t="s">
        <v>477</v>
      </c>
      <c r="Q144" s="13" t="s">
        <v>247</v>
      </c>
      <c r="R144" s="13" t="s">
        <v>997</v>
      </c>
      <c r="S144" s="13" t="s">
        <v>1012</v>
      </c>
      <c r="T144" s="13">
        <v>776</v>
      </c>
      <c r="U144" s="20">
        <v>45189</v>
      </c>
      <c r="V144" s="20">
        <v>45190</v>
      </c>
      <c r="W144" s="19"/>
      <c r="X144" s="24">
        <v>45190.375</v>
      </c>
      <c r="Y144" s="24">
        <v>45190.732638888891</v>
      </c>
      <c r="Z144" s="25">
        <f t="shared" ref="Z144:Z146" si="133">Y144-X144</f>
        <v>0.35763888889050577</v>
      </c>
      <c r="AA144" s="24">
        <v>45190.666666666664</v>
      </c>
      <c r="AB144" s="24">
        <v>45190.732638888891</v>
      </c>
      <c r="AC144" s="25">
        <f t="shared" ref="AC144:AC146" si="134">AB144-AA144</f>
        <v>6.5972222226264421E-2</v>
      </c>
    </row>
    <row r="145" spans="1:29" x14ac:dyDescent="0.25">
      <c r="A145" s="12">
        <v>45170</v>
      </c>
      <c r="B145" s="13">
        <v>196</v>
      </c>
      <c r="C145" s="13">
        <v>7650311</v>
      </c>
      <c r="D145" s="19">
        <v>4908347423</v>
      </c>
      <c r="E145" s="13" t="s">
        <v>1021</v>
      </c>
      <c r="F145" s="20">
        <v>45159</v>
      </c>
      <c r="G145" s="13" t="s">
        <v>1022</v>
      </c>
      <c r="H145" s="13" t="s">
        <v>192</v>
      </c>
      <c r="I145" s="17">
        <v>5212252</v>
      </c>
      <c r="J145" s="17" t="s">
        <v>23</v>
      </c>
      <c r="K145" s="19"/>
      <c r="L145" s="13">
        <v>0</v>
      </c>
      <c r="M145" s="13">
        <v>25</v>
      </c>
      <c r="N145" s="13">
        <v>1040</v>
      </c>
      <c r="O145" s="13">
        <f t="shared" si="132"/>
        <v>26000</v>
      </c>
      <c r="P145" s="19" t="s">
        <v>477</v>
      </c>
      <c r="Q145" s="13" t="s">
        <v>159</v>
      </c>
      <c r="R145" s="19" t="s">
        <v>209</v>
      </c>
      <c r="S145" s="13" t="s">
        <v>712</v>
      </c>
      <c r="T145" s="13">
        <v>13943</v>
      </c>
      <c r="U145" s="20">
        <v>45190</v>
      </c>
      <c r="V145" s="20">
        <v>45191</v>
      </c>
      <c r="W145" s="19"/>
      <c r="X145" s="24">
        <v>45191.381944444445</v>
      </c>
      <c r="Y145" s="24">
        <v>45191.423611111109</v>
      </c>
      <c r="Z145" s="25">
        <f t="shared" si="133"/>
        <v>4.1666666664241347E-2</v>
      </c>
      <c r="AA145" s="24">
        <v>45191.402777777781</v>
      </c>
      <c r="AB145" s="24">
        <v>45191.423611111109</v>
      </c>
      <c r="AC145" s="25">
        <f t="shared" si="134"/>
        <v>2.0833333328482695E-2</v>
      </c>
    </row>
    <row r="146" spans="1:29" x14ac:dyDescent="0.25">
      <c r="A146" s="12">
        <v>45170</v>
      </c>
      <c r="B146" s="13">
        <v>197</v>
      </c>
      <c r="C146" s="13">
        <v>7650311</v>
      </c>
      <c r="D146" s="19">
        <v>4908347423</v>
      </c>
      <c r="E146" s="13" t="s">
        <v>1021</v>
      </c>
      <c r="F146" s="20">
        <v>45159</v>
      </c>
      <c r="G146" s="13" t="s">
        <v>1023</v>
      </c>
      <c r="H146" s="13" t="s">
        <v>192</v>
      </c>
      <c r="I146" s="17">
        <v>5212252</v>
      </c>
      <c r="J146" s="17" t="s">
        <v>23</v>
      </c>
      <c r="K146" s="19"/>
      <c r="L146" s="13">
        <v>0</v>
      </c>
      <c r="M146" s="13">
        <v>25</v>
      </c>
      <c r="N146" s="13">
        <v>833</v>
      </c>
      <c r="O146" s="13">
        <f t="shared" si="132"/>
        <v>20825</v>
      </c>
      <c r="P146" s="19" t="s">
        <v>477</v>
      </c>
      <c r="Q146" s="13" t="s">
        <v>159</v>
      </c>
      <c r="R146" s="19" t="s">
        <v>209</v>
      </c>
      <c r="S146" s="13" t="s">
        <v>715</v>
      </c>
      <c r="T146" s="13">
        <v>13942</v>
      </c>
      <c r="U146" s="20">
        <v>45190</v>
      </c>
      <c r="V146" s="20">
        <v>45191</v>
      </c>
      <c r="W146" s="19"/>
      <c r="X146" s="24">
        <v>45191.381944444445</v>
      </c>
      <c r="Y146" s="24">
        <v>45191.447916666664</v>
      </c>
      <c r="Z146" s="25">
        <f t="shared" si="133"/>
        <v>6.5972222218988463E-2</v>
      </c>
      <c r="AA146" s="24">
        <v>45191.409722222219</v>
      </c>
      <c r="AB146" s="24">
        <v>45191.447916666664</v>
      </c>
      <c r="AC146" s="25">
        <f t="shared" si="134"/>
        <v>3.8194444445252884E-2</v>
      </c>
    </row>
    <row r="147" spans="1:29" x14ac:dyDescent="0.25">
      <c r="A147" s="12">
        <v>45170</v>
      </c>
      <c r="B147" s="13">
        <v>197</v>
      </c>
      <c r="C147" s="13">
        <v>7650311</v>
      </c>
      <c r="D147" s="19">
        <v>4908347423</v>
      </c>
      <c r="E147" s="13" t="s">
        <v>1021</v>
      </c>
      <c r="F147" s="20">
        <v>45159</v>
      </c>
      <c r="G147" s="13" t="s">
        <v>1022</v>
      </c>
      <c r="H147" s="13" t="s">
        <v>192</v>
      </c>
      <c r="I147" s="17">
        <v>5212252</v>
      </c>
      <c r="J147" s="17" t="s">
        <v>23</v>
      </c>
      <c r="K147" s="19"/>
      <c r="L147" s="13">
        <v>0</v>
      </c>
      <c r="M147" s="13">
        <v>25</v>
      </c>
      <c r="N147" s="13">
        <v>207</v>
      </c>
      <c r="O147" s="13">
        <f t="shared" ref="O147:O150" si="135">N147*M147</f>
        <v>5175</v>
      </c>
      <c r="P147" s="19" t="s">
        <v>477</v>
      </c>
      <c r="Q147" s="13" t="s">
        <v>159</v>
      </c>
      <c r="R147" s="19" t="s">
        <v>209</v>
      </c>
      <c r="S147" s="13" t="s">
        <v>715</v>
      </c>
      <c r="T147" s="13">
        <v>13942</v>
      </c>
      <c r="U147" s="20">
        <v>45190</v>
      </c>
      <c r="V147" s="20">
        <v>45191</v>
      </c>
      <c r="W147" s="19"/>
      <c r="X147" s="24">
        <v>45191.381944444445</v>
      </c>
      <c r="Y147" s="24">
        <v>45191.447916666664</v>
      </c>
      <c r="Z147" s="25">
        <f t="shared" ref="Z147:Z150" si="136">Y147-X147</f>
        <v>6.5972222218988463E-2</v>
      </c>
      <c r="AA147" s="24">
        <v>45191.409722222219</v>
      </c>
      <c r="AB147" s="24">
        <v>45191.447916666664</v>
      </c>
      <c r="AC147" s="25">
        <f t="shared" ref="AC147:AC150" si="137">AB147-AA147</f>
        <v>3.8194444445252884E-2</v>
      </c>
    </row>
    <row r="148" spans="1:29" x14ac:dyDescent="0.25">
      <c r="A148" s="12">
        <v>45170</v>
      </c>
      <c r="B148" s="13">
        <v>198</v>
      </c>
      <c r="C148" s="13">
        <v>7892844</v>
      </c>
      <c r="D148" s="19">
        <v>4908438506</v>
      </c>
      <c r="E148" s="13" t="s">
        <v>1037</v>
      </c>
      <c r="F148" s="20">
        <v>45171</v>
      </c>
      <c r="G148" s="21" t="s">
        <v>1038</v>
      </c>
      <c r="H148" s="13" t="s">
        <v>132</v>
      </c>
      <c r="I148" s="17">
        <v>5230831</v>
      </c>
      <c r="J148" s="17" t="s">
        <v>35</v>
      </c>
      <c r="K148" s="19"/>
      <c r="L148" s="13">
        <v>0</v>
      </c>
      <c r="M148" s="13">
        <v>240</v>
      </c>
      <c r="N148" s="13">
        <v>80</v>
      </c>
      <c r="O148" s="13">
        <f t="shared" si="135"/>
        <v>19200</v>
      </c>
      <c r="P148" s="19" t="s">
        <v>477</v>
      </c>
      <c r="Q148" s="13" t="s">
        <v>159</v>
      </c>
      <c r="R148" s="13" t="s">
        <v>997</v>
      </c>
      <c r="S148" s="13" t="s">
        <v>1039</v>
      </c>
      <c r="T148" s="13">
        <v>11013</v>
      </c>
      <c r="U148" s="20">
        <v>45194</v>
      </c>
      <c r="V148" s="20">
        <v>45195</v>
      </c>
      <c r="W148" s="19"/>
      <c r="X148" s="24">
        <v>45195.375</v>
      </c>
      <c r="Y148" s="24">
        <v>45195.447916666664</v>
      </c>
      <c r="Z148" s="25">
        <f t="shared" si="136"/>
        <v>7.2916666664241347E-2</v>
      </c>
      <c r="AA148" s="24">
        <v>45195.388888888891</v>
      </c>
      <c r="AB148" s="24">
        <v>45195.447916666664</v>
      </c>
      <c r="AC148" s="25">
        <f t="shared" si="137"/>
        <v>5.9027777773735579E-2</v>
      </c>
    </row>
    <row r="149" spans="1:29" x14ac:dyDescent="0.25">
      <c r="A149" s="12">
        <v>45170</v>
      </c>
      <c r="B149" s="13">
        <v>199</v>
      </c>
      <c r="C149" s="13">
        <v>7892844</v>
      </c>
      <c r="D149" s="19">
        <v>4908438506</v>
      </c>
      <c r="E149" s="13" t="s">
        <v>1037</v>
      </c>
      <c r="F149" s="20">
        <v>45171</v>
      </c>
      <c r="G149" s="21" t="s">
        <v>1038</v>
      </c>
      <c r="H149" s="13" t="s">
        <v>132</v>
      </c>
      <c r="I149" s="17">
        <v>5230831</v>
      </c>
      <c r="J149" s="17" t="s">
        <v>35</v>
      </c>
      <c r="K149" s="19"/>
      <c r="L149" s="13">
        <v>0</v>
      </c>
      <c r="M149" s="13">
        <v>240</v>
      </c>
      <c r="N149" s="13">
        <v>80</v>
      </c>
      <c r="O149" s="13">
        <f t="shared" si="135"/>
        <v>19200</v>
      </c>
      <c r="P149" s="19" t="s">
        <v>477</v>
      </c>
      <c r="Q149" s="13" t="s">
        <v>159</v>
      </c>
      <c r="R149" s="13" t="s">
        <v>997</v>
      </c>
      <c r="S149" s="13" t="s">
        <v>1040</v>
      </c>
      <c r="T149" s="13">
        <v>11014</v>
      </c>
      <c r="U149" s="20">
        <v>45194</v>
      </c>
      <c r="V149" s="20">
        <v>45195</v>
      </c>
      <c r="W149" s="19"/>
      <c r="X149" s="24">
        <v>45195.375</v>
      </c>
      <c r="Y149" s="24">
        <v>45195.579861111109</v>
      </c>
      <c r="Z149" s="25">
        <f t="shared" si="136"/>
        <v>0.20486111110949423</v>
      </c>
      <c r="AA149" s="24">
        <v>45195.510416666664</v>
      </c>
      <c r="AB149" s="24">
        <v>45195.579861111109</v>
      </c>
      <c r="AC149" s="25">
        <f t="shared" si="137"/>
        <v>6.9444444445252884E-2</v>
      </c>
    </row>
    <row r="150" spans="1:29" x14ac:dyDescent="0.25">
      <c r="A150" s="12">
        <v>45170</v>
      </c>
      <c r="B150" s="13">
        <v>200</v>
      </c>
      <c r="C150" s="13">
        <v>7832067</v>
      </c>
      <c r="D150" s="19">
        <v>4908558040</v>
      </c>
      <c r="E150" s="13" t="s">
        <v>1060</v>
      </c>
      <c r="F150" s="20">
        <v>45166</v>
      </c>
      <c r="G150" s="14" t="s">
        <v>1061</v>
      </c>
      <c r="H150" s="13" t="s">
        <v>132</v>
      </c>
      <c r="I150" s="17">
        <v>5306988</v>
      </c>
      <c r="J150" s="17" t="s">
        <v>55</v>
      </c>
      <c r="K150" s="19"/>
      <c r="L150" s="13">
        <v>0</v>
      </c>
      <c r="M150" s="13">
        <v>200</v>
      </c>
      <c r="N150" s="13">
        <v>10</v>
      </c>
      <c r="O150" s="13">
        <f t="shared" si="135"/>
        <v>2000</v>
      </c>
      <c r="P150" s="19" t="s">
        <v>477</v>
      </c>
      <c r="Q150" s="13" t="s">
        <v>159</v>
      </c>
      <c r="R150" s="13" t="s">
        <v>997</v>
      </c>
      <c r="S150" s="13" t="s">
        <v>1062</v>
      </c>
      <c r="T150" s="13">
        <v>11019</v>
      </c>
      <c r="U150" s="20">
        <v>45195</v>
      </c>
      <c r="V150" s="20">
        <v>45196</v>
      </c>
      <c r="W150" s="19"/>
      <c r="X150" s="24">
        <v>45196.520833333336</v>
      </c>
      <c r="Y150" s="24">
        <v>45196.625</v>
      </c>
      <c r="Z150" s="25">
        <f t="shared" si="136"/>
        <v>0.10416666666424135</v>
      </c>
      <c r="AA150" s="24">
        <v>45196.576388888891</v>
      </c>
      <c r="AB150" s="24">
        <v>45196.625</v>
      </c>
      <c r="AC150" s="25">
        <f t="shared" si="137"/>
        <v>4.8611111109494232E-2</v>
      </c>
    </row>
    <row r="151" spans="1:29" x14ac:dyDescent="0.25">
      <c r="A151" s="12">
        <v>45170</v>
      </c>
      <c r="B151" s="13">
        <v>200</v>
      </c>
      <c r="C151" s="13">
        <v>7832067</v>
      </c>
      <c r="D151" s="19">
        <v>4908558040</v>
      </c>
      <c r="E151" s="13" t="s">
        <v>1060</v>
      </c>
      <c r="F151" s="20">
        <v>45166</v>
      </c>
      <c r="G151" s="14" t="s">
        <v>1063</v>
      </c>
      <c r="H151" s="13" t="s">
        <v>132</v>
      </c>
      <c r="I151" s="17">
        <v>5306988</v>
      </c>
      <c r="J151" s="17" t="s">
        <v>55</v>
      </c>
      <c r="K151" s="19"/>
      <c r="L151" s="13">
        <v>0</v>
      </c>
      <c r="M151" s="13">
        <v>200</v>
      </c>
      <c r="N151" s="13">
        <v>50</v>
      </c>
      <c r="O151" s="13">
        <f t="shared" ref="O151:O154" si="138">N151*M151</f>
        <v>10000</v>
      </c>
      <c r="P151" s="19" t="s">
        <v>477</v>
      </c>
      <c r="Q151" s="13" t="s">
        <v>159</v>
      </c>
      <c r="R151" s="13" t="s">
        <v>997</v>
      </c>
      <c r="S151" s="13" t="s">
        <v>1062</v>
      </c>
      <c r="T151" s="13">
        <v>11019</v>
      </c>
      <c r="U151" s="20">
        <v>45195</v>
      </c>
      <c r="V151" s="20">
        <v>45196</v>
      </c>
      <c r="W151" s="19"/>
      <c r="X151" s="24">
        <v>45196.520833333336</v>
      </c>
      <c r="Y151" s="24">
        <v>45196.625</v>
      </c>
      <c r="Z151" s="25">
        <f t="shared" ref="Z151:Z154" si="139">Y151-X151</f>
        <v>0.10416666666424135</v>
      </c>
      <c r="AA151" s="24">
        <v>45196.576388888891</v>
      </c>
      <c r="AB151" s="24">
        <v>45196.625</v>
      </c>
      <c r="AC151" s="25">
        <f t="shared" ref="AC151:AC154" si="140">AB151-AA151</f>
        <v>4.8611111109494232E-2</v>
      </c>
    </row>
    <row r="152" spans="1:29" x14ac:dyDescent="0.25">
      <c r="A152" s="12">
        <v>45170</v>
      </c>
      <c r="B152" s="13">
        <v>200</v>
      </c>
      <c r="C152" s="13">
        <v>7832067</v>
      </c>
      <c r="D152" s="19">
        <v>4908558040</v>
      </c>
      <c r="E152" s="13" t="s">
        <v>1060</v>
      </c>
      <c r="F152" s="20">
        <v>45166</v>
      </c>
      <c r="G152" s="14" t="s">
        <v>1064</v>
      </c>
      <c r="H152" s="13" t="s">
        <v>132</v>
      </c>
      <c r="I152" s="17">
        <v>5306988</v>
      </c>
      <c r="J152" s="17" t="s">
        <v>55</v>
      </c>
      <c r="K152" s="19"/>
      <c r="L152" s="13">
        <v>0</v>
      </c>
      <c r="M152" s="13">
        <v>200</v>
      </c>
      <c r="N152" s="13">
        <v>20</v>
      </c>
      <c r="O152" s="13">
        <f t="shared" si="138"/>
        <v>4000</v>
      </c>
      <c r="P152" s="19" t="s">
        <v>477</v>
      </c>
      <c r="Q152" s="13" t="s">
        <v>159</v>
      </c>
      <c r="R152" s="13" t="s">
        <v>997</v>
      </c>
      <c r="S152" s="13" t="s">
        <v>1062</v>
      </c>
      <c r="T152" s="13">
        <v>11019</v>
      </c>
      <c r="U152" s="20">
        <v>45195</v>
      </c>
      <c r="V152" s="20">
        <v>45196</v>
      </c>
      <c r="W152" s="19"/>
      <c r="X152" s="24">
        <v>45196.520833333336</v>
      </c>
      <c r="Y152" s="24">
        <v>45196.625</v>
      </c>
      <c r="Z152" s="25">
        <f t="shared" si="139"/>
        <v>0.10416666666424135</v>
      </c>
      <c r="AA152" s="24">
        <v>45196.576388888891</v>
      </c>
      <c r="AB152" s="24">
        <v>45196.625</v>
      </c>
      <c r="AC152" s="25">
        <f t="shared" si="140"/>
        <v>4.8611111109494232E-2</v>
      </c>
    </row>
    <row r="153" spans="1:29" x14ac:dyDescent="0.25">
      <c r="A153" s="12">
        <v>45170</v>
      </c>
      <c r="B153" s="13">
        <v>201</v>
      </c>
      <c r="C153" s="13">
        <v>7734052</v>
      </c>
      <c r="D153" s="19">
        <v>4908466978</v>
      </c>
      <c r="E153" s="13" t="s">
        <v>1065</v>
      </c>
      <c r="F153" s="20">
        <v>45167</v>
      </c>
      <c r="G153" s="13" t="s">
        <v>1066</v>
      </c>
      <c r="H153" s="13" t="s">
        <v>192</v>
      </c>
      <c r="I153" s="17">
        <v>5212252</v>
      </c>
      <c r="J153" s="17" t="s">
        <v>23</v>
      </c>
      <c r="K153" s="19"/>
      <c r="L153" s="13">
        <v>0</v>
      </c>
      <c r="M153" s="13">
        <v>25</v>
      </c>
      <c r="N153" s="13">
        <v>1040</v>
      </c>
      <c r="O153" s="13">
        <f t="shared" si="138"/>
        <v>26000</v>
      </c>
      <c r="P153" s="19" t="s">
        <v>477</v>
      </c>
      <c r="Q153" s="13" t="s">
        <v>159</v>
      </c>
      <c r="R153" s="19" t="s">
        <v>209</v>
      </c>
      <c r="S153" s="13" t="s">
        <v>715</v>
      </c>
      <c r="T153" s="13">
        <v>11017</v>
      </c>
      <c r="U153" s="20">
        <v>45195</v>
      </c>
      <c r="V153" s="20">
        <v>45196</v>
      </c>
      <c r="W153" s="19"/>
      <c r="X153" s="24">
        <v>45196.583333333336</v>
      </c>
      <c r="Y153" s="24">
        <v>45196.680555555555</v>
      </c>
      <c r="Z153" s="25">
        <f t="shared" si="139"/>
        <v>9.7222222218988463E-2</v>
      </c>
      <c r="AA153" s="24">
        <v>45196.611111111109</v>
      </c>
      <c r="AB153" s="24">
        <v>45196.680555555555</v>
      </c>
      <c r="AC153" s="25">
        <f t="shared" si="140"/>
        <v>6.9444444445252884E-2</v>
      </c>
    </row>
    <row r="154" spans="1:29" x14ac:dyDescent="0.25">
      <c r="A154" s="12">
        <v>45170</v>
      </c>
      <c r="B154" s="13">
        <v>202</v>
      </c>
      <c r="C154" s="19" t="s">
        <v>30</v>
      </c>
      <c r="D154" s="13" t="s">
        <v>30</v>
      </c>
      <c r="E154" s="19">
        <v>5</v>
      </c>
      <c r="F154" s="20">
        <v>45198</v>
      </c>
      <c r="G154" s="14" t="s">
        <v>1080</v>
      </c>
      <c r="H154" s="13" t="s">
        <v>132</v>
      </c>
      <c r="I154" s="17">
        <v>5230831</v>
      </c>
      <c r="J154" s="17" t="s">
        <v>35</v>
      </c>
      <c r="K154" s="19"/>
      <c r="L154" s="13">
        <v>0</v>
      </c>
      <c r="M154" s="13">
        <v>240</v>
      </c>
      <c r="N154" s="13">
        <v>3</v>
      </c>
      <c r="O154" s="13">
        <f t="shared" si="138"/>
        <v>720</v>
      </c>
      <c r="P154" s="19" t="s">
        <v>477</v>
      </c>
      <c r="Q154" s="13" t="s">
        <v>1081</v>
      </c>
      <c r="R154" s="13" t="s">
        <v>719</v>
      </c>
      <c r="S154" s="13" t="s">
        <v>784</v>
      </c>
      <c r="T154" s="13" t="s">
        <v>30</v>
      </c>
      <c r="U154" s="20">
        <v>45198</v>
      </c>
      <c r="V154" s="20">
        <v>45198</v>
      </c>
      <c r="W154" s="19"/>
      <c r="X154" s="24">
        <v>45198.743055555555</v>
      </c>
      <c r="Y154" s="24">
        <v>45198.760416666664</v>
      </c>
      <c r="Z154" s="25">
        <f t="shared" si="139"/>
        <v>1.7361111109494232E-2</v>
      </c>
      <c r="AA154" s="24">
        <v>45198.743055555555</v>
      </c>
      <c r="AB154" s="24">
        <v>45198.760416666664</v>
      </c>
      <c r="AC154" s="25">
        <f t="shared" si="140"/>
        <v>1.7361111109494232E-2</v>
      </c>
    </row>
    <row r="155" spans="1:29" x14ac:dyDescent="0.25">
      <c r="A155" s="12">
        <v>45170</v>
      </c>
      <c r="B155" s="13">
        <v>202</v>
      </c>
      <c r="C155" s="19" t="s">
        <v>30</v>
      </c>
      <c r="D155" s="13" t="s">
        <v>30</v>
      </c>
      <c r="E155" s="19">
        <v>5</v>
      </c>
      <c r="F155" s="20">
        <v>45198</v>
      </c>
      <c r="G155" s="14" t="s">
        <v>1082</v>
      </c>
      <c r="H155" s="13" t="s">
        <v>132</v>
      </c>
      <c r="I155" s="17">
        <v>5309040</v>
      </c>
      <c r="J155" s="17" t="s">
        <v>105</v>
      </c>
      <c r="K155" s="19"/>
      <c r="L155" s="13">
        <v>0</v>
      </c>
      <c r="M155" s="13">
        <v>250</v>
      </c>
      <c r="N155" s="13">
        <v>21</v>
      </c>
      <c r="O155" s="13">
        <f t="shared" ref="O155:O156" si="141">N155*M155</f>
        <v>5250</v>
      </c>
      <c r="P155" s="19" t="s">
        <v>477</v>
      </c>
      <c r="Q155" s="13" t="s">
        <v>1081</v>
      </c>
      <c r="R155" s="13" t="s">
        <v>719</v>
      </c>
      <c r="S155" s="13" t="s">
        <v>784</v>
      </c>
      <c r="T155" s="13" t="s">
        <v>30</v>
      </c>
      <c r="U155" s="20">
        <v>45198</v>
      </c>
      <c r="V155" s="20">
        <v>45198</v>
      </c>
      <c r="W155" s="19"/>
      <c r="X155" s="24">
        <v>45198.743055555555</v>
      </c>
      <c r="Y155" s="24">
        <v>45198.760416666664</v>
      </c>
      <c r="Z155" s="25">
        <f t="shared" ref="Z155:Z156" si="142">Y155-X155</f>
        <v>1.7361111109494232E-2</v>
      </c>
      <c r="AA155" s="24">
        <v>45198.743055555555</v>
      </c>
      <c r="AB155" s="24">
        <v>45198.760416666664</v>
      </c>
      <c r="AC155" s="25">
        <f t="shared" ref="AC155:AC156" si="143">AB155-AA155</f>
        <v>1.7361111109494232E-2</v>
      </c>
    </row>
    <row r="156" spans="1:29" x14ac:dyDescent="0.25">
      <c r="A156" s="12">
        <v>45200</v>
      </c>
      <c r="B156" s="13">
        <v>203</v>
      </c>
      <c r="C156" s="13">
        <v>7845822</v>
      </c>
      <c r="D156" s="19">
        <v>4908604224</v>
      </c>
      <c r="E156" s="19" t="s">
        <v>1096</v>
      </c>
      <c r="F156" s="20">
        <v>45174</v>
      </c>
      <c r="G156" s="14" t="s">
        <v>1097</v>
      </c>
      <c r="H156" s="13" t="s">
        <v>132</v>
      </c>
      <c r="I156" s="17">
        <v>5230831</v>
      </c>
      <c r="J156" s="17" t="s">
        <v>35</v>
      </c>
      <c r="K156" s="19"/>
      <c r="L156" s="13">
        <v>0</v>
      </c>
      <c r="M156" s="13">
        <v>240</v>
      </c>
      <c r="N156" s="13">
        <v>80</v>
      </c>
      <c r="O156" s="13">
        <f t="shared" si="141"/>
        <v>19200</v>
      </c>
      <c r="P156" s="19" t="s">
        <v>477</v>
      </c>
      <c r="Q156" s="13" t="s">
        <v>771</v>
      </c>
      <c r="R156" s="13" t="s">
        <v>997</v>
      </c>
      <c r="S156" s="13" t="s">
        <v>1098</v>
      </c>
      <c r="T156" s="13">
        <v>742</v>
      </c>
      <c r="U156" s="20">
        <v>45202</v>
      </c>
      <c r="V156" s="20">
        <v>45203</v>
      </c>
      <c r="W156" s="19"/>
      <c r="X156" s="24">
        <v>45203.395833333336</v>
      </c>
      <c r="Y156" s="24">
        <v>45203.447916666664</v>
      </c>
      <c r="Z156" s="25">
        <f t="shared" si="142"/>
        <v>5.2083333328482695E-2</v>
      </c>
      <c r="AA156" s="24">
        <v>45203.416666666664</v>
      </c>
      <c r="AB156" s="24">
        <v>45203.447916666664</v>
      </c>
      <c r="AC156" s="25">
        <f t="shared" si="143"/>
        <v>3.125E-2</v>
      </c>
    </row>
    <row r="157" spans="1:29" x14ac:dyDescent="0.25">
      <c r="A157" s="12">
        <v>45200</v>
      </c>
      <c r="B157" s="13">
        <v>204</v>
      </c>
      <c r="C157" s="13">
        <v>7845822</v>
      </c>
      <c r="D157" s="19">
        <v>4908604224</v>
      </c>
      <c r="E157" s="19" t="s">
        <v>1096</v>
      </c>
      <c r="F157" s="20">
        <v>45174</v>
      </c>
      <c r="G157" s="14" t="s">
        <v>1097</v>
      </c>
      <c r="H157" s="13" t="s">
        <v>132</v>
      </c>
      <c r="I157" s="17">
        <v>5230831</v>
      </c>
      <c r="J157" s="17" t="s">
        <v>35</v>
      </c>
      <c r="K157" s="19"/>
      <c r="L157" s="13">
        <v>0</v>
      </c>
      <c r="M157" s="13">
        <v>240</v>
      </c>
      <c r="N157" s="13">
        <v>80</v>
      </c>
      <c r="O157" s="13">
        <f t="shared" ref="O157:O158" si="144">N157*M157</f>
        <v>19200</v>
      </c>
      <c r="P157" s="19" t="s">
        <v>477</v>
      </c>
      <c r="Q157" s="13" t="s">
        <v>771</v>
      </c>
      <c r="R157" s="13" t="s">
        <v>997</v>
      </c>
      <c r="S157" s="13" t="s">
        <v>1099</v>
      </c>
      <c r="T157" s="13">
        <v>740</v>
      </c>
      <c r="U157" s="20">
        <v>45202</v>
      </c>
      <c r="V157" s="20">
        <v>45203</v>
      </c>
      <c r="W157" s="19"/>
      <c r="X157" s="24">
        <v>45203.395833333336</v>
      </c>
      <c r="Y157" s="24">
        <v>45203.493055555555</v>
      </c>
      <c r="Z157" s="25">
        <f t="shared" ref="Z157:Z158" si="145">Y157-X157</f>
        <v>9.7222222218988463E-2</v>
      </c>
      <c r="AA157" s="24">
        <v>45203.454861111109</v>
      </c>
      <c r="AB157" s="24">
        <v>45203.493055555555</v>
      </c>
      <c r="AC157" s="25">
        <f t="shared" ref="AC157:AC160" si="146">AB157-AA157</f>
        <v>3.8194444445252884E-2</v>
      </c>
    </row>
    <row r="158" spans="1:29" x14ac:dyDescent="0.25">
      <c r="A158" s="12">
        <v>45200</v>
      </c>
      <c r="B158" s="13">
        <v>205</v>
      </c>
      <c r="C158" s="13">
        <v>7911186</v>
      </c>
      <c r="D158" s="19">
        <v>4908647465</v>
      </c>
      <c r="E158" s="13" t="s">
        <v>1100</v>
      </c>
      <c r="F158" s="20">
        <v>45157</v>
      </c>
      <c r="G158" s="14" t="s">
        <v>1101</v>
      </c>
      <c r="H158" s="13" t="s">
        <v>132</v>
      </c>
      <c r="I158" s="17">
        <v>5215404</v>
      </c>
      <c r="J158" s="17" t="s">
        <v>1284</v>
      </c>
      <c r="K158" s="19"/>
      <c r="L158" s="13">
        <v>0</v>
      </c>
      <c r="M158" s="13">
        <v>180</v>
      </c>
      <c r="N158" s="13">
        <v>80</v>
      </c>
      <c r="O158" s="13">
        <f t="shared" si="144"/>
        <v>14400</v>
      </c>
      <c r="P158" s="19" t="s">
        <v>477</v>
      </c>
      <c r="Q158" s="13" t="s">
        <v>771</v>
      </c>
      <c r="R158" s="13" t="s">
        <v>997</v>
      </c>
      <c r="S158" s="13" t="s">
        <v>1102</v>
      </c>
      <c r="T158" s="13">
        <v>744</v>
      </c>
      <c r="U158" s="20">
        <v>45202</v>
      </c>
      <c r="V158" s="20">
        <v>45203</v>
      </c>
      <c r="W158" s="19"/>
      <c r="X158" s="24">
        <v>45203.395833333336</v>
      </c>
      <c r="Y158" s="24">
        <v>45203.527777777781</v>
      </c>
      <c r="Z158" s="25">
        <f t="shared" si="145"/>
        <v>0.13194444444525288</v>
      </c>
      <c r="AA158" s="24">
        <v>45203.506944444445</v>
      </c>
      <c r="AB158" s="24">
        <v>45203.527777777781</v>
      </c>
      <c r="AC158" s="25">
        <f t="shared" si="146"/>
        <v>2.0833333335758653E-2</v>
      </c>
    </row>
    <row r="159" spans="1:29" x14ac:dyDescent="0.25">
      <c r="A159" s="12">
        <v>45200</v>
      </c>
      <c r="B159" s="13">
        <v>206</v>
      </c>
      <c r="C159" s="13">
        <v>7845822</v>
      </c>
      <c r="D159" s="19">
        <v>4908604224</v>
      </c>
      <c r="E159" s="19" t="s">
        <v>1096</v>
      </c>
      <c r="F159" s="20">
        <v>45174</v>
      </c>
      <c r="G159" s="14" t="s">
        <v>1097</v>
      </c>
      <c r="H159" s="13" t="s">
        <v>132</v>
      </c>
      <c r="I159" s="17">
        <v>5230831</v>
      </c>
      <c r="J159" s="17" t="s">
        <v>35</v>
      </c>
      <c r="K159" s="19"/>
      <c r="L159" s="13">
        <v>0</v>
      </c>
      <c r="M159" s="13">
        <v>240</v>
      </c>
      <c r="N159" s="13">
        <v>80</v>
      </c>
      <c r="O159" s="13">
        <f t="shared" ref="O159:O160" si="147">N159*M159</f>
        <v>19200</v>
      </c>
      <c r="P159" s="19" t="s">
        <v>477</v>
      </c>
      <c r="Q159" s="13" t="s">
        <v>771</v>
      </c>
      <c r="R159" s="13" t="s">
        <v>997</v>
      </c>
      <c r="S159" s="13" t="s">
        <v>1103</v>
      </c>
      <c r="T159" s="13">
        <v>741</v>
      </c>
      <c r="U159" s="20">
        <v>45202</v>
      </c>
      <c r="V159" s="20">
        <v>45203</v>
      </c>
      <c r="W159" s="19"/>
      <c r="X159" s="24">
        <v>45203.395833333336</v>
      </c>
      <c r="Y159" s="24">
        <v>45203.625</v>
      </c>
      <c r="Z159" s="25">
        <f t="shared" ref="Z159:Z160" si="148">Y159-X159</f>
        <v>0.22916666666424135</v>
      </c>
      <c r="AA159" s="24">
        <v>45203.583333333336</v>
      </c>
      <c r="AB159" s="24">
        <v>45203.625</v>
      </c>
      <c r="AC159" s="25">
        <f t="shared" si="146"/>
        <v>4.1666666664241347E-2</v>
      </c>
    </row>
    <row r="160" spans="1:29" x14ac:dyDescent="0.25">
      <c r="A160" s="12">
        <v>45200</v>
      </c>
      <c r="B160" s="13">
        <v>207</v>
      </c>
      <c r="C160" s="13">
        <v>7911186</v>
      </c>
      <c r="D160" s="19">
        <v>4908647465</v>
      </c>
      <c r="E160" s="13" t="s">
        <v>1100</v>
      </c>
      <c r="F160" s="20">
        <v>45157</v>
      </c>
      <c r="G160" s="14" t="s">
        <v>1105</v>
      </c>
      <c r="H160" s="13" t="s">
        <v>132</v>
      </c>
      <c r="I160" s="17">
        <v>5215404</v>
      </c>
      <c r="J160" s="17" t="s">
        <v>1284</v>
      </c>
      <c r="K160" s="19"/>
      <c r="L160" s="13">
        <v>0</v>
      </c>
      <c r="M160" s="13">
        <v>180</v>
      </c>
      <c r="N160" s="13">
        <v>76</v>
      </c>
      <c r="O160" s="13">
        <f t="shared" si="147"/>
        <v>13680</v>
      </c>
      <c r="P160" s="19" t="s">
        <v>477</v>
      </c>
      <c r="Q160" s="13" t="s">
        <v>771</v>
      </c>
      <c r="R160" s="13" t="s">
        <v>997</v>
      </c>
      <c r="S160" s="13" t="s">
        <v>1104</v>
      </c>
      <c r="T160" s="13">
        <v>743</v>
      </c>
      <c r="U160" s="20">
        <v>45202</v>
      </c>
      <c r="V160" s="20">
        <v>45203</v>
      </c>
      <c r="W160" s="19"/>
      <c r="X160" s="24">
        <v>45203.395833333336</v>
      </c>
      <c r="Y160" s="24">
        <v>45203.590277777781</v>
      </c>
      <c r="Z160" s="25">
        <f t="shared" si="148"/>
        <v>0.19444444444525288</v>
      </c>
      <c r="AA160" s="24">
        <v>45203.565972222219</v>
      </c>
      <c r="AB160" s="24">
        <v>45203.590277777781</v>
      </c>
      <c r="AC160" s="25">
        <f t="shared" si="146"/>
        <v>2.4305555562023073E-2</v>
      </c>
    </row>
    <row r="161" spans="1:29" x14ac:dyDescent="0.25">
      <c r="A161" s="12">
        <v>45200</v>
      </c>
      <c r="B161" s="13">
        <v>207</v>
      </c>
      <c r="C161" s="13">
        <v>7911186</v>
      </c>
      <c r="D161" s="19" t="s">
        <v>1359</v>
      </c>
      <c r="E161" s="13" t="s">
        <v>1100</v>
      </c>
      <c r="F161" s="20">
        <v>45157</v>
      </c>
      <c r="G161" s="14" t="s">
        <v>67</v>
      </c>
      <c r="H161" s="13" t="s">
        <v>132</v>
      </c>
      <c r="I161" s="17">
        <v>5215076</v>
      </c>
      <c r="J161" s="17" t="s">
        <v>1360</v>
      </c>
      <c r="K161" s="19"/>
      <c r="L161" s="13">
        <v>0</v>
      </c>
      <c r="M161" s="13">
        <v>180</v>
      </c>
      <c r="N161" s="13">
        <v>4</v>
      </c>
      <c r="O161" s="13">
        <f t="shared" ref="O161:O162" si="149">N161*M161</f>
        <v>720</v>
      </c>
      <c r="P161" s="19" t="s">
        <v>477</v>
      </c>
      <c r="Q161" s="13" t="s">
        <v>771</v>
      </c>
      <c r="R161" s="13" t="s">
        <v>997</v>
      </c>
      <c r="S161" s="13" t="s">
        <v>1104</v>
      </c>
      <c r="T161" s="13">
        <v>743</v>
      </c>
      <c r="U161" s="20">
        <v>45202</v>
      </c>
      <c r="V161" s="20">
        <v>45203</v>
      </c>
      <c r="W161" s="19"/>
      <c r="X161" s="24">
        <v>45203.395833333336</v>
      </c>
      <c r="Y161" s="24">
        <v>45203.590277777781</v>
      </c>
      <c r="Z161" s="25">
        <f t="shared" ref="Z161:Z162" si="150">Y161-X161</f>
        <v>0.19444444444525288</v>
      </c>
      <c r="AA161" s="24">
        <v>45203.565972222219</v>
      </c>
      <c r="AB161" s="24">
        <v>45203.590277777781</v>
      </c>
      <c r="AC161" s="25">
        <f t="shared" ref="AC161:AC162" si="151">AB161-AA161</f>
        <v>2.4305555562023073E-2</v>
      </c>
    </row>
    <row r="162" spans="1:29" x14ac:dyDescent="0.25">
      <c r="A162" s="12">
        <v>45200</v>
      </c>
      <c r="B162" s="13">
        <v>208</v>
      </c>
      <c r="C162" s="13">
        <v>7969684</v>
      </c>
      <c r="D162" s="19"/>
      <c r="E162" s="13" t="s">
        <v>1106</v>
      </c>
      <c r="F162" s="20">
        <v>45169</v>
      </c>
      <c r="G162" s="13" t="s">
        <v>1107</v>
      </c>
      <c r="H162" s="13" t="s">
        <v>192</v>
      </c>
      <c r="I162" s="17">
        <v>5212252</v>
      </c>
      <c r="J162" s="17" t="s">
        <v>23</v>
      </c>
      <c r="K162" s="19"/>
      <c r="L162" s="13">
        <v>0</v>
      </c>
      <c r="M162" s="13">
        <v>25</v>
      </c>
      <c r="N162" s="13">
        <v>1040</v>
      </c>
      <c r="O162" s="13">
        <f t="shared" si="149"/>
        <v>26000</v>
      </c>
      <c r="P162" s="19" t="s">
        <v>477</v>
      </c>
      <c r="Q162" s="13" t="s">
        <v>247</v>
      </c>
      <c r="R162" s="19" t="s">
        <v>209</v>
      </c>
      <c r="S162" s="13" t="s">
        <v>704</v>
      </c>
      <c r="T162" s="13">
        <v>960</v>
      </c>
      <c r="U162" s="20">
        <v>45202</v>
      </c>
      <c r="V162" s="20">
        <v>45203</v>
      </c>
      <c r="W162" s="19"/>
      <c r="X162" s="24">
        <v>45203.458333333336</v>
      </c>
      <c r="Y162" s="24">
        <v>45203.725694444445</v>
      </c>
      <c r="Z162" s="25">
        <f t="shared" si="150"/>
        <v>0.26736111110949423</v>
      </c>
      <c r="AA162" s="24">
        <v>45203.701388888891</v>
      </c>
      <c r="AB162" s="24">
        <v>45203.725694444445</v>
      </c>
      <c r="AC162" s="25">
        <f t="shared" si="151"/>
        <v>2.4305555554747116E-2</v>
      </c>
    </row>
    <row r="163" spans="1:29" x14ac:dyDescent="0.25">
      <c r="A163" s="12">
        <v>45200</v>
      </c>
      <c r="B163" s="13">
        <v>209</v>
      </c>
      <c r="C163" s="13">
        <v>7969684</v>
      </c>
      <c r="D163" s="19"/>
      <c r="E163" s="13" t="s">
        <v>1106</v>
      </c>
      <c r="F163" s="20">
        <v>45169</v>
      </c>
      <c r="G163" s="13" t="s">
        <v>1116</v>
      </c>
      <c r="H163" s="13" t="s">
        <v>192</v>
      </c>
      <c r="I163" s="17">
        <v>5212252</v>
      </c>
      <c r="J163" s="17" t="s">
        <v>23</v>
      </c>
      <c r="K163" s="19"/>
      <c r="L163" s="13">
        <v>0</v>
      </c>
      <c r="M163" s="13">
        <v>25</v>
      </c>
      <c r="N163" s="13">
        <v>610</v>
      </c>
      <c r="O163" s="13">
        <f t="shared" ref="O163" si="152">N163*M163</f>
        <v>15250</v>
      </c>
      <c r="P163" s="19" t="s">
        <v>477</v>
      </c>
      <c r="Q163" s="13" t="s">
        <v>247</v>
      </c>
      <c r="R163" s="19" t="s">
        <v>209</v>
      </c>
      <c r="S163" s="13" t="s">
        <v>1117</v>
      </c>
      <c r="T163" s="13">
        <v>959</v>
      </c>
      <c r="U163" s="20">
        <v>45202</v>
      </c>
      <c r="V163" s="20">
        <v>45203</v>
      </c>
      <c r="W163" s="19"/>
      <c r="X163" s="24">
        <v>45203.479166666664</v>
      </c>
      <c r="Y163" s="24">
        <v>45203.875</v>
      </c>
      <c r="Z163" s="25">
        <f t="shared" ref="Z163" si="153">Y163-X163</f>
        <v>0.39583333333575865</v>
      </c>
      <c r="AA163" s="24">
        <v>45203.861111111109</v>
      </c>
      <c r="AB163" s="24">
        <v>45203.875</v>
      </c>
      <c r="AC163" s="25">
        <f t="shared" ref="AC163" si="154">AB163-AA163</f>
        <v>1.3888888890505768E-2</v>
      </c>
    </row>
    <row r="164" spans="1:29" x14ac:dyDescent="0.25">
      <c r="A164" s="12">
        <v>45200</v>
      </c>
      <c r="B164" s="13">
        <v>209</v>
      </c>
      <c r="C164" s="13">
        <v>7969684</v>
      </c>
      <c r="D164" s="19"/>
      <c r="E164" s="13" t="s">
        <v>1106</v>
      </c>
      <c r="F164" s="20">
        <v>45169</v>
      </c>
      <c r="G164" s="13" t="s">
        <v>1107</v>
      </c>
      <c r="H164" s="13" t="s">
        <v>192</v>
      </c>
      <c r="I164" s="17">
        <v>5212252</v>
      </c>
      <c r="J164" s="17" t="s">
        <v>23</v>
      </c>
      <c r="K164" s="19"/>
      <c r="L164" s="13">
        <v>0</v>
      </c>
      <c r="M164" s="13">
        <v>25</v>
      </c>
      <c r="N164" s="13">
        <v>430</v>
      </c>
      <c r="O164" s="13">
        <f t="shared" ref="O164:O172" si="155">N164*M164</f>
        <v>10750</v>
      </c>
      <c r="P164" s="19" t="s">
        <v>477</v>
      </c>
      <c r="Q164" s="13" t="s">
        <v>247</v>
      </c>
      <c r="R164" s="19" t="s">
        <v>209</v>
      </c>
      <c r="S164" s="13" t="s">
        <v>1117</v>
      </c>
      <c r="T164" s="13">
        <v>959</v>
      </c>
      <c r="U164" s="20">
        <v>45202</v>
      </c>
      <c r="V164" s="20">
        <v>45203</v>
      </c>
      <c r="W164" s="19"/>
      <c r="X164" s="24">
        <v>45203.479166666664</v>
      </c>
      <c r="Y164" s="24">
        <v>45203.875</v>
      </c>
      <c r="Z164" s="25">
        <f t="shared" ref="Z164:Z170" si="156">Y164-X164</f>
        <v>0.39583333333575865</v>
      </c>
      <c r="AA164" s="24">
        <v>45203.861111111109</v>
      </c>
      <c r="AB164" s="24">
        <v>45203.875</v>
      </c>
      <c r="AC164" s="25">
        <f t="shared" ref="AC164:AC170" si="157">AB164-AA164</f>
        <v>1.3888888890505768E-2</v>
      </c>
    </row>
    <row r="165" spans="1:29" x14ac:dyDescent="0.25">
      <c r="A165" s="12">
        <v>45200</v>
      </c>
      <c r="B165" s="13">
        <v>210</v>
      </c>
      <c r="C165" s="13">
        <v>7976597</v>
      </c>
      <c r="D165" s="19">
        <v>4908647468</v>
      </c>
      <c r="E165" s="13" t="s">
        <v>1118</v>
      </c>
      <c r="F165" s="20">
        <v>45170</v>
      </c>
      <c r="G165" s="13" t="s">
        <v>1119</v>
      </c>
      <c r="H165" s="13" t="s">
        <v>192</v>
      </c>
      <c r="I165" s="17">
        <v>5211013</v>
      </c>
      <c r="J165" s="17" t="s">
        <v>27</v>
      </c>
      <c r="K165" s="19"/>
      <c r="L165" s="13">
        <v>0</v>
      </c>
      <c r="M165" s="13">
        <v>25</v>
      </c>
      <c r="N165" s="13">
        <v>326</v>
      </c>
      <c r="O165" s="13">
        <f t="shared" si="155"/>
        <v>8150</v>
      </c>
      <c r="P165" s="19" t="s">
        <v>477</v>
      </c>
      <c r="Q165" s="13" t="s">
        <v>247</v>
      </c>
      <c r="R165" s="19" t="s">
        <v>209</v>
      </c>
      <c r="S165" s="13" t="s">
        <v>1120</v>
      </c>
      <c r="T165" s="13">
        <v>963</v>
      </c>
      <c r="U165" s="20">
        <v>45203</v>
      </c>
      <c r="V165" s="20">
        <v>45204</v>
      </c>
      <c r="W165" s="19"/>
      <c r="X165" s="24">
        <v>45204.395833333336</v>
      </c>
      <c r="Y165" s="24">
        <v>45204.472222222219</v>
      </c>
      <c r="Z165" s="25">
        <f t="shared" si="156"/>
        <v>7.6388888883229811E-2</v>
      </c>
      <c r="AA165" s="24">
        <v>45204.430555555555</v>
      </c>
      <c r="AB165" s="24">
        <v>45204.472222222219</v>
      </c>
      <c r="AC165" s="25">
        <f t="shared" si="157"/>
        <v>4.1666666664241347E-2</v>
      </c>
    </row>
    <row r="166" spans="1:29" x14ac:dyDescent="0.25">
      <c r="A166" s="12">
        <v>45200</v>
      </c>
      <c r="B166" s="13">
        <v>210</v>
      </c>
      <c r="C166" s="13">
        <v>7976597</v>
      </c>
      <c r="D166" s="19">
        <v>4908659088</v>
      </c>
      <c r="E166" s="13" t="s">
        <v>1118</v>
      </c>
      <c r="F166" s="20">
        <v>45170</v>
      </c>
      <c r="G166" s="13" t="s">
        <v>1146</v>
      </c>
      <c r="H166" s="13" t="s">
        <v>192</v>
      </c>
      <c r="I166" s="17">
        <v>5211013</v>
      </c>
      <c r="J166" s="17" t="s">
        <v>27</v>
      </c>
      <c r="K166" s="19"/>
      <c r="L166" s="13">
        <v>0</v>
      </c>
      <c r="M166" s="13">
        <v>25</v>
      </c>
      <c r="N166" s="19">
        <v>464</v>
      </c>
      <c r="O166" s="13">
        <f t="shared" si="155"/>
        <v>11600</v>
      </c>
      <c r="P166" s="19" t="s">
        <v>477</v>
      </c>
      <c r="Q166" s="13" t="s">
        <v>247</v>
      </c>
      <c r="R166" s="19" t="s">
        <v>209</v>
      </c>
      <c r="S166" s="13" t="s">
        <v>1120</v>
      </c>
      <c r="T166" s="13">
        <v>963</v>
      </c>
      <c r="U166" s="20">
        <v>45203</v>
      </c>
      <c r="V166" s="20">
        <v>45204</v>
      </c>
      <c r="W166" s="19"/>
      <c r="X166" s="24">
        <v>45204.395833333336</v>
      </c>
      <c r="Y166" s="24">
        <v>45204.472222222219</v>
      </c>
      <c r="Z166" s="25">
        <f t="shared" si="156"/>
        <v>7.6388888883229811E-2</v>
      </c>
      <c r="AA166" s="24">
        <v>45204.430555555555</v>
      </c>
      <c r="AB166" s="24">
        <v>45204.472222222219</v>
      </c>
      <c r="AC166" s="25">
        <f t="shared" si="157"/>
        <v>4.1666666664241347E-2</v>
      </c>
    </row>
    <row r="167" spans="1:29" x14ac:dyDescent="0.25">
      <c r="A167" s="12">
        <v>45200</v>
      </c>
      <c r="B167" s="13">
        <v>210</v>
      </c>
      <c r="C167" s="13">
        <v>7976597</v>
      </c>
      <c r="D167" s="19">
        <v>4908647468</v>
      </c>
      <c r="E167" s="13" t="s">
        <v>1118</v>
      </c>
      <c r="F167" s="20">
        <v>45170</v>
      </c>
      <c r="G167" s="13" t="s">
        <v>1145</v>
      </c>
      <c r="H167" s="13" t="s">
        <v>192</v>
      </c>
      <c r="I167" s="17">
        <v>5211013</v>
      </c>
      <c r="J167" s="17" t="s">
        <v>27</v>
      </c>
      <c r="K167" s="19"/>
      <c r="L167" s="13">
        <v>0</v>
      </c>
      <c r="M167" s="13">
        <v>25</v>
      </c>
      <c r="N167" s="19">
        <v>250</v>
      </c>
      <c r="O167" s="13">
        <f t="shared" ref="O167" si="158">N167*M167</f>
        <v>6250</v>
      </c>
      <c r="P167" s="19" t="s">
        <v>477</v>
      </c>
      <c r="Q167" s="13" t="s">
        <v>247</v>
      </c>
      <c r="R167" s="19" t="s">
        <v>209</v>
      </c>
      <c r="S167" s="13" t="s">
        <v>1120</v>
      </c>
      <c r="T167" s="13">
        <v>963</v>
      </c>
      <c r="U167" s="20">
        <v>45203</v>
      </c>
      <c r="V167" s="20">
        <v>45204</v>
      </c>
      <c r="W167" s="19"/>
      <c r="X167" s="24">
        <v>45204.395833333336</v>
      </c>
      <c r="Y167" s="24">
        <v>45204.472222222219</v>
      </c>
      <c r="Z167" s="25">
        <f t="shared" ref="Z167" si="159">Y167-X167</f>
        <v>7.6388888883229811E-2</v>
      </c>
      <c r="AA167" s="24">
        <v>45204.430555555555</v>
      </c>
      <c r="AB167" s="24">
        <v>45204.472222222219</v>
      </c>
      <c r="AC167" s="25">
        <f t="shared" ref="AC167" si="160">AB167-AA167</f>
        <v>4.1666666664241347E-2</v>
      </c>
    </row>
    <row r="168" spans="1:29" x14ac:dyDescent="0.25">
      <c r="A168" s="12">
        <v>45200</v>
      </c>
      <c r="B168" s="13">
        <v>211</v>
      </c>
      <c r="C168" s="13">
        <v>7976597</v>
      </c>
      <c r="D168" s="19">
        <v>4908647468</v>
      </c>
      <c r="E168" s="13" t="s">
        <v>1118</v>
      </c>
      <c r="F168" s="20">
        <v>45170</v>
      </c>
      <c r="G168" s="13" t="s">
        <v>1145</v>
      </c>
      <c r="H168" s="13" t="s">
        <v>192</v>
      </c>
      <c r="I168" s="17">
        <v>5211013</v>
      </c>
      <c r="J168" s="17" t="s">
        <v>27</v>
      </c>
      <c r="K168" s="19"/>
      <c r="L168" s="13">
        <v>0</v>
      </c>
      <c r="M168" s="13">
        <v>25</v>
      </c>
      <c r="N168" s="19">
        <v>1040</v>
      </c>
      <c r="O168" s="13">
        <f t="shared" si="155"/>
        <v>26000</v>
      </c>
      <c r="P168" s="19" t="s">
        <v>477</v>
      </c>
      <c r="Q168" s="13" t="s">
        <v>247</v>
      </c>
      <c r="R168" s="19" t="s">
        <v>209</v>
      </c>
      <c r="S168" s="13" t="s">
        <v>1121</v>
      </c>
      <c r="T168" s="13">
        <v>962</v>
      </c>
      <c r="U168" s="20">
        <v>45203</v>
      </c>
      <c r="V168" s="20">
        <v>45204</v>
      </c>
      <c r="W168" s="19"/>
      <c r="X168" s="24">
        <v>45204.388888888891</v>
      </c>
      <c r="Y168" s="24">
        <v>45204.510416666664</v>
      </c>
      <c r="Z168" s="25">
        <f t="shared" si="156"/>
        <v>0.12152777777373558</v>
      </c>
      <c r="AA168" s="24">
        <v>45204.472222222219</v>
      </c>
      <c r="AB168" s="24">
        <v>45204.510416666664</v>
      </c>
      <c r="AC168" s="25">
        <f t="shared" si="157"/>
        <v>3.8194444445252884E-2</v>
      </c>
    </row>
    <row r="169" spans="1:29" x14ac:dyDescent="0.25">
      <c r="A169" s="12">
        <v>45200</v>
      </c>
      <c r="B169" s="13">
        <v>212</v>
      </c>
      <c r="C169" s="13">
        <v>7959321</v>
      </c>
      <c r="D169" s="19">
        <v>4908647644</v>
      </c>
      <c r="E169" s="13" t="s">
        <v>1132</v>
      </c>
      <c r="F169" s="20">
        <v>45175</v>
      </c>
      <c r="G169" s="13" t="s">
        <v>1134</v>
      </c>
      <c r="H169" s="13" t="s">
        <v>192</v>
      </c>
      <c r="I169" s="17">
        <v>5212256</v>
      </c>
      <c r="J169" s="17" t="s">
        <v>22</v>
      </c>
      <c r="K169" s="19"/>
      <c r="L169" s="13">
        <v>0</v>
      </c>
      <c r="M169" s="13">
        <v>25</v>
      </c>
      <c r="N169" s="13">
        <v>1040</v>
      </c>
      <c r="O169" s="13">
        <f t="shared" si="155"/>
        <v>26000</v>
      </c>
      <c r="P169" s="19" t="s">
        <v>477</v>
      </c>
      <c r="Q169" s="13" t="s">
        <v>247</v>
      </c>
      <c r="R169" s="19" t="s">
        <v>209</v>
      </c>
      <c r="S169" s="13" t="s">
        <v>1133</v>
      </c>
      <c r="T169" s="13">
        <v>965</v>
      </c>
      <c r="U169" s="20">
        <v>45204</v>
      </c>
      <c r="V169" s="20">
        <v>45205</v>
      </c>
      <c r="W169" s="19"/>
      <c r="X169" s="24">
        <v>45205.375</v>
      </c>
      <c r="Y169" s="24">
        <v>45205.423611111109</v>
      </c>
      <c r="Z169" s="25">
        <f t="shared" si="156"/>
        <v>4.8611111109494232E-2</v>
      </c>
      <c r="AA169" s="24">
        <v>45205.381944444445</v>
      </c>
      <c r="AB169" s="24">
        <v>45205.416666666664</v>
      </c>
      <c r="AC169" s="25">
        <f t="shared" si="157"/>
        <v>3.4722222218988463E-2</v>
      </c>
    </row>
    <row r="170" spans="1:29" x14ac:dyDescent="0.25">
      <c r="A170" s="12">
        <v>45200</v>
      </c>
      <c r="B170" s="13">
        <v>213</v>
      </c>
      <c r="C170" s="13">
        <v>7959321</v>
      </c>
      <c r="D170" s="19">
        <v>4908647644</v>
      </c>
      <c r="E170" s="13" t="s">
        <v>1132</v>
      </c>
      <c r="F170" s="20">
        <v>45175</v>
      </c>
      <c r="G170" s="13" t="s">
        <v>1134</v>
      </c>
      <c r="H170" s="13" t="s">
        <v>192</v>
      </c>
      <c r="I170" s="17">
        <v>5212256</v>
      </c>
      <c r="J170" s="17" t="s">
        <v>22</v>
      </c>
      <c r="K170" s="19"/>
      <c r="L170" s="13">
        <v>0</v>
      </c>
      <c r="M170" s="13">
        <v>25</v>
      </c>
      <c r="N170" s="13">
        <v>576</v>
      </c>
      <c r="O170" s="13">
        <f t="shared" si="155"/>
        <v>14400</v>
      </c>
      <c r="P170" s="19" t="s">
        <v>477</v>
      </c>
      <c r="Q170" s="13" t="s">
        <v>247</v>
      </c>
      <c r="R170" s="19" t="s">
        <v>209</v>
      </c>
      <c r="S170" s="13" t="s">
        <v>316</v>
      </c>
      <c r="T170" s="13">
        <v>964</v>
      </c>
      <c r="U170" s="20">
        <v>45204</v>
      </c>
      <c r="V170" s="20">
        <v>45205</v>
      </c>
      <c r="W170" s="19"/>
      <c r="X170" s="24">
        <v>45205.375</v>
      </c>
      <c r="Y170" s="24">
        <v>45205.458333333336</v>
      </c>
      <c r="Z170" s="25">
        <f t="shared" si="156"/>
        <v>8.3333333335758653E-2</v>
      </c>
      <c r="AA170" s="24">
        <v>45205.420138888891</v>
      </c>
      <c r="AB170" s="24">
        <v>45205.458333333336</v>
      </c>
      <c r="AC170" s="25">
        <f t="shared" si="157"/>
        <v>3.8194444445252884E-2</v>
      </c>
    </row>
    <row r="171" spans="1:29" x14ac:dyDescent="0.25">
      <c r="A171" s="12">
        <v>45200</v>
      </c>
      <c r="B171" s="13">
        <v>213</v>
      </c>
      <c r="C171" s="13">
        <v>7959321</v>
      </c>
      <c r="D171" s="19">
        <v>4908647644</v>
      </c>
      <c r="E171" s="13" t="s">
        <v>1132</v>
      </c>
      <c r="F171" s="20">
        <v>45175</v>
      </c>
      <c r="G171" s="13" t="s">
        <v>1135</v>
      </c>
      <c r="H171" s="13" t="s">
        <v>192</v>
      </c>
      <c r="I171" s="17">
        <v>5212256</v>
      </c>
      <c r="J171" s="17" t="s">
        <v>22</v>
      </c>
      <c r="K171" s="19"/>
      <c r="L171" s="13">
        <v>0</v>
      </c>
      <c r="M171" s="13">
        <v>25</v>
      </c>
      <c r="N171" s="13">
        <v>464</v>
      </c>
      <c r="O171" s="13">
        <f t="shared" si="155"/>
        <v>11600</v>
      </c>
      <c r="P171" s="19" t="s">
        <v>477</v>
      </c>
      <c r="Q171" s="13" t="s">
        <v>247</v>
      </c>
      <c r="R171" s="19" t="s">
        <v>209</v>
      </c>
      <c r="S171" s="13" t="s">
        <v>316</v>
      </c>
      <c r="T171" s="13">
        <v>964</v>
      </c>
      <c r="U171" s="20">
        <v>45204</v>
      </c>
      <c r="V171" s="20">
        <v>45205</v>
      </c>
      <c r="W171" s="19"/>
      <c r="X171" s="24">
        <v>45205.375</v>
      </c>
      <c r="Y171" s="24">
        <v>45205.458333333336</v>
      </c>
      <c r="Z171" s="25">
        <f t="shared" ref="Z171:Z172" si="161">Y171-X171</f>
        <v>8.3333333335758653E-2</v>
      </c>
      <c r="AA171" s="24">
        <v>45205.420138888891</v>
      </c>
      <c r="AB171" s="24">
        <v>45205.458333333336</v>
      </c>
      <c r="AC171" s="25">
        <f t="shared" ref="AC171:AC172" si="162">AB171-AA171</f>
        <v>3.8194444445252884E-2</v>
      </c>
    </row>
    <row r="172" spans="1:29" x14ac:dyDescent="0.25">
      <c r="A172" s="12">
        <v>45200</v>
      </c>
      <c r="B172" s="13">
        <v>214</v>
      </c>
      <c r="C172" s="13">
        <v>7833010</v>
      </c>
      <c r="D172" s="19">
        <v>4908647467</v>
      </c>
      <c r="E172" s="13" t="s">
        <v>1136</v>
      </c>
      <c r="F172" s="20">
        <v>45170</v>
      </c>
      <c r="G172" s="13" t="s">
        <v>1023</v>
      </c>
      <c r="H172" s="13" t="s">
        <v>192</v>
      </c>
      <c r="I172" s="17">
        <v>5212252</v>
      </c>
      <c r="J172" s="17" t="s">
        <v>23</v>
      </c>
      <c r="K172" s="19"/>
      <c r="L172" s="13">
        <v>0</v>
      </c>
      <c r="M172" s="13">
        <v>25</v>
      </c>
      <c r="N172" s="13">
        <v>376</v>
      </c>
      <c r="O172" s="13">
        <f t="shared" si="155"/>
        <v>9400</v>
      </c>
      <c r="P172" s="19" t="s">
        <v>477</v>
      </c>
      <c r="Q172" s="13" t="s">
        <v>159</v>
      </c>
      <c r="R172" s="19" t="s">
        <v>209</v>
      </c>
      <c r="S172" s="13" t="s">
        <v>1137</v>
      </c>
      <c r="T172" s="13">
        <v>21332</v>
      </c>
      <c r="U172" s="20">
        <v>45204</v>
      </c>
      <c r="V172" s="20">
        <v>45205</v>
      </c>
      <c r="W172" s="19"/>
      <c r="X172" s="24">
        <v>45205.375</v>
      </c>
      <c r="Y172" s="24">
        <v>45205.486111111109</v>
      </c>
      <c r="Z172" s="25">
        <f t="shared" si="161"/>
        <v>0.11111111110949423</v>
      </c>
      <c r="AA172" s="24">
        <v>45205.461805555555</v>
      </c>
      <c r="AB172" s="24">
        <v>45205.486111111109</v>
      </c>
      <c r="AC172" s="25">
        <f t="shared" si="162"/>
        <v>2.4305555554747116E-2</v>
      </c>
    </row>
    <row r="173" spans="1:29" x14ac:dyDescent="0.25">
      <c r="A173" s="12">
        <v>45200</v>
      </c>
      <c r="B173" s="13">
        <v>214</v>
      </c>
      <c r="C173" s="13">
        <v>7833010</v>
      </c>
      <c r="D173" s="19">
        <v>4908647467</v>
      </c>
      <c r="E173" s="13" t="s">
        <v>1136</v>
      </c>
      <c r="F173" s="20">
        <v>45170</v>
      </c>
      <c r="G173" s="13" t="s">
        <v>1138</v>
      </c>
      <c r="H173" s="13" t="s">
        <v>192</v>
      </c>
      <c r="I173" s="17">
        <v>5212252</v>
      </c>
      <c r="J173" s="17" t="s">
        <v>23</v>
      </c>
      <c r="K173" s="19"/>
      <c r="L173" s="13">
        <v>0</v>
      </c>
      <c r="M173" s="13">
        <v>25</v>
      </c>
      <c r="N173" s="13">
        <v>66</v>
      </c>
      <c r="O173" s="13">
        <f t="shared" ref="O173:O178" si="163">N173*M173</f>
        <v>1650</v>
      </c>
      <c r="P173" s="19" t="s">
        <v>477</v>
      </c>
      <c r="Q173" s="13" t="s">
        <v>159</v>
      </c>
      <c r="R173" s="19" t="s">
        <v>209</v>
      </c>
      <c r="S173" s="13" t="s">
        <v>1137</v>
      </c>
      <c r="T173" s="13">
        <v>21332</v>
      </c>
      <c r="U173" s="20">
        <v>45204</v>
      </c>
      <c r="V173" s="20">
        <v>45205</v>
      </c>
      <c r="W173" s="19"/>
      <c r="X173" s="24">
        <v>45205.375</v>
      </c>
      <c r="Y173" s="24">
        <v>45205.486111111109</v>
      </c>
      <c r="Z173" s="25">
        <f t="shared" ref="Z173:Z175" si="164">Y173-X173</f>
        <v>0.11111111110949423</v>
      </c>
      <c r="AA173" s="24">
        <v>45205.461805555555</v>
      </c>
      <c r="AB173" s="24">
        <v>45205.486111111109</v>
      </c>
      <c r="AC173" s="25">
        <f t="shared" ref="AC173:AC178" si="165">AB173-AA173</f>
        <v>2.4305555554747116E-2</v>
      </c>
    </row>
    <row r="174" spans="1:29" x14ac:dyDescent="0.25">
      <c r="A174" s="12">
        <v>45200</v>
      </c>
      <c r="B174" s="13">
        <v>214</v>
      </c>
      <c r="C174" s="13">
        <v>7833010</v>
      </c>
      <c r="D174" s="19">
        <v>4908647467</v>
      </c>
      <c r="E174" s="13" t="s">
        <v>1136</v>
      </c>
      <c r="F174" s="20">
        <v>45170</v>
      </c>
      <c r="G174" s="13" t="s">
        <v>1066</v>
      </c>
      <c r="H174" s="13" t="s">
        <v>192</v>
      </c>
      <c r="I174" s="17">
        <v>5212252</v>
      </c>
      <c r="J174" s="17" t="s">
        <v>23</v>
      </c>
      <c r="K174" s="19"/>
      <c r="L174" s="13">
        <v>0</v>
      </c>
      <c r="M174" s="13">
        <v>25</v>
      </c>
      <c r="N174" s="13">
        <v>230</v>
      </c>
      <c r="O174" s="13">
        <f t="shared" si="163"/>
        <v>5750</v>
      </c>
      <c r="P174" s="19" t="s">
        <v>477</v>
      </c>
      <c r="Q174" s="13" t="s">
        <v>159</v>
      </c>
      <c r="R174" s="19" t="s">
        <v>209</v>
      </c>
      <c r="S174" s="13" t="s">
        <v>1137</v>
      </c>
      <c r="T174" s="13">
        <v>21332</v>
      </c>
      <c r="U174" s="20">
        <v>45204</v>
      </c>
      <c r="V174" s="20">
        <v>45205</v>
      </c>
      <c r="W174" s="19"/>
      <c r="X174" s="24">
        <v>45205.375</v>
      </c>
      <c r="Y174" s="24">
        <v>45205.486111111109</v>
      </c>
      <c r="Z174" s="25">
        <f t="shared" si="164"/>
        <v>0.11111111110949423</v>
      </c>
      <c r="AA174" s="24">
        <v>45205.461805555555</v>
      </c>
      <c r="AB174" s="24">
        <v>45205.486111111109</v>
      </c>
      <c r="AC174" s="25">
        <f t="shared" si="165"/>
        <v>2.4305555554747116E-2</v>
      </c>
    </row>
    <row r="175" spans="1:29" x14ac:dyDescent="0.25">
      <c r="A175" s="12">
        <v>45200</v>
      </c>
      <c r="B175" s="13">
        <v>214</v>
      </c>
      <c r="C175" s="13">
        <v>7833010</v>
      </c>
      <c r="D175" s="19">
        <v>4908647467</v>
      </c>
      <c r="E175" s="13" t="s">
        <v>1136</v>
      </c>
      <c r="F175" s="20">
        <v>45170</v>
      </c>
      <c r="G175" s="13" t="s">
        <v>1139</v>
      </c>
      <c r="H175" s="13" t="s">
        <v>192</v>
      </c>
      <c r="I175" s="17">
        <v>5212252</v>
      </c>
      <c r="J175" s="17" t="s">
        <v>23</v>
      </c>
      <c r="K175" s="19"/>
      <c r="L175" s="13">
        <v>0</v>
      </c>
      <c r="M175" s="13">
        <v>25</v>
      </c>
      <c r="N175" s="13">
        <v>368</v>
      </c>
      <c r="O175" s="13">
        <f t="shared" si="163"/>
        <v>9200</v>
      </c>
      <c r="P175" s="19" t="s">
        <v>477</v>
      </c>
      <c r="Q175" s="13" t="s">
        <v>159</v>
      </c>
      <c r="R175" s="19" t="s">
        <v>209</v>
      </c>
      <c r="S175" s="13" t="s">
        <v>1137</v>
      </c>
      <c r="T175" s="13">
        <v>21332</v>
      </c>
      <c r="U175" s="20">
        <v>45204</v>
      </c>
      <c r="V175" s="20">
        <v>45205</v>
      </c>
      <c r="W175" s="19"/>
      <c r="X175" s="24">
        <v>45205.375</v>
      </c>
      <c r="Y175" s="24">
        <v>45205.486111111109</v>
      </c>
      <c r="Z175" s="25">
        <f t="shared" si="164"/>
        <v>0.11111111110949423</v>
      </c>
      <c r="AA175" s="24">
        <v>45205.461805555555</v>
      </c>
      <c r="AB175" s="24">
        <v>45205.486111111109</v>
      </c>
      <c r="AC175" s="25">
        <f t="shared" si="165"/>
        <v>2.4305555554747116E-2</v>
      </c>
    </row>
    <row r="176" spans="1:29" x14ac:dyDescent="0.25">
      <c r="A176" s="12">
        <v>45200</v>
      </c>
      <c r="B176" s="13">
        <v>215</v>
      </c>
      <c r="C176" s="13">
        <v>7833010</v>
      </c>
      <c r="D176" s="19">
        <v>4908647467</v>
      </c>
      <c r="E176" s="13" t="s">
        <v>1136</v>
      </c>
      <c r="F176" s="20">
        <v>45170</v>
      </c>
      <c r="G176" s="13" t="s">
        <v>1139</v>
      </c>
      <c r="H176" s="13" t="s">
        <v>192</v>
      </c>
      <c r="I176" s="17">
        <v>5212252</v>
      </c>
      <c r="J176" s="17" t="s">
        <v>23</v>
      </c>
      <c r="K176" s="19"/>
      <c r="L176" s="13">
        <v>0</v>
      </c>
      <c r="M176" s="13">
        <v>25</v>
      </c>
      <c r="N176" s="13">
        <v>1040</v>
      </c>
      <c r="O176" s="13">
        <f t="shared" si="163"/>
        <v>26000</v>
      </c>
      <c r="P176" s="19" t="s">
        <v>477</v>
      </c>
      <c r="Q176" s="13" t="s">
        <v>159</v>
      </c>
      <c r="R176" s="19" t="s">
        <v>209</v>
      </c>
      <c r="S176" s="13" t="s">
        <v>1140</v>
      </c>
      <c r="T176" s="13">
        <v>21331</v>
      </c>
      <c r="U176" s="20">
        <v>45204</v>
      </c>
      <c r="V176" s="20">
        <v>45205</v>
      </c>
      <c r="W176" s="19"/>
      <c r="X176" s="24">
        <v>45205.375</v>
      </c>
      <c r="Y176" s="24">
        <v>45205.569444444445</v>
      </c>
      <c r="Z176" s="25">
        <f t="shared" ref="Z176:Z178" si="166">Y176-X176</f>
        <v>0.19444444444525288</v>
      </c>
      <c r="AA176" s="24">
        <v>45205.541666666664</v>
      </c>
      <c r="AB176" s="24">
        <v>45205.569444444445</v>
      </c>
      <c r="AC176" s="25">
        <f t="shared" si="165"/>
        <v>2.7777777781011537E-2</v>
      </c>
    </row>
    <row r="177" spans="1:29" x14ac:dyDescent="0.25">
      <c r="A177" s="12">
        <v>45200</v>
      </c>
      <c r="B177" s="13">
        <v>216</v>
      </c>
      <c r="C177" s="13">
        <v>8023010</v>
      </c>
      <c r="D177" s="19">
        <v>4908702123</v>
      </c>
      <c r="E177" s="13" t="s">
        <v>1147</v>
      </c>
      <c r="F177" s="20">
        <v>45177</v>
      </c>
      <c r="G177" s="14" t="s">
        <v>1156</v>
      </c>
      <c r="H177" s="13" t="s">
        <v>132</v>
      </c>
      <c r="I177" s="17">
        <v>5230831</v>
      </c>
      <c r="J177" s="17" t="s">
        <v>35</v>
      </c>
      <c r="K177" s="19"/>
      <c r="L177" s="13">
        <v>0</v>
      </c>
      <c r="M177" s="13">
        <v>240</v>
      </c>
      <c r="N177" s="13">
        <v>80</v>
      </c>
      <c r="O177" s="13">
        <f t="shared" si="163"/>
        <v>19200</v>
      </c>
      <c r="P177" s="19" t="s">
        <v>477</v>
      </c>
      <c r="Q177" s="13" t="s">
        <v>247</v>
      </c>
      <c r="R177" s="13" t="s">
        <v>997</v>
      </c>
      <c r="S177" s="13" t="s">
        <v>431</v>
      </c>
      <c r="T177" s="13">
        <v>967</v>
      </c>
      <c r="U177" s="20">
        <v>45205</v>
      </c>
      <c r="V177" s="20">
        <v>45206</v>
      </c>
      <c r="W177" s="19"/>
      <c r="X177" s="24">
        <v>45206.395833333336</v>
      </c>
      <c r="Y177" s="24">
        <v>45206.458333333336</v>
      </c>
      <c r="Z177" s="25">
        <f t="shared" si="166"/>
        <v>6.25E-2</v>
      </c>
      <c r="AA177" s="24">
        <v>45206.416666666664</v>
      </c>
      <c r="AB177" s="24">
        <v>45206.458333333336</v>
      </c>
      <c r="AC177" s="25">
        <f t="shared" si="165"/>
        <v>4.1666666671517305E-2</v>
      </c>
    </row>
    <row r="178" spans="1:29" x14ac:dyDescent="0.25">
      <c r="A178" s="12">
        <v>45200</v>
      </c>
      <c r="B178" s="13">
        <v>217</v>
      </c>
      <c r="C178" s="13">
        <v>7933011</v>
      </c>
      <c r="D178" s="19">
        <v>4908686272</v>
      </c>
      <c r="E178" s="13" t="s">
        <v>1148</v>
      </c>
      <c r="F178" s="20">
        <v>45175</v>
      </c>
      <c r="G178" s="13" t="s">
        <v>1149</v>
      </c>
      <c r="H178" s="13" t="s">
        <v>192</v>
      </c>
      <c r="I178" s="17">
        <v>5211013</v>
      </c>
      <c r="J178" s="17" t="s">
        <v>27</v>
      </c>
      <c r="K178" s="19"/>
      <c r="L178" s="13">
        <v>0</v>
      </c>
      <c r="M178" s="13">
        <v>25</v>
      </c>
      <c r="N178" s="13">
        <v>600</v>
      </c>
      <c r="O178" s="13">
        <f t="shared" si="163"/>
        <v>15000</v>
      </c>
      <c r="P178" s="19" t="s">
        <v>477</v>
      </c>
      <c r="Q178" s="13" t="s">
        <v>159</v>
      </c>
      <c r="R178" s="19" t="s">
        <v>209</v>
      </c>
      <c r="S178" s="13" t="s">
        <v>1150</v>
      </c>
      <c r="T178" s="13">
        <v>14903</v>
      </c>
      <c r="U178" s="20">
        <v>45205</v>
      </c>
      <c r="V178" s="20">
        <v>45206</v>
      </c>
      <c r="W178" s="19"/>
      <c r="X178" s="24">
        <v>45206.395833333336</v>
      </c>
      <c r="Y178" s="24">
        <v>45206.486111111109</v>
      </c>
      <c r="Z178" s="25">
        <f t="shared" si="166"/>
        <v>9.0277777773735579E-2</v>
      </c>
      <c r="AA178" s="24">
        <v>45206.458333333336</v>
      </c>
      <c r="AB178" s="24">
        <v>45206.486111111109</v>
      </c>
      <c r="AC178" s="25">
        <f t="shared" si="165"/>
        <v>2.7777777773735579E-2</v>
      </c>
    </row>
    <row r="179" spans="1:29" x14ac:dyDescent="0.25">
      <c r="A179" s="12">
        <v>45200</v>
      </c>
      <c r="B179" s="13">
        <v>217</v>
      </c>
      <c r="C179" s="13">
        <v>7933011</v>
      </c>
      <c r="D179" s="19">
        <v>4908686272</v>
      </c>
      <c r="E179" s="13" t="s">
        <v>1148</v>
      </c>
      <c r="F179" s="20">
        <v>45175</v>
      </c>
      <c r="G179" s="13" t="s">
        <v>1151</v>
      </c>
      <c r="H179" s="13" t="s">
        <v>192</v>
      </c>
      <c r="I179" s="17">
        <v>5211013</v>
      </c>
      <c r="J179" s="17" t="s">
        <v>27</v>
      </c>
      <c r="K179" s="19"/>
      <c r="L179" s="13">
        <v>0</v>
      </c>
      <c r="M179" s="13">
        <v>25</v>
      </c>
      <c r="N179" s="13">
        <v>160</v>
      </c>
      <c r="O179" s="13">
        <f t="shared" ref="O179:O187" si="167">N179*M179</f>
        <v>4000</v>
      </c>
      <c r="P179" s="19" t="s">
        <v>477</v>
      </c>
      <c r="Q179" s="13" t="s">
        <v>159</v>
      </c>
      <c r="R179" s="19" t="s">
        <v>209</v>
      </c>
      <c r="S179" s="13" t="s">
        <v>1150</v>
      </c>
      <c r="T179" s="13">
        <v>14903</v>
      </c>
      <c r="U179" s="20">
        <v>45205</v>
      </c>
      <c r="V179" s="20">
        <v>45206</v>
      </c>
      <c r="W179" s="19"/>
      <c r="X179" s="24">
        <v>45206.395833333336</v>
      </c>
      <c r="Y179" s="24">
        <v>45206.486111111109</v>
      </c>
      <c r="Z179" s="25">
        <f t="shared" ref="Z179:Z188" si="168">Y179-X179</f>
        <v>9.0277777773735579E-2</v>
      </c>
      <c r="AA179" s="24">
        <v>45206.458333333336</v>
      </c>
      <c r="AB179" s="24">
        <v>45206.486111111109</v>
      </c>
      <c r="AC179" s="25">
        <f t="shared" ref="AC179:AC189" si="169">AB179-AA179</f>
        <v>2.7777777773735579E-2</v>
      </c>
    </row>
    <row r="180" spans="1:29" x14ac:dyDescent="0.25">
      <c r="A180" s="12">
        <v>45200</v>
      </c>
      <c r="B180" s="13">
        <v>217</v>
      </c>
      <c r="C180" s="13">
        <v>7933011</v>
      </c>
      <c r="D180" s="19">
        <v>4908686272</v>
      </c>
      <c r="E180" s="13" t="s">
        <v>1148</v>
      </c>
      <c r="F180" s="20">
        <v>45175</v>
      </c>
      <c r="G180" s="13" t="s">
        <v>1152</v>
      </c>
      <c r="H180" s="13" t="s">
        <v>192</v>
      </c>
      <c r="I180" s="17">
        <v>5211013</v>
      </c>
      <c r="J180" s="17" t="s">
        <v>27</v>
      </c>
      <c r="K180" s="19"/>
      <c r="L180" s="13">
        <v>0</v>
      </c>
      <c r="M180" s="13">
        <v>25</v>
      </c>
      <c r="N180" s="13">
        <v>95</v>
      </c>
      <c r="O180" s="13">
        <f t="shared" si="167"/>
        <v>2375</v>
      </c>
      <c r="P180" s="19" t="s">
        <v>477</v>
      </c>
      <c r="Q180" s="13" t="s">
        <v>159</v>
      </c>
      <c r="R180" s="19" t="s">
        <v>209</v>
      </c>
      <c r="S180" s="13" t="s">
        <v>1150</v>
      </c>
      <c r="T180" s="13">
        <v>14903</v>
      </c>
      <c r="U180" s="20">
        <v>45205</v>
      </c>
      <c r="V180" s="20">
        <v>45206</v>
      </c>
      <c r="W180" s="19"/>
      <c r="X180" s="24">
        <v>45206.395833333336</v>
      </c>
      <c r="Y180" s="24">
        <v>45206.486111111109</v>
      </c>
      <c r="Z180" s="25">
        <f t="shared" si="168"/>
        <v>9.0277777773735579E-2</v>
      </c>
      <c r="AA180" s="24">
        <v>45206.458333333336</v>
      </c>
      <c r="AB180" s="24">
        <v>45206.486111111109</v>
      </c>
      <c r="AC180" s="25">
        <f t="shared" si="169"/>
        <v>2.7777777773735579E-2</v>
      </c>
    </row>
    <row r="181" spans="1:29" x14ac:dyDescent="0.25">
      <c r="A181" s="12">
        <v>45200</v>
      </c>
      <c r="B181" s="13">
        <v>217</v>
      </c>
      <c r="C181" s="13">
        <v>7933011</v>
      </c>
      <c r="D181" s="19">
        <v>4908686272</v>
      </c>
      <c r="E181" s="13" t="s">
        <v>1148</v>
      </c>
      <c r="F181" s="20">
        <v>45175</v>
      </c>
      <c r="G181" s="13" t="s">
        <v>1153</v>
      </c>
      <c r="H181" s="13" t="s">
        <v>192</v>
      </c>
      <c r="I181" s="17">
        <v>5211013</v>
      </c>
      <c r="J181" s="17" t="s">
        <v>27</v>
      </c>
      <c r="K181" s="19"/>
      <c r="L181" s="13">
        <v>0</v>
      </c>
      <c r="M181" s="13">
        <v>25</v>
      </c>
      <c r="N181" s="13">
        <v>185</v>
      </c>
      <c r="O181" s="13">
        <f t="shared" si="167"/>
        <v>4625</v>
      </c>
      <c r="P181" s="19" t="s">
        <v>477</v>
      </c>
      <c r="Q181" s="13" t="s">
        <v>159</v>
      </c>
      <c r="R181" s="19" t="s">
        <v>209</v>
      </c>
      <c r="S181" s="13" t="s">
        <v>1150</v>
      </c>
      <c r="T181" s="13">
        <v>14903</v>
      </c>
      <c r="U181" s="20">
        <v>45205</v>
      </c>
      <c r="V181" s="20">
        <v>45206</v>
      </c>
      <c r="W181" s="19"/>
      <c r="X181" s="24">
        <v>45206.395833333336</v>
      </c>
      <c r="Y181" s="24">
        <v>45206.486111111109</v>
      </c>
      <c r="Z181" s="25">
        <f t="shared" si="168"/>
        <v>9.0277777773735579E-2</v>
      </c>
      <c r="AA181" s="24">
        <v>45206.458333333336</v>
      </c>
      <c r="AB181" s="24">
        <v>45206.486111111109</v>
      </c>
      <c r="AC181" s="25">
        <f t="shared" si="169"/>
        <v>2.7777777773735579E-2</v>
      </c>
    </row>
    <row r="182" spans="1:29" x14ac:dyDescent="0.25">
      <c r="A182" s="12">
        <v>45200</v>
      </c>
      <c r="B182" s="13">
        <v>218</v>
      </c>
      <c r="C182" s="13">
        <v>8023010</v>
      </c>
      <c r="D182" s="19">
        <v>4908702123</v>
      </c>
      <c r="E182" s="13" t="s">
        <v>1147</v>
      </c>
      <c r="F182" s="20">
        <v>45177</v>
      </c>
      <c r="G182" s="14" t="s">
        <v>1156</v>
      </c>
      <c r="H182" s="13" t="s">
        <v>132</v>
      </c>
      <c r="I182" s="17">
        <v>5230831</v>
      </c>
      <c r="J182" s="17" t="s">
        <v>35</v>
      </c>
      <c r="K182" s="19"/>
      <c r="L182" s="13">
        <v>0</v>
      </c>
      <c r="M182" s="13">
        <v>240</v>
      </c>
      <c r="N182" s="13">
        <v>80</v>
      </c>
      <c r="O182" s="13">
        <f t="shared" si="167"/>
        <v>19200</v>
      </c>
      <c r="P182" s="19" t="s">
        <v>477</v>
      </c>
      <c r="Q182" s="13" t="s">
        <v>247</v>
      </c>
      <c r="R182" s="13" t="s">
        <v>997</v>
      </c>
      <c r="S182" s="13" t="s">
        <v>275</v>
      </c>
      <c r="T182" s="13">
        <v>966</v>
      </c>
      <c r="U182" s="20">
        <v>45205</v>
      </c>
      <c r="V182" s="20">
        <v>45206</v>
      </c>
      <c r="W182" s="19"/>
      <c r="X182" s="24">
        <v>45206.395833333336</v>
      </c>
      <c r="Y182" s="24">
        <v>45206.527777777781</v>
      </c>
      <c r="Z182" s="25">
        <f t="shared" si="168"/>
        <v>0.13194444444525288</v>
      </c>
      <c r="AA182" s="24">
        <v>45206.479166666664</v>
      </c>
      <c r="AB182" s="24">
        <v>45206.527777777781</v>
      </c>
      <c r="AC182" s="25">
        <f t="shared" si="169"/>
        <v>4.8611111116770189E-2</v>
      </c>
    </row>
    <row r="183" spans="1:29" x14ac:dyDescent="0.25">
      <c r="A183" s="12">
        <v>45200</v>
      </c>
      <c r="B183" s="13">
        <v>219</v>
      </c>
      <c r="C183" s="13">
        <v>7776574</v>
      </c>
      <c r="D183" s="19">
        <v>4908686273</v>
      </c>
      <c r="E183" s="13" t="s">
        <v>1154</v>
      </c>
      <c r="F183" s="20">
        <v>45156</v>
      </c>
      <c r="G183" s="14" t="s">
        <v>1000</v>
      </c>
      <c r="H183" s="13" t="s">
        <v>132</v>
      </c>
      <c r="I183" s="17">
        <v>5231523</v>
      </c>
      <c r="J183" s="17" t="s">
        <v>1001</v>
      </c>
      <c r="K183" s="19"/>
      <c r="L183" s="13">
        <v>0</v>
      </c>
      <c r="M183" s="13">
        <v>200</v>
      </c>
      <c r="N183" s="13">
        <v>10</v>
      </c>
      <c r="O183" s="13">
        <f t="shared" si="167"/>
        <v>2000</v>
      </c>
      <c r="P183" s="19" t="s">
        <v>477</v>
      </c>
      <c r="Q183" s="13" t="s">
        <v>771</v>
      </c>
      <c r="R183" s="13" t="s">
        <v>259</v>
      </c>
      <c r="S183" s="13" t="s">
        <v>1155</v>
      </c>
      <c r="T183" s="13">
        <v>748</v>
      </c>
      <c r="U183" s="20">
        <v>45205</v>
      </c>
      <c r="V183" s="20">
        <v>45206</v>
      </c>
      <c r="W183" s="19"/>
      <c r="X183" s="24">
        <v>45206.416666666664</v>
      </c>
      <c r="Y183" s="24">
        <v>45206.4375</v>
      </c>
      <c r="Z183" s="25">
        <f t="shared" si="168"/>
        <v>2.0833333335758653E-2</v>
      </c>
      <c r="AA183" s="24">
        <v>45206.430555555555</v>
      </c>
      <c r="AB183" s="24">
        <v>45206.4375</v>
      </c>
      <c r="AC183" s="25">
        <f t="shared" si="169"/>
        <v>6.9444444452528842E-3</v>
      </c>
    </row>
    <row r="184" spans="1:29" x14ac:dyDescent="0.25">
      <c r="A184" s="12">
        <v>45200</v>
      </c>
      <c r="B184" s="13">
        <v>220</v>
      </c>
      <c r="C184" s="13">
        <v>8023010</v>
      </c>
      <c r="D184" s="19">
        <v>4908686232</v>
      </c>
      <c r="E184" s="13" t="s">
        <v>1147</v>
      </c>
      <c r="F184" s="20">
        <v>45177</v>
      </c>
      <c r="G184" s="14" t="s">
        <v>1156</v>
      </c>
      <c r="H184" s="13" t="s">
        <v>132</v>
      </c>
      <c r="I184" s="17">
        <v>5230831</v>
      </c>
      <c r="J184" s="17" t="s">
        <v>35</v>
      </c>
      <c r="K184" s="19"/>
      <c r="L184" s="13">
        <v>0</v>
      </c>
      <c r="M184" s="13">
        <v>240</v>
      </c>
      <c r="N184" s="13">
        <v>80</v>
      </c>
      <c r="O184" s="13">
        <f t="shared" si="167"/>
        <v>19200</v>
      </c>
      <c r="P184" s="19" t="s">
        <v>477</v>
      </c>
      <c r="Q184" s="13" t="s">
        <v>247</v>
      </c>
      <c r="R184" s="13" t="s">
        <v>997</v>
      </c>
      <c r="S184" s="13" t="s">
        <v>813</v>
      </c>
      <c r="T184" s="13">
        <v>968</v>
      </c>
      <c r="U184" s="20">
        <v>45205</v>
      </c>
      <c r="V184" s="20">
        <v>45206</v>
      </c>
      <c r="W184" s="19"/>
      <c r="X184" s="24">
        <v>45206.395833333336</v>
      </c>
      <c r="Y184" s="24">
        <v>45206.604166666664</v>
      </c>
      <c r="Z184" s="25">
        <f t="shared" si="168"/>
        <v>0.20833333332848269</v>
      </c>
      <c r="AA184" s="24">
        <v>45206.5625</v>
      </c>
      <c r="AB184" s="24">
        <v>45206.604166666664</v>
      </c>
      <c r="AC184" s="25">
        <f t="shared" si="169"/>
        <v>4.1666666664241347E-2</v>
      </c>
    </row>
    <row r="185" spans="1:29" x14ac:dyDescent="0.25">
      <c r="A185" s="12">
        <v>45200</v>
      </c>
      <c r="B185" s="13">
        <v>221</v>
      </c>
      <c r="C185" s="13">
        <v>7934781</v>
      </c>
      <c r="D185" s="19">
        <v>4908686275</v>
      </c>
      <c r="E185" s="13" t="s">
        <v>1157</v>
      </c>
      <c r="F185" s="20">
        <v>45173</v>
      </c>
      <c r="G185" s="14" t="s">
        <v>1158</v>
      </c>
      <c r="H185" s="13" t="s">
        <v>132</v>
      </c>
      <c r="I185" s="17">
        <v>5200272</v>
      </c>
      <c r="J185" s="17" t="s">
        <v>1159</v>
      </c>
      <c r="K185" s="19"/>
      <c r="L185" s="13">
        <v>0</v>
      </c>
      <c r="M185" s="13">
        <v>250</v>
      </c>
      <c r="N185" s="13">
        <v>80</v>
      </c>
      <c r="O185" s="13">
        <f t="shared" si="167"/>
        <v>20000</v>
      </c>
      <c r="P185" s="19" t="s">
        <v>477</v>
      </c>
      <c r="Q185" s="13" t="s">
        <v>159</v>
      </c>
      <c r="R185" s="13" t="s">
        <v>997</v>
      </c>
      <c r="S185" s="13" t="s">
        <v>436</v>
      </c>
      <c r="T185" s="13">
        <v>14907</v>
      </c>
      <c r="U185" s="20">
        <v>45205</v>
      </c>
      <c r="V185" s="20">
        <v>45206</v>
      </c>
      <c r="W185" s="19"/>
      <c r="X185" s="24">
        <v>45206.395833333336</v>
      </c>
      <c r="Y185" s="24">
        <v>45206.666666666664</v>
      </c>
      <c r="Z185" s="25">
        <f t="shared" si="168"/>
        <v>0.27083333332848269</v>
      </c>
      <c r="AA185" s="24">
        <v>45206.583333333336</v>
      </c>
      <c r="AB185" s="24">
        <v>45206.666666666664</v>
      </c>
      <c r="AC185" s="25">
        <f t="shared" si="169"/>
        <v>8.3333333328482695E-2</v>
      </c>
    </row>
    <row r="186" spans="1:29" x14ac:dyDescent="0.25">
      <c r="A186" s="12">
        <v>45200</v>
      </c>
      <c r="B186" s="13">
        <v>222</v>
      </c>
      <c r="C186" s="13">
        <v>7934781</v>
      </c>
      <c r="D186" s="19">
        <v>4908686275</v>
      </c>
      <c r="E186" s="13" t="s">
        <v>1157</v>
      </c>
      <c r="F186" s="20">
        <v>45173</v>
      </c>
      <c r="G186" s="14" t="s">
        <v>1158</v>
      </c>
      <c r="H186" s="13" t="s">
        <v>132</v>
      </c>
      <c r="I186" s="17">
        <v>5200272</v>
      </c>
      <c r="J186" s="17" t="s">
        <v>1159</v>
      </c>
      <c r="K186" s="19"/>
      <c r="L186" s="13">
        <v>0</v>
      </c>
      <c r="M186" s="13">
        <v>250</v>
      </c>
      <c r="N186" s="13">
        <v>80</v>
      </c>
      <c r="O186" s="13">
        <f t="shared" si="167"/>
        <v>20000</v>
      </c>
      <c r="P186" s="19" t="s">
        <v>477</v>
      </c>
      <c r="Q186" s="13" t="s">
        <v>159</v>
      </c>
      <c r="R186" s="13" t="s">
        <v>997</v>
      </c>
      <c r="S186" s="13" t="s">
        <v>1062</v>
      </c>
      <c r="T186" s="13">
        <v>14906</v>
      </c>
      <c r="U186" s="20">
        <v>45205</v>
      </c>
      <c r="V186" s="20">
        <v>45206</v>
      </c>
      <c r="W186" s="19"/>
      <c r="X186" s="24">
        <v>45206.395833333336</v>
      </c>
      <c r="Y186" s="24">
        <v>45206.75</v>
      </c>
      <c r="Z186" s="25">
        <f t="shared" si="168"/>
        <v>0.35416666666424135</v>
      </c>
      <c r="AA186" s="24">
        <v>45206.6875</v>
      </c>
      <c r="AB186" s="24">
        <v>45206.75</v>
      </c>
      <c r="AC186" s="25">
        <f t="shared" si="169"/>
        <v>6.25E-2</v>
      </c>
    </row>
    <row r="187" spans="1:29" x14ac:dyDescent="0.25">
      <c r="A187" s="12">
        <v>45200</v>
      </c>
      <c r="B187" s="13">
        <v>223</v>
      </c>
      <c r="C187" s="13">
        <v>7934781</v>
      </c>
      <c r="D187" s="19">
        <v>4908686275</v>
      </c>
      <c r="E187" s="13" t="s">
        <v>1157</v>
      </c>
      <c r="F187" s="20">
        <v>45173</v>
      </c>
      <c r="G187" s="14" t="s">
        <v>1158</v>
      </c>
      <c r="H187" s="13" t="s">
        <v>132</v>
      </c>
      <c r="I187" s="17">
        <v>5200272</v>
      </c>
      <c r="J187" s="17" t="s">
        <v>1159</v>
      </c>
      <c r="K187" s="19"/>
      <c r="L187" s="13">
        <v>0</v>
      </c>
      <c r="M187" s="13">
        <v>250</v>
      </c>
      <c r="N187" s="13">
        <v>80</v>
      </c>
      <c r="O187" s="13">
        <f t="shared" si="167"/>
        <v>20000</v>
      </c>
      <c r="P187" s="19" t="s">
        <v>477</v>
      </c>
      <c r="Q187" s="13" t="s">
        <v>159</v>
      </c>
      <c r="R187" s="13" t="s">
        <v>997</v>
      </c>
      <c r="S187" s="13" t="s">
        <v>1039</v>
      </c>
      <c r="T187" s="13">
        <v>14908</v>
      </c>
      <c r="U187" s="20">
        <v>45205</v>
      </c>
      <c r="V187" s="20">
        <v>45206</v>
      </c>
      <c r="W187" s="19"/>
      <c r="X187" s="24">
        <v>45206.395833333336</v>
      </c>
      <c r="Y187" s="24">
        <v>45206.791666666664</v>
      </c>
      <c r="Z187" s="25">
        <f t="shared" si="168"/>
        <v>0.39583333332848269</v>
      </c>
      <c r="AA187" s="24">
        <v>45206.743055555555</v>
      </c>
      <c r="AB187" s="24">
        <v>45206.791666666664</v>
      </c>
      <c r="AC187" s="25">
        <f t="shared" si="169"/>
        <v>4.8611111109494232E-2</v>
      </c>
    </row>
    <row r="188" spans="1:29" x14ac:dyDescent="0.25">
      <c r="A188" s="12">
        <v>45200</v>
      </c>
      <c r="B188" s="13">
        <v>224</v>
      </c>
      <c r="C188" s="13">
        <v>7934781</v>
      </c>
      <c r="D188" s="19">
        <v>4908686275</v>
      </c>
      <c r="E188" s="13" t="s">
        <v>1157</v>
      </c>
      <c r="F188" s="20">
        <v>45173</v>
      </c>
      <c r="G188" s="14" t="s">
        <v>1158</v>
      </c>
      <c r="H188" s="13" t="s">
        <v>132</v>
      </c>
      <c r="I188" s="17">
        <v>5200272</v>
      </c>
      <c r="J188" s="17" t="s">
        <v>1159</v>
      </c>
      <c r="K188" s="19"/>
      <c r="L188" s="13">
        <v>0</v>
      </c>
      <c r="M188" s="13">
        <v>250</v>
      </c>
      <c r="N188" s="13">
        <v>80</v>
      </c>
      <c r="O188" s="13">
        <f t="shared" ref="O188:O189" si="170">N188*M188</f>
        <v>20000</v>
      </c>
      <c r="P188" s="19" t="s">
        <v>477</v>
      </c>
      <c r="Q188" s="13" t="s">
        <v>159</v>
      </c>
      <c r="R188" s="13" t="s">
        <v>997</v>
      </c>
      <c r="S188" s="13" t="s">
        <v>1040</v>
      </c>
      <c r="T188" s="13">
        <v>14909</v>
      </c>
      <c r="U188" s="20">
        <v>45205</v>
      </c>
      <c r="V188" s="20">
        <v>45206</v>
      </c>
      <c r="W188" s="19"/>
      <c r="X188" s="24">
        <v>45206.395833333336</v>
      </c>
      <c r="Y188" s="24">
        <v>45206.854166666664</v>
      </c>
      <c r="Z188" s="25">
        <f t="shared" si="168"/>
        <v>0.45833333332848269</v>
      </c>
      <c r="AA188" s="24">
        <v>45206.805555555555</v>
      </c>
      <c r="AB188" s="24">
        <v>45206.854166666664</v>
      </c>
      <c r="AC188" s="25">
        <f t="shared" si="169"/>
        <v>4.8611111109494232E-2</v>
      </c>
    </row>
    <row r="189" spans="1:29" x14ac:dyDescent="0.25">
      <c r="A189" s="12">
        <v>45200</v>
      </c>
      <c r="B189" s="13">
        <v>225</v>
      </c>
      <c r="C189" s="13">
        <v>7833009</v>
      </c>
      <c r="D189" s="19">
        <v>4908686272</v>
      </c>
      <c r="E189" s="13" t="s">
        <v>1160</v>
      </c>
      <c r="F189" s="20">
        <v>45169</v>
      </c>
      <c r="G189" s="13" t="s">
        <v>1161</v>
      </c>
      <c r="H189" s="13" t="s">
        <v>192</v>
      </c>
      <c r="I189" s="17">
        <v>5211013</v>
      </c>
      <c r="J189" s="17" t="s">
        <v>27</v>
      </c>
      <c r="K189" s="19"/>
      <c r="L189" s="13">
        <v>0</v>
      </c>
      <c r="M189" s="13">
        <v>25</v>
      </c>
      <c r="N189" s="13">
        <v>840</v>
      </c>
      <c r="O189" s="13">
        <f t="shared" si="170"/>
        <v>21000</v>
      </c>
      <c r="P189" s="19" t="s">
        <v>477</v>
      </c>
      <c r="Q189" s="13" t="s">
        <v>159</v>
      </c>
      <c r="R189" s="19" t="s">
        <v>209</v>
      </c>
      <c r="S189" s="13" t="s">
        <v>1162</v>
      </c>
      <c r="T189" s="13">
        <v>14902</v>
      </c>
      <c r="U189" s="20">
        <v>45205</v>
      </c>
      <c r="V189" s="20">
        <v>45206</v>
      </c>
      <c r="W189" s="19"/>
      <c r="X189" s="24">
        <v>45206.395833333336</v>
      </c>
      <c r="Y189" s="24">
        <v>45206.902777777781</v>
      </c>
      <c r="Z189" s="25">
        <f t="shared" ref="Z189:Z200" si="171">Y189-X189</f>
        <v>0.50694444444525288</v>
      </c>
      <c r="AA189" s="24">
        <v>45206.850694444445</v>
      </c>
      <c r="AB189" s="24">
        <v>45206.902777777781</v>
      </c>
      <c r="AC189" s="25">
        <f t="shared" si="169"/>
        <v>5.2083333335758653E-2</v>
      </c>
    </row>
    <row r="190" spans="1:29" x14ac:dyDescent="0.25">
      <c r="A190" s="12">
        <v>45200</v>
      </c>
      <c r="B190" s="13">
        <v>225</v>
      </c>
      <c r="C190" s="13">
        <v>7833009</v>
      </c>
      <c r="D190" s="19">
        <v>4908686272</v>
      </c>
      <c r="E190" s="13" t="s">
        <v>1160</v>
      </c>
      <c r="F190" s="20">
        <v>45169</v>
      </c>
      <c r="G190" s="13" t="s">
        <v>1153</v>
      </c>
      <c r="H190" s="13" t="s">
        <v>192</v>
      </c>
      <c r="I190" s="17">
        <v>5211013</v>
      </c>
      <c r="J190" s="17" t="s">
        <v>27</v>
      </c>
      <c r="K190" s="19"/>
      <c r="L190" s="13">
        <v>0</v>
      </c>
      <c r="M190" s="13">
        <v>25</v>
      </c>
      <c r="N190" s="13">
        <v>200</v>
      </c>
      <c r="O190" s="13">
        <f t="shared" ref="O190:O191" si="172">N190*M190</f>
        <v>5000</v>
      </c>
      <c r="P190" s="19" t="s">
        <v>477</v>
      </c>
      <c r="Q190" s="13" t="s">
        <v>159</v>
      </c>
      <c r="R190" s="19" t="s">
        <v>209</v>
      </c>
      <c r="S190" s="13" t="s">
        <v>1162</v>
      </c>
      <c r="T190" s="13">
        <v>14902</v>
      </c>
      <c r="U190" s="20">
        <v>45205</v>
      </c>
      <c r="V190" s="20">
        <v>45206</v>
      </c>
      <c r="W190" s="19"/>
      <c r="X190" s="24">
        <v>45206.395833333336</v>
      </c>
      <c r="Y190" s="24">
        <v>45206.902777777781</v>
      </c>
      <c r="Z190" s="25">
        <f t="shared" si="171"/>
        <v>0.50694444444525288</v>
      </c>
      <c r="AA190" s="24">
        <v>45206.850694444445</v>
      </c>
      <c r="AB190" s="24">
        <v>45206.902777777781</v>
      </c>
      <c r="AC190" s="25">
        <f t="shared" ref="AC190:AC191" si="173">AB190-AA190</f>
        <v>5.2083333335758653E-2</v>
      </c>
    </row>
    <row r="191" spans="1:29" x14ac:dyDescent="0.25">
      <c r="A191" s="12">
        <v>45200</v>
      </c>
      <c r="B191" s="13">
        <v>226</v>
      </c>
      <c r="C191" s="13">
        <v>8017757</v>
      </c>
      <c r="D191" s="19">
        <v>4908686347</v>
      </c>
      <c r="E191" s="13" t="s">
        <v>1163</v>
      </c>
      <c r="F191" s="20">
        <v>45175</v>
      </c>
      <c r="G191" s="13" t="s">
        <v>1164</v>
      </c>
      <c r="H191" s="13" t="s">
        <v>192</v>
      </c>
      <c r="I191" s="17">
        <v>5212252</v>
      </c>
      <c r="J191" s="17" t="s">
        <v>23</v>
      </c>
      <c r="K191" s="19"/>
      <c r="L191" s="13">
        <v>0</v>
      </c>
      <c r="M191" s="13">
        <v>25</v>
      </c>
      <c r="N191" s="13">
        <v>473</v>
      </c>
      <c r="O191" s="13">
        <f t="shared" si="172"/>
        <v>11825</v>
      </c>
      <c r="P191" s="19" t="s">
        <v>477</v>
      </c>
      <c r="Q191" s="13" t="s">
        <v>159</v>
      </c>
      <c r="R191" s="19" t="s">
        <v>209</v>
      </c>
      <c r="S191" s="13" t="s">
        <v>1165</v>
      </c>
      <c r="T191" s="13">
        <v>21316</v>
      </c>
      <c r="U191" s="20">
        <v>45205</v>
      </c>
      <c r="V191" s="20">
        <v>45206</v>
      </c>
      <c r="W191" s="19"/>
      <c r="X191" s="24">
        <v>45206.395833333336</v>
      </c>
      <c r="Y191" s="24">
        <v>45206.951388888891</v>
      </c>
      <c r="Z191" s="25">
        <f t="shared" si="171"/>
        <v>0.55555555555474712</v>
      </c>
      <c r="AA191" s="24">
        <v>45206.916666666664</v>
      </c>
      <c r="AB191" s="24">
        <v>45206.951388888891</v>
      </c>
      <c r="AC191" s="25">
        <f t="shared" si="173"/>
        <v>3.4722222226264421E-2</v>
      </c>
    </row>
    <row r="192" spans="1:29" x14ac:dyDescent="0.25">
      <c r="A192" s="12">
        <v>45200</v>
      </c>
      <c r="B192" s="13">
        <v>226</v>
      </c>
      <c r="C192" s="13">
        <v>8017757</v>
      </c>
      <c r="D192" s="19">
        <v>4908686347</v>
      </c>
      <c r="E192" s="13" t="s">
        <v>1163</v>
      </c>
      <c r="F192" s="20">
        <v>45175</v>
      </c>
      <c r="G192" s="13" t="s">
        <v>373</v>
      </c>
      <c r="H192" s="13" t="s">
        <v>192</v>
      </c>
      <c r="I192" s="17">
        <v>5212252</v>
      </c>
      <c r="J192" s="17" t="s">
        <v>23</v>
      </c>
      <c r="K192" s="19"/>
      <c r="L192" s="13">
        <v>0</v>
      </c>
      <c r="M192" s="13">
        <v>25</v>
      </c>
      <c r="N192" s="13">
        <v>119</v>
      </c>
      <c r="O192" s="13">
        <f t="shared" ref="O192" si="174">N192*M192</f>
        <v>2975</v>
      </c>
      <c r="P192" s="19" t="s">
        <v>477</v>
      </c>
      <c r="Q192" s="13" t="s">
        <v>159</v>
      </c>
      <c r="R192" s="19" t="s">
        <v>209</v>
      </c>
      <c r="S192" s="13" t="s">
        <v>1165</v>
      </c>
      <c r="T192" s="13">
        <v>21316</v>
      </c>
      <c r="U192" s="20">
        <v>45205</v>
      </c>
      <c r="V192" s="20">
        <v>45206</v>
      </c>
      <c r="W192" s="19"/>
      <c r="X192" s="24">
        <v>45206.395833333336</v>
      </c>
      <c r="Y192" s="24">
        <v>45206.951388888891</v>
      </c>
      <c r="Z192" s="25">
        <f t="shared" si="171"/>
        <v>0.55555555555474712</v>
      </c>
      <c r="AA192" s="24">
        <v>45206.916666666664</v>
      </c>
      <c r="AB192" s="24">
        <v>45206.951388888891</v>
      </c>
      <c r="AC192" s="25">
        <f t="shared" ref="AC192" si="175">AB192-AA192</f>
        <v>3.4722222226264421E-2</v>
      </c>
    </row>
    <row r="193" spans="1:29" x14ac:dyDescent="0.25">
      <c r="A193" s="12">
        <v>45200</v>
      </c>
      <c r="B193" s="13">
        <v>226</v>
      </c>
      <c r="C193" s="13">
        <v>8017757</v>
      </c>
      <c r="D193" s="19">
        <v>4908686347</v>
      </c>
      <c r="E193" s="13" t="s">
        <v>1163</v>
      </c>
      <c r="F193" s="20">
        <v>45175</v>
      </c>
      <c r="G193" s="13" t="s">
        <v>1166</v>
      </c>
      <c r="H193" s="13" t="s">
        <v>192</v>
      </c>
      <c r="I193" s="17">
        <v>5212252</v>
      </c>
      <c r="J193" s="17" t="s">
        <v>23</v>
      </c>
      <c r="K193" s="19"/>
      <c r="L193" s="13">
        <v>0</v>
      </c>
      <c r="M193" s="13">
        <v>25</v>
      </c>
      <c r="N193" s="13">
        <v>448</v>
      </c>
      <c r="O193" s="13">
        <f t="shared" ref="O193:O194" si="176">N193*M193</f>
        <v>11200</v>
      </c>
      <c r="P193" s="19" t="s">
        <v>477</v>
      </c>
      <c r="Q193" s="13" t="s">
        <v>159</v>
      </c>
      <c r="R193" s="19" t="s">
        <v>209</v>
      </c>
      <c r="S193" s="13" t="s">
        <v>1165</v>
      </c>
      <c r="T193" s="13">
        <v>21316</v>
      </c>
      <c r="U193" s="20">
        <v>45205</v>
      </c>
      <c r="V193" s="20">
        <v>45206</v>
      </c>
      <c r="W193" s="19"/>
      <c r="X193" s="24">
        <v>45206.395833333336</v>
      </c>
      <c r="Y193" s="24">
        <v>45206.951388888891</v>
      </c>
      <c r="Z193" s="25">
        <f t="shared" si="171"/>
        <v>0.55555555555474712</v>
      </c>
      <c r="AA193" s="24">
        <v>45206.916666666664</v>
      </c>
      <c r="AB193" s="24">
        <v>45206.951388888891</v>
      </c>
      <c r="AC193" s="25">
        <f t="shared" ref="AC193:AC194" si="177">AB193-AA193</f>
        <v>3.4722222226264421E-2</v>
      </c>
    </row>
    <row r="194" spans="1:29" x14ac:dyDescent="0.25">
      <c r="A194" s="12">
        <v>45200</v>
      </c>
      <c r="B194" s="13">
        <v>227</v>
      </c>
      <c r="C194" s="13">
        <v>7833009</v>
      </c>
      <c r="D194" s="19">
        <v>4908686272</v>
      </c>
      <c r="E194" s="13" t="s">
        <v>1160</v>
      </c>
      <c r="F194" s="20">
        <v>45169</v>
      </c>
      <c r="G194" s="13" t="s">
        <v>1152</v>
      </c>
      <c r="H194" s="13" t="s">
        <v>192</v>
      </c>
      <c r="I194" s="17">
        <v>5211013</v>
      </c>
      <c r="J194" s="17" t="s">
        <v>27</v>
      </c>
      <c r="K194" s="19"/>
      <c r="L194" s="13">
        <v>0</v>
      </c>
      <c r="M194" s="13">
        <v>25</v>
      </c>
      <c r="N194" s="13">
        <v>880</v>
      </c>
      <c r="O194" s="13">
        <f t="shared" si="176"/>
        <v>22000</v>
      </c>
      <c r="P194" s="19" t="s">
        <v>477</v>
      </c>
      <c r="Q194" s="13" t="s">
        <v>159</v>
      </c>
      <c r="R194" s="19" t="s">
        <v>209</v>
      </c>
      <c r="S194" s="13" t="s">
        <v>1168</v>
      </c>
      <c r="T194" s="13">
        <v>14901</v>
      </c>
      <c r="U194" s="20">
        <v>45205</v>
      </c>
      <c r="V194" s="20">
        <v>45206</v>
      </c>
      <c r="W194" s="19"/>
      <c r="X194" s="24">
        <v>45206.395833333336</v>
      </c>
      <c r="Y194" s="24">
        <v>45206.986111111109</v>
      </c>
      <c r="Z194" s="25">
        <f t="shared" si="171"/>
        <v>0.59027777777373558</v>
      </c>
      <c r="AA194" s="24">
        <v>45206.9375</v>
      </c>
      <c r="AB194" s="24">
        <v>45206.986111111109</v>
      </c>
      <c r="AC194" s="25">
        <f t="shared" si="177"/>
        <v>4.8611111109494232E-2</v>
      </c>
    </row>
    <row r="195" spans="1:29" x14ac:dyDescent="0.25">
      <c r="A195" s="12">
        <v>45200</v>
      </c>
      <c r="B195" s="13">
        <v>227</v>
      </c>
      <c r="C195" s="13">
        <v>7833009</v>
      </c>
      <c r="D195" s="19">
        <v>4908686272</v>
      </c>
      <c r="E195" s="13" t="s">
        <v>1160</v>
      </c>
      <c r="F195" s="20">
        <v>45169</v>
      </c>
      <c r="G195" s="13" t="s">
        <v>1169</v>
      </c>
      <c r="H195" s="13" t="s">
        <v>192</v>
      </c>
      <c r="I195" s="17">
        <v>5211013</v>
      </c>
      <c r="J195" s="17" t="s">
        <v>27</v>
      </c>
      <c r="K195" s="19"/>
      <c r="L195" s="13">
        <v>0</v>
      </c>
      <c r="M195" s="13">
        <v>25</v>
      </c>
      <c r="N195" s="13">
        <v>160</v>
      </c>
      <c r="O195" s="13">
        <f t="shared" ref="O195:O198" si="178">N195*M195</f>
        <v>4000</v>
      </c>
      <c r="P195" s="19" t="s">
        <v>477</v>
      </c>
      <c r="Q195" s="13" t="s">
        <v>159</v>
      </c>
      <c r="R195" s="19" t="s">
        <v>209</v>
      </c>
      <c r="S195" s="13" t="s">
        <v>1168</v>
      </c>
      <c r="T195" s="13">
        <v>14901</v>
      </c>
      <c r="U195" s="20">
        <v>45205</v>
      </c>
      <c r="V195" s="20">
        <v>45206</v>
      </c>
      <c r="W195" s="19"/>
      <c r="X195" s="24">
        <v>45206.395833333336</v>
      </c>
      <c r="Y195" s="24">
        <v>45206.986111111109</v>
      </c>
      <c r="Z195" s="25">
        <f t="shared" si="171"/>
        <v>0.59027777777373558</v>
      </c>
      <c r="AA195" s="24">
        <v>45206.9375</v>
      </c>
      <c r="AB195" s="24">
        <v>45206.986111111109</v>
      </c>
      <c r="AC195" s="25">
        <f t="shared" ref="AC195:AC200" si="179">AB195-AA195</f>
        <v>4.8611111109494232E-2</v>
      </c>
    </row>
    <row r="196" spans="1:29" x14ac:dyDescent="0.25">
      <c r="A196" s="12">
        <v>45200</v>
      </c>
      <c r="B196" s="13">
        <v>228</v>
      </c>
      <c r="C196" s="13">
        <v>8053602</v>
      </c>
      <c r="D196" s="19">
        <v>4908686275</v>
      </c>
      <c r="E196" s="13" t="s">
        <v>1170</v>
      </c>
      <c r="F196" s="20">
        <v>45173</v>
      </c>
      <c r="G196" s="14" t="s">
        <v>1158</v>
      </c>
      <c r="H196" s="13" t="s">
        <v>132</v>
      </c>
      <c r="I196" s="17">
        <v>5200272</v>
      </c>
      <c r="J196" s="17" t="s">
        <v>1159</v>
      </c>
      <c r="K196" s="19"/>
      <c r="L196" s="13">
        <v>0</v>
      </c>
      <c r="M196" s="13">
        <v>250</v>
      </c>
      <c r="N196" s="13">
        <v>80</v>
      </c>
      <c r="O196" s="13">
        <f t="shared" si="178"/>
        <v>20000</v>
      </c>
      <c r="P196" s="19" t="s">
        <v>477</v>
      </c>
      <c r="Q196" s="13" t="s">
        <v>247</v>
      </c>
      <c r="R196" s="13" t="s">
        <v>997</v>
      </c>
      <c r="S196" s="13" t="s">
        <v>704</v>
      </c>
      <c r="T196" s="13">
        <v>869</v>
      </c>
      <c r="U196" s="20">
        <v>45206</v>
      </c>
      <c r="V196" s="20">
        <v>45208</v>
      </c>
      <c r="W196" s="19"/>
      <c r="X196" s="24">
        <v>45208.395833333336</v>
      </c>
      <c r="Y196" s="24">
        <v>45208.493055555555</v>
      </c>
      <c r="Z196" s="25">
        <f t="shared" si="171"/>
        <v>9.7222222218988463E-2</v>
      </c>
      <c r="AA196" s="24">
        <v>45208.458333333336</v>
      </c>
      <c r="AB196" s="24">
        <v>45208.493055555555</v>
      </c>
      <c r="AC196" s="25">
        <f t="shared" si="179"/>
        <v>3.4722222218988463E-2</v>
      </c>
    </row>
    <row r="197" spans="1:29" x14ac:dyDescent="0.25">
      <c r="A197" s="12">
        <v>45200</v>
      </c>
      <c r="B197" s="13">
        <v>229</v>
      </c>
      <c r="C197" s="13">
        <v>8053602</v>
      </c>
      <c r="D197" s="19">
        <v>4908686275</v>
      </c>
      <c r="E197" s="13" t="s">
        <v>1170</v>
      </c>
      <c r="F197" s="20">
        <v>45173</v>
      </c>
      <c r="G197" s="14" t="s">
        <v>1158</v>
      </c>
      <c r="H197" s="13" t="s">
        <v>132</v>
      </c>
      <c r="I197" s="17">
        <v>5200272</v>
      </c>
      <c r="J197" s="17" t="s">
        <v>1159</v>
      </c>
      <c r="K197" s="19"/>
      <c r="L197" s="13">
        <v>0</v>
      </c>
      <c r="M197" s="13">
        <v>250</v>
      </c>
      <c r="N197" s="13">
        <v>80</v>
      </c>
      <c r="O197" s="13">
        <f t="shared" si="178"/>
        <v>20000</v>
      </c>
      <c r="P197" s="19" t="s">
        <v>477</v>
      </c>
      <c r="Q197" s="13" t="s">
        <v>247</v>
      </c>
      <c r="R197" s="13" t="s">
        <v>997</v>
      </c>
      <c r="S197" s="13" t="s">
        <v>813</v>
      </c>
      <c r="T197" s="13">
        <v>970</v>
      </c>
      <c r="U197" s="20">
        <v>45206</v>
      </c>
      <c r="V197" s="20">
        <v>45208</v>
      </c>
      <c r="W197" s="19"/>
      <c r="X197" s="24">
        <v>45208.395833333336</v>
      </c>
      <c r="Y197" s="24">
        <v>45208.569444444445</v>
      </c>
      <c r="Z197" s="25">
        <f t="shared" si="171"/>
        <v>0.17361111110949423</v>
      </c>
      <c r="AA197" s="24">
        <v>45208.520833333336</v>
      </c>
      <c r="AB197" s="24">
        <v>45208.569444444445</v>
      </c>
      <c r="AC197" s="25">
        <f t="shared" si="179"/>
        <v>4.8611111109494232E-2</v>
      </c>
    </row>
    <row r="198" spans="1:29" x14ac:dyDescent="0.25">
      <c r="A198" s="12">
        <v>45200</v>
      </c>
      <c r="B198" s="13">
        <v>230</v>
      </c>
      <c r="C198" s="13">
        <v>8017757</v>
      </c>
      <c r="D198" s="19">
        <v>4908686347</v>
      </c>
      <c r="E198" s="13" t="s">
        <v>1163</v>
      </c>
      <c r="F198" s="20">
        <v>45175</v>
      </c>
      <c r="G198" s="13" t="s">
        <v>1164</v>
      </c>
      <c r="H198" s="13" t="s">
        <v>192</v>
      </c>
      <c r="I198" s="17">
        <v>5212252</v>
      </c>
      <c r="J198" s="17" t="s">
        <v>23</v>
      </c>
      <c r="K198" s="19"/>
      <c r="L198" s="13">
        <v>0</v>
      </c>
      <c r="M198" s="13">
        <v>25</v>
      </c>
      <c r="N198" s="13">
        <v>1040</v>
      </c>
      <c r="O198" s="13">
        <f t="shared" si="178"/>
        <v>26000</v>
      </c>
      <c r="P198" s="19" t="s">
        <v>477</v>
      </c>
      <c r="Q198" s="13" t="s">
        <v>159</v>
      </c>
      <c r="R198" s="19" t="s">
        <v>209</v>
      </c>
      <c r="S198" s="13" t="s">
        <v>715</v>
      </c>
      <c r="T198" s="13">
        <v>14904</v>
      </c>
      <c r="U198" s="20">
        <v>45206</v>
      </c>
      <c r="V198" s="20">
        <v>45208</v>
      </c>
      <c r="W198" s="19"/>
      <c r="X198" s="24">
        <v>45208.395833333336</v>
      </c>
      <c r="Y198" s="24">
        <v>45208.618055555555</v>
      </c>
      <c r="Z198" s="25">
        <f t="shared" si="171"/>
        <v>0.22222222221898846</v>
      </c>
      <c r="AA198" s="24">
        <v>45208.569444444445</v>
      </c>
      <c r="AB198" s="24">
        <v>45208.618055555555</v>
      </c>
      <c r="AC198" s="25">
        <f t="shared" si="179"/>
        <v>4.8611111109494232E-2</v>
      </c>
    </row>
    <row r="199" spans="1:29" x14ac:dyDescent="0.25">
      <c r="A199" s="12">
        <v>45200</v>
      </c>
      <c r="B199" s="13">
        <v>231</v>
      </c>
      <c r="C199" s="13">
        <v>8053602</v>
      </c>
      <c r="D199" s="19">
        <v>4908686453</v>
      </c>
      <c r="E199" s="13" t="s">
        <v>1170</v>
      </c>
      <c r="F199" s="20">
        <v>45173</v>
      </c>
      <c r="G199" s="14" t="s">
        <v>1158</v>
      </c>
      <c r="H199" s="13" t="s">
        <v>132</v>
      </c>
      <c r="I199" s="17">
        <v>5200272</v>
      </c>
      <c r="J199" s="17" t="s">
        <v>1159</v>
      </c>
      <c r="K199" s="19"/>
      <c r="L199" s="13">
        <v>0</v>
      </c>
      <c r="M199" s="13">
        <v>250</v>
      </c>
      <c r="N199" s="13">
        <v>80</v>
      </c>
      <c r="O199" s="13">
        <f t="shared" ref="O199:O200" si="180">N199*M199</f>
        <v>20000</v>
      </c>
      <c r="P199" s="19" t="s">
        <v>477</v>
      </c>
      <c r="Q199" s="13" t="s">
        <v>247</v>
      </c>
      <c r="R199" s="13" t="s">
        <v>997</v>
      </c>
      <c r="S199" s="13" t="s">
        <v>1171</v>
      </c>
      <c r="T199" s="13">
        <v>971</v>
      </c>
      <c r="U199" s="20">
        <v>45206</v>
      </c>
      <c r="V199" s="20">
        <v>45208</v>
      </c>
      <c r="W199" s="19"/>
      <c r="X199" s="24">
        <v>45208.395833333336</v>
      </c>
      <c r="Y199" s="24">
        <v>45208.833333333336</v>
      </c>
      <c r="Z199" s="25">
        <f t="shared" si="171"/>
        <v>0.4375</v>
      </c>
      <c r="AA199" s="24">
        <v>45208.791666666664</v>
      </c>
      <c r="AB199" s="24">
        <v>45208.833333333336</v>
      </c>
      <c r="AC199" s="25">
        <f t="shared" si="179"/>
        <v>4.1666666671517305E-2</v>
      </c>
    </row>
    <row r="200" spans="1:29" x14ac:dyDescent="0.25">
      <c r="A200" s="12">
        <v>45200</v>
      </c>
      <c r="B200" s="13">
        <v>232</v>
      </c>
      <c r="C200" s="13">
        <v>8054309</v>
      </c>
      <c r="D200" s="19">
        <v>4908703781</v>
      </c>
      <c r="E200" s="13" t="s">
        <v>1182</v>
      </c>
      <c r="F200" s="20">
        <v>45174</v>
      </c>
      <c r="G200" s="13" t="s">
        <v>1149</v>
      </c>
      <c r="H200" s="13" t="s">
        <v>192</v>
      </c>
      <c r="I200" s="17">
        <v>5211013</v>
      </c>
      <c r="J200" s="17" t="s">
        <v>27</v>
      </c>
      <c r="K200" s="19"/>
      <c r="L200" s="13">
        <v>0</v>
      </c>
      <c r="M200" s="13">
        <v>25</v>
      </c>
      <c r="N200" s="13">
        <v>560</v>
      </c>
      <c r="O200" s="13">
        <f t="shared" si="180"/>
        <v>14000</v>
      </c>
      <c r="P200" s="19" t="s">
        <v>477</v>
      </c>
      <c r="Q200" s="13" t="s">
        <v>247</v>
      </c>
      <c r="R200" s="19" t="s">
        <v>209</v>
      </c>
      <c r="S200" s="13" t="s">
        <v>704</v>
      </c>
      <c r="T200" s="13">
        <v>974</v>
      </c>
      <c r="U200" s="20">
        <v>45208</v>
      </c>
      <c r="V200" s="20">
        <v>45209</v>
      </c>
      <c r="W200" s="19"/>
      <c r="X200" s="24">
        <v>45209.381944444445</v>
      </c>
      <c r="Y200" s="24">
        <v>45209.416666666664</v>
      </c>
      <c r="Z200" s="25">
        <f t="shared" si="171"/>
        <v>3.4722222218988463E-2</v>
      </c>
      <c r="AA200" s="24">
        <v>45209.388888888891</v>
      </c>
      <c r="AB200" s="24">
        <v>45209.416666666664</v>
      </c>
      <c r="AC200" s="25">
        <f t="shared" si="179"/>
        <v>2.7777777773735579E-2</v>
      </c>
    </row>
    <row r="201" spans="1:29" x14ac:dyDescent="0.25">
      <c r="A201" s="12">
        <v>45200</v>
      </c>
      <c r="B201" s="13">
        <v>232</v>
      </c>
      <c r="C201" s="13">
        <v>8054309</v>
      </c>
      <c r="D201" s="19">
        <v>4908703781</v>
      </c>
      <c r="E201" s="13" t="s">
        <v>1182</v>
      </c>
      <c r="F201" s="20">
        <v>45174</v>
      </c>
      <c r="G201" s="13" t="s">
        <v>1151</v>
      </c>
      <c r="H201" s="13" t="s">
        <v>192</v>
      </c>
      <c r="I201" s="17">
        <v>5211013</v>
      </c>
      <c r="J201" s="17" t="s">
        <v>27</v>
      </c>
      <c r="K201" s="19"/>
      <c r="L201" s="13">
        <v>0</v>
      </c>
      <c r="M201" s="13">
        <v>25</v>
      </c>
      <c r="N201" s="13">
        <v>280</v>
      </c>
      <c r="O201" s="13">
        <f t="shared" ref="O201:O207" si="181">N201*M201</f>
        <v>7000</v>
      </c>
      <c r="P201" s="19" t="s">
        <v>477</v>
      </c>
      <c r="Q201" s="13" t="s">
        <v>247</v>
      </c>
      <c r="R201" s="19" t="s">
        <v>209</v>
      </c>
      <c r="S201" s="13" t="s">
        <v>704</v>
      </c>
      <c r="T201" s="13">
        <v>974</v>
      </c>
      <c r="U201" s="20">
        <v>45208</v>
      </c>
      <c r="V201" s="20">
        <v>45209</v>
      </c>
      <c r="W201" s="19"/>
      <c r="X201" s="24">
        <v>45209.381944444445</v>
      </c>
      <c r="Y201" s="24">
        <v>45209.416666666664</v>
      </c>
      <c r="Z201" s="25">
        <f t="shared" ref="Z201:Z211" si="182">Y201-X201</f>
        <v>3.4722222218988463E-2</v>
      </c>
      <c r="AA201" s="24">
        <v>45209.388888888891</v>
      </c>
      <c r="AB201" s="24">
        <v>45209.416666666664</v>
      </c>
      <c r="AC201" s="25">
        <f t="shared" ref="AC201:AC211" si="183">AB201-AA201</f>
        <v>2.7777777773735579E-2</v>
      </c>
    </row>
    <row r="202" spans="1:29" x14ac:dyDescent="0.25">
      <c r="A202" s="12">
        <v>45200</v>
      </c>
      <c r="B202" s="13">
        <v>232</v>
      </c>
      <c r="C202" s="13">
        <v>8054309</v>
      </c>
      <c r="D202" s="19">
        <v>4908703781</v>
      </c>
      <c r="E202" s="13" t="s">
        <v>1182</v>
      </c>
      <c r="F202" s="20">
        <v>45174</v>
      </c>
      <c r="G202" s="13" t="s">
        <v>1183</v>
      </c>
      <c r="H202" s="13" t="s">
        <v>192</v>
      </c>
      <c r="I202" s="17">
        <v>5211013</v>
      </c>
      <c r="J202" s="17" t="s">
        <v>27</v>
      </c>
      <c r="K202" s="19"/>
      <c r="L202" s="13">
        <v>0</v>
      </c>
      <c r="M202" s="13">
        <v>25</v>
      </c>
      <c r="N202" s="13">
        <v>200</v>
      </c>
      <c r="O202" s="13">
        <f t="shared" si="181"/>
        <v>5000</v>
      </c>
      <c r="P202" s="19" t="s">
        <v>477</v>
      </c>
      <c r="Q202" s="13" t="s">
        <v>247</v>
      </c>
      <c r="R202" s="19" t="s">
        <v>209</v>
      </c>
      <c r="S202" s="13" t="s">
        <v>704</v>
      </c>
      <c r="T202" s="13">
        <v>974</v>
      </c>
      <c r="U202" s="20">
        <v>45208</v>
      </c>
      <c r="V202" s="20">
        <v>45209</v>
      </c>
      <c r="W202" s="19"/>
      <c r="X202" s="24">
        <v>45209.381944444445</v>
      </c>
      <c r="Y202" s="24">
        <v>45209.416666666664</v>
      </c>
      <c r="Z202" s="25">
        <f t="shared" si="182"/>
        <v>3.4722222218988463E-2</v>
      </c>
      <c r="AA202" s="24">
        <v>45209.388888888891</v>
      </c>
      <c r="AB202" s="24">
        <v>45209.416666666664</v>
      </c>
      <c r="AC202" s="25">
        <f t="shared" si="183"/>
        <v>2.7777777773735579E-2</v>
      </c>
    </row>
    <row r="203" spans="1:29" x14ac:dyDescent="0.25">
      <c r="A203" s="12">
        <v>45200</v>
      </c>
      <c r="B203" s="13">
        <v>233</v>
      </c>
      <c r="C203" s="13">
        <v>8053602</v>
      </c>
      <c r="D203" s="19">
        <v>4908703788</v>
      </c>
      <c r="E203" s="13" t="s">
        <v>1170</v>
      </c>
      <c r="F203" s="20">
        <v>45173</v>
      </c>
      <c r="G203" s="14" t="s">
        <v>1158</v>
      </c>
      <c r="H203" s="13" t="s">
        <v>132</v>
      </c>
      <c r="I203" s="17">
        <v>5200272</v>
      </c>
      <c r="J203" s="17" t="s">
        <v>1159</v>
      </c>
      <c r="K203" s="19"/>
      <c r="L203" s="13">
        <v>0</v>
      </c>
      <c r="M203" s="13">
        <v>250</v>
      </c>
      <c r="N203" s="13">
        <v>80</v>
      </c>
      <c r="O203" s="13">
        <f t="shared" si="181"/>
        <v>20000</v>
      </c>
      <c r="P203" s="19" t="s">
        <v>477</v>
      </c>
      <c r="Q203" s="13" t="s">
        <v>247</v>
      </c>
      <c r="R203" s="13" t="s">
        <v>997</v>
      </c>
      <c r="S203" s="13" t="s">
        <v>431</v>
      </c>
      <c r="T203" s="13">
        <v>973</v>
      </c>
      <c r="U203" s="20">
        <v>45208</v>
      </c>
      <c r="V203" s="20">
        <v>45209</v>
      </c>
      <c r="W203" s="19"/>
      <c r="X203" s="24">
        <v>45209.381944444445</v>
      </c>
      <c r="Y203" s="24">
        <v>45209.472222222219</v>
      </c>
      <c r="Z203" s="25">
        <f t="shared" si="182"/>
        <v>9.0277777773735579E-2</v>
      </c>
      <c r="AA203" s="24">
        <v>45209.385416666664</v>
      </c>
      <c r="AB203" s="24">
        <v>45209.472222222219</v>
      </c>
      <c r="AC203" s="25">
        <f t="shared" si="183"/>
        <v>8.6805555554747116E-2</v>
      </c>
    </row>
    <row r="204" spans="1:29" x14ac:dyDescent="0.25">
      <c r="A204" s="12">
        <v>45200</v>
      </c>
      <c r="B204" s="13">
        <v>234</v>
      </c>
      <c r="C204" s="13">
        <v>8017754</v>
      </c>
      <c r="D204" s="19">
        <v>4908703873</v>
      </c>
      <c r="E204" s="13" t="s">
        <v>1184</v>
      </c>
      <c r="F204" s="20">
        <v>45170</v>
      </c>
      <c r="G204" s="13" t="s">
        <v>1116</v>
      </c>
      <c r="H204" s="13" t="s">
        <v>192</v>
      </c>
      <c r="I204" s="17">
        <v>5212252</v>
      </c>
      <c r="J204" s="17" t="s">
        <v>23</v>
      </c>
      <c r="K204" s="19"/>
      <c r="L204" s="13">
        <v>0</v>
      </c>
      <c r="M204" s="13">
        <v>25</v>
      </c>
      <c r="N204" s="19">
        <v>720</v>
      </c>
      <c r="O204" s="13">
        <f t="shared" si="181"/>
        <v>18000</v>
      </c>
      <c r="P204" s="19" t="s">
        <v>477</v>
      </c>
      <c r="Q204" s="13" t="s">
        <v>159</v>
      </c>
      <c r="R204" s="19" t="s">
        <v>209</v>
      </c>
      <c r="S204" s="13" t="s">
        <v>1185</v>
      </c>
      <c r="T204" s="13">
        <v>14955</v>
      </c>
      <c r="U204" s="20">
        <v>45208</v>
      </c>
      <c r="V204" s="20">
        <v>45209</v>
      </c>
      <c r="W204" s="19"/>
      <c r="X204" s="24">
        <v>45209.381944444445</v>
      </c>
      <c r="Y204" s="24">
        <v>45209.475694444445</v>
      </c>
      <c r="Z204" s="25">
        <f t="shared" si="182"/>
        <v>9.375E-2</v>
      </c>
      <c r="AA204" s="24">
        <v>45209.444444444445</v>
      </c>
      <c r="AB204" s="24">
        <v>45209.475694444445</v>
      </c>
      <c r="AC204" s="25">
        <f t="shared" si="183"/>
        <v>3.125E-2</v>
      </c>
    </row>
    <row r="205" spans="1:29" x14ac:dyDescent="0.25">
      <c r="A205" s="12">
        <v>45200</v>
      </c>
      <c r="B205" s="13">
        <v>234</v>
      </c>
      <c r="C205" s="13">
        <v>8017754</v>
      </c>
      <c r="D205" s="19">
        <v>4908703873</v>
      </c>
      <c r="E205" s="13" t="s">
        <v>1184</v>
      </c>
      <c r="F205" s="20">
        <v>45170</v>
      </c>
      <c r="G205" s="14" t="s">
        <v>1138</v>
      </c>
      <c r="H205" s="13" t="s">
        <v>192</v>
      </c>
      <c r="I205" s="17">
        <v>5212252</v>
      </c>
      <c r="J205" s="17" t="s">
        <v>23</v>
      </c>
      <c r="K205" s="19"/>
      <c r="L205" s="13">
        <v>0</v>
      </c>
      <c r="M205" s="13">
        <v>25</v>
      </c>
      <c r="N205" s="19">
        <v>320</v>
      </c>
      <c r="O205" s="13">
        <f t="shared" ref="O205" si="184">N205*M205</f>
        <v>8000</v>
      </c>
      <c r="P205" s="19" t="s">
        <v>477</v>
      </c>
      <c r="Q205" s="13" t="s">
        <v>159</v>
      </c>
      <c r="R205" s="19" t="s">
        <v>209</v>
      </c>
      <c r="S205" s="13" t="s">
        <v>1185</v>
      </c>
      <c r="T205" s="13">
        <v>14955</v>
      </c>
      <c r="U205" s="20">
        <v>45208</v>
      </c>
      <c r="V205" s="20">
        <v>45209</v>
      </c>
      <c r="W205" s="19"/>
      <c r="X205" s="24">
        <v>45209.381944444445</v>
      </c>
      <c r="Y205" s="24">
        <v>45209.475694444445</v>
      </c>
      <c r="Z205" s="25">
        <f t="shared" ref="Z205" si="185">Y205-X205</f>
        <v>9.375E-2</v>
      </c>
      <c r="AA205" s="24">
        <v>45209.444444444445</v>
      </c>
      <c r="AB205" s="24">
        <v>45209.475694444445</v>
      </c>
      <c r="AC205" s="25">
        <f t="shared" ref="AC205" si="186">AB205-AA205</f>
        <v>3.125E-2</v>
      </c>
    </row>
    <row r="206" spans="1:29" x14ac:dyDescent="0.25">
      <c r="A206" s="12">
        <v>45200</v>
      </c>
      <c r="B206" s="13">
        <v>235</v>
      </c>
      <c r="C206" s="13">
        <v>7954913</v>
      </c>
      <c r="D206" s="19">
        <v>4908704032</v>
      </c>
      <c r="E206" s="13" t="s">
        <v>1186</v>
      </c>
      <c r="F206" s="20">
        <v>45177</v>
      </c>
      <c r="G206" s="14" t="s">
        <v>1187</v>
      </c>
      <c r="H206" s="13" t="s">
        <v>132</v>
      </c>
      <c r="I206" s="17">
        <v>5230831</v>
      </c>
      <c r="J206" s="17" t="s">
        <v>35</v>
      </c>
      <c r="K206" s="19"/>
      <c r="L206" s="13">
        <v>0</v>
      </c>
      <c r="M206" s="13">
        <v>240</v>
      </c>
      <c r="N206" s="13">
        <v>80</v>
      </c>
      <c r="O206" s="13">
        <f t="shared" si="181"/>
        <v>19200</v>
      </c>
      <c r="P206" s="19" t="s">
        <v>477</v>
      </c>
      <c r="Q206" s="13" t="s">
        <v>159</v>
      </c>
      <c r="R206" s="13" t="s">
        <v>997</v>
      </c>
      <c r="S206" s="13" t="s">
        <v>1188</v>
      </c>
      <c r="T206" s="13">
        <v>14953</v>
      </c>
      <c r="U206" s="20">
        <v>45208</v>
      </c>
      <c r="V206" s="20">
        <v>45209</v>
      </c>
      <c r="W206" s="19"/>
      <c r="X206" s="24">
        <v>45209.381944444445</v>
      </c>
      <c r="Y206" s="24">
        <v>45209.958333333336</v>
      </c>
      <c r="Z206" s="25">
        <f t="shared" si="182"/>
        <v>0.57638888889050577</v>
      </c>
      <c r="AA206" s="24">
        <v>45209.451388888891</v>
      </c>
      <c r="AB206" s="24">
        <v>45209.472222222219</v>
      </c>
      <c r="AC206" s="25">
        <f t="shared" si="183"/>
        <v>2.0833333328482695E-2</v>
      </c>
    </row>
    <row r="207" spans="1:29" x14ac:dyDescent="0.25">
      <c r="A207" s="12">
        <v>45200</v>
      </c>
      <c r="B207" s="13">
        <v>236</v>
      </c>
      <c r="C207" s="13">
        <v>8017754</v>
      </c>
      <c r="D207" s="19">
        <v>4908703873</v>
      </c>
      <c r="E207" s="13" t="s">
        <v>1184</v>
      </c>
      <c r="F207" s="20">
        <v>45170</v>
      </c>
      <c r="G207" s="14" t="s">
        <v>1138</v>
      </c>
      <c r="H207" s="13" t="s">
        <v>132</v>
      </c>
      <c r="I207" s="17">
        <v>5212252</v>
      </c>
      <c r="J207" s="17" t="s">
        <v>23</v>
      </c>
      <c r="K207" s="19"/>
      <c r="L207" s="13">
        <v>0</v>
      </c>
      <c r="M207" s="13">
        <v>25</v>
      </c>
      <c r="N207" s="13">
        <v>1040</v>
      </c>
      <c r="O207" s="13">
        <f t="shared" si="181"/>
        <v>26000</v>
      </c>
      <c r="P207" s="19" t="s">
        <v>477</v>
      </c>
      <c r="Q207" s="13" t="s">
        <v>159</v>
      </c>
      <c r="R207" s="13" t="s">
        <v>997</v>
      </c>
      <c r="S207" s="13" t="s">
        <v>715</v>
      </c>
      <c r="T207" s="13">
        <v>14954</v>
      </c>
      <c r="U207" s="20">
        <v>45208</v>
      </c>
      <c r="V207" s="20">
        <v>45209</v>
      </c>
      <c r="W207" s="19"/>
      <c r="X207" s="24">
        <v>45209.381944444445</v>
      </c>
      <c r="Y207" s="24">
        <v>45209.618055555555</v>
      </c>
      <c r="Z207" s="25">
        <f t="shared" si="182"/>
        <v>0.23611111110949423</v>
      </c>
      <c r="AA207" s="24">
        <v>45209.527777777781</v>
      </c>
      <c r="AB207" s="24">
        <v>45209.618055555555</v>
      </c>
      <c r="AC207" s="25">
        <f t="shared" si="183"/>
        <v>9.0277777773735579E-2</v>
      </c>
    </row>
    <row r="208" spans="1:29" x14ac:dyDescent="0.25">
      <c r="A208" s="12">
        <v>45200</v>
      </c>
      <c r="B208" s="13">
        <v>237</v>
      </c>
      <c r="C208" s="13">
        <v>8053602</v>
      </c>
      <c r="D208" s="19">
        <v>4908703788</v>
      </c>
      <c r="E208" s="13" t="s">
        <v>1170</v>
      </c>
      <c r="F208" s="20">
        <v>45173</v>
      </c>
      <c r="G208" s="14" t="s">
        <v>1158</v>
      </c>
      <c r="H208" s="13" t="s">
        <v>132</v>
      </c>
      <c r="I208" s="17">
        <v>5200272</v>
      </c>
      <c r="J208" s="17" t="s">
        <v>1159</v>
      </c>
      <c r="K208" s="19"/>
      <c r="L208" s="13">
        <v>0</v>
      </c>
      <c r="M208" s="13">
        <v>250</v>
      </c>
      <c r="N208" s="13">
        <v>80</v>
      </c>
      <c r="O208" s="13">
        <f t="shared" ref="O208:O211" si="187">N208*M208</f>
        <v>20000</v>
      </c>
      <c r="P208" s="19" t="s">
        <v>477</v>
      </c>
      <c r="Q208" s="13" t="s">
        <v>247</v>
      </c>
      <c r="R208" s="13" t="s">
        <v>997</v>
      </c>
      <c r="S208" s="13" t="s">
        <v>275</v>
      </c>
      <c r="T208" s="13">
        <v>972</v>
      </c>
      <c r="U208" s="20">
        <v>45208</v>
      </c>
      <c r="V208" s="20">
        <v>45209</v>
      </c>
      <c r="W208" s="19"/>
      <c r="X208" s="24">
        <v>45209.381944444445</v>
      </c>
      <c r="Y208" s="24">
        <v>45209.729166666664</v>
      </c>
      <c r="Z208" s="25">
        <f t="shared" si="182"/>
        <v>0.34722222221898846</v>
      </c>
      <c r="AA208" s="24">
        <v>45209.645833333336</v>
      </c>
      <c r="AB208" s="24">
        <v>45209.725694444445</v>
      </c>
      <c r="AC208" s="25">
        <f t="shared" si="183"/>
        <v>7.9861111109494232E-2</v>
      </c>
    </row>
    <row r="209" spans="1:29" x14ac:dyDescent="0.25">
      <c r="A209" s="12">
        <v>45200</v>
      </c>
      <c r="B209" s="13">
        <v>238</v>
      </c>
      <c r="C209" s="13">
        <v>7954913</v>
      </c>
      <c r="D209" s="19">
        <v>4908704032</v>
      </c>
      <c r="E209" s="13" t="s">
        <v>1186</v>
      </c>
      <c r="F209" s="20">
        <v>45177</v>
      </c>
      <c r="G209" s="14" t="s">
        <v>1187</v>
      </c>
      <c r="H209" s="13" t="s">
        <v>132</v>
      </c>
      <c r="I209" s="17">
        <v>5230831</v>
      </c>
      <c r="J209" s="17" t="s">
        <v>35</v>
      </c>
      <c r="K209" s="19"/>
      <c r="L209" s="13">
        <v>0</v>
      </c>
      <c r="M209" s="13">
        <v>240</v>
      </c>
      <c r="N209" s="13">
        <v>80</v>
      </c>
      <c r="O209" s="13">
        <f t="shared" si="187"/>
        <v>19200</v>
      </c>
      <c r="P209" s="19" t="s">
        <v>477</v>
      </c>
      <c r="Q209" s="13" t="s">
        <v>159</v>
      </c>
      <c r="R209" s="13" t="s">
        <v>997</v>
      </c>
      <c r="S209" s="13" t="s">
        <v>1189</v>
      </c>
      <c r="T209" s="13">
        <v>14952</v>
      </c>
      <c r="U209" s="20">
        <v>45208</v>
      </c>
      <c r="V209" s="20">
        <v>45209</v>
      </c>
      <c r="W209" s="19"/>
      <c r="X209" s="24">
        <v>45209.381944444445</v>
      </c>
      <c r="Y209" s="24">
        <v>45209.9375</v>
      </c>
      <c r="Z209" s="25">
        <f t="shared" si="182"/>
        <v>0.55555555555474712</v>
      </c>
      <c r="AA209" s="24">
        <v>45209.892361111109</v>
      </c>
      <c r="AB209" s="24">
        <v>45209.9375</v>
      </c>
      <c r="AC209" s="25">
        <f t="shared" si="183"/>
        <v>4.5138888890505768E-2</v>
      </c>
    </row>
    <row r="210" spans="1:29" x14ac:dyDescent="0.25">
      <c r="A210" s="12">
        <v>45200</v>
      </c>
      <c r="B210" s="13">
        <v>239</v>
      </c>
      <c r="C210" s="13">
        <v>8017751</v>
      </c>
      <c r="D210" s="19">
        <v>4908704071</v>
      </c>
      <c r="E210" s="13" t="s">
        <v>1190</v>
      </c>
      <c r="F210" s="20">
        <v>45176</v>
      </c>
      <c r="G210" s="13" t="s">
        <v>1191</v>
      </c>
      <c r="H210" s="13" t="s">
        <v>192</v>
      </c>
      <c r="I210" s="17">
        <v>5211014</v>
      </c>
      <c r="J210" s="17" t="s">
        <v>38</v>
      </c>
      <c r="K210" s="19"/>
      <c r="L210" s="13">
        <v>0</v>
      </c>
      <c r="M210" s="13">
        <v>25</v>
      </c>
      <c r="N210" s="13">
        <v>1040</v>
      </c>
      <c r="O210" s="13">
        <f t="shared" si="187"/>
        <v>26000</v>
      </c>
      <c r="P210" s="19" t="s">
        <v>477</v>
      </c>
      <c r="Q210" s="13" t="s">
        <v>159</v>
      </c>
      <c r="R210" s="13" t="s">
        <v>997</v>
      </c>
      <c r="S210" s="13" t="s">
        <v>1192</v>
      </c>
      <c r="T210" s="13">
        <v>14961</v>
      </c>
      <c r="U210" s="20">
        <v>45209</v>
      </c>
      <c r="V210" s="20">
        <v>45210</v>
      </c>
      <c r="W210" s="19"/>
      <c r="X210" s="24">
        <v>45210.395833333336</v>
      </c>
      <c r="Y210" s="24">
        <v>45210.444444444445</v>
      </c>
      <c r="Z210" s="25">
        <f t="shared" si="182"/>
        <v>4.8611111109494232E-2</v>
      </c>
      <c r="AA210" s="24">
        <v>45210.416666666664</v>
      </c>
      <c r="AB210" s="24">
        <v>45210.444444444445</v>
      </c>
      <c r="AC210" s="25">
        <f t="shared" si="183"/>
        <v>2.7777777781011537E-2</v>
      </c>
    </row>
    <row r="211" spans="1:29" x14ac:dyDescent="0.25">
      <c r="A211" s="12">
        <v>45200</v>
      </c>
      <c r="B211" s="13">
        <v>240</v>
      </c>
      <c r="C211" s="13">
        <v>7933360</v>
      </c>
      <c r="D211" s="19">
        <v>4908718980</v>
      </c>
      <c r="E211" s="19">
        <v>91522342</v>
      </c>
      <c r="F211" s="20">
        <v>45162</v>
      </c>
      <c r="G211" s="13" t="s">
        <v>1210</v>
      </c>
      <c r="H211" s="13" t="s">
        <v>132</v>
      </c>
      <c r="I211" s="17">
        <v>5309040</v>
      </c>
      <c r="J211" s="17" t="s">
        <v>105</v>
      </c>
      <c r="K211" s="19"/>
      <c r="L211" s="13">
        <v>0</v>
      </c>
      <c r="M211" s="13">
        <v>250</v>
      </c>
      <c r="N211" s="13">
        <v>80</v>
      </c>
      <c r="O211" s="13">
        <f t="shared" si="187"/>
        <v>20000</v>
      </c>
      <c r="P211" s="19" t="s">
        <v>477</v>
      </c>
      <c r="Q211" s="13" t="s">
        <v>159</v>
      </c>
      <c r="R211" s="13" t="s">
        <v>997</v>
      </c>
      <c r="S211" s="13" t="s">
        <v>1205</v>
      </c>
      <c r="T211" s="13">
        <v>14966</v>
      </c>
      <c r="U211" s="20">
        <v>45211</v>
      </c>
      <c r="V211" s="20">
        <v>45212</v>
      </c>
      <c r="W211" s="19"/>
      <c r="X211" s="24">
        <v>45212.368055555555</v>
      </c>
      <c r="Y211" s="24">
        <v>45212.395833333336</v>
      </c>
      <c r="Z211" s="25">
        <f t="shared" si="182"/>
        <v>2.7777777781011537E-2</v>
      </c>
      <c r="AA211" s="24">
        <v>45212.375</v>
      </c>
      <c r="AB211" s="24">
        <v>45212.395833333336</v>
      </c>
      <c r="AC211" s="25">
        <f t="shared" si="183"/>
        <v>2.0833333335758653E-2</v>
      </c>
    </row>
    <row r="212" spans="1:29" x14ac:dyDescent="0.25">
      <c r="A212" s="12">
        <v>45200</v>
      </c>
      <c r="B212" s="13">
        <v>241</v>
      </c>
      <c r="C212" s="13">
        <v>7933360</v>
      </c>
      <c r="D212" s="19">
        <v>4908718980</v>
      </c>
      <c r="E212" s="19">
        <v>91522342</v>
      </c>
      <c r="F212" s="20">
        <v>45162</v>
      </c>
      <c r="G212" s="13" t="s">
        <v>1204</v>
      </c>
      <c r="H212" s="13" t="s">
        <v>132</v>
      </c>
      <c r="I212" s="17">
        <v>5309040</v>
      </c>
      <c r="J212" s="17" t="s">
        <v>105</v>
      </c>
      <c r="K212" s="19"/>
      <c r="L212" s="13">
        <v>0</v>
      </c>
      <c r="M212" s="13">
        <v>250</v>
      </c>
      <c r="N212" s="13">
        <v>80</v>
      </c>
      <c r="O212" s="13">
        <f t="shared" ref="O212:O216" si="188">N212*M212</f>
        <v>20000</v>
      </c>
      <c r="P212" s="19" t="s">
        <v>477</v>
      </c>
      <c r="Q212" s="13" t="s">
        <v>159</v>
      </c>
      <c r="R212" s="13" t="s">
        <v>997</v>
      </c>
      <c r="S212" s="13" t="s">
        <v>1206</v>
      </c>
      <c r="T212" s="13">
        <v>14967</v>
      </c>
      <c r="U212" s="20">
        <v>45211</v>
      </c>
      <c r="V212" s="20">
        <v>45212</v>
      </c>
      <c r="W212" s="19"/>
      <c r="X212" s="24">
        <v>45212.368055555555</v>
      </c>
      <c r="Y212" s="24">
        <v>45212.416666666664</v>
      </c>
      <c r="Z212" s="25">
        <f t="shared" ref="Z212:Z213" si="189">Y212-X212</f>
        <v>4.8611111109494232E-2</v>
      </c>
      <c r="AA212" s="24">
        <v>45212.375</v>
      </c>
      <c r="AB212" s="24">
        <v>45212.416666666664</v>
      </c>
      <c r="AC212" s="25">
        <f t="shared" ref="AC212:AC213" si="190">AB212-AA212</f>
        <v>4.1666666664241347E-2</v>
      </c>
    </row>
    <row r="213" spans="1:29" x14ac:dyDescent="0.25">
      <c r="A213" s="12">
        <v>45200</v>
      </c>
      <c r="B213" s="13">
        <v>242</v>
      </c>
      <c r="C213" s="13">
        <v>7933360</v>
      </c>
      <c r="D213" s="19">
        <v>4908718980</v>
      </c>
      <c r="E213" s="19">
        <v>91522342</v>
      </c>
      <c r="F213" s="20">
        <v>45162</v>
      </c>
      <c r="G213" s="13" t="s">
        <v>1210</v>
      </c>
      <c r="H213" s="13" t="s">
        <v>132</v>
      </c>
      <c r="I213" s="17">
        <v>5309040</v>
      </c>
      <c r="J213" s="17" t="s">
        <v>105</v>
      </c>
      <c r="K213" s="19"/>
      <c r="L213" s="13">
        <v>0</v>
      </c>
      <c r="M213" s="13">
        <v>250</v>
      </c>
      <c r="N213" s="13">
        <v>80</v>
      </c>
      <c r="O213" s="13">
        <f t="shared" si="188"/>
        <v>20000</v>
      </c>
      <c r="P213" s="19" t="s">
        <v>477</v>
      </c>
      <c r="Q213" s="13" t="s">
        <v>159</v>
      </c>
      <c r="R213" s="13" t="s">
        <v>997</v>
      </c>
      <c r="S213" s="13" t="s">
        <v>1207</v>
      </c>
      <c r="T213" s="13">
        <v>14968</v>
      </c>
      <c r="U213" s="20">
        <v>45211</v>
      </c>
      <c r="V213" s="20">
        <v>45212</v>
      </c>
      <c r="W213" s="19"/>
      <c r="X213" s="24">
        <v>45212.368055555555</v>
      </c>
      <c r="Y213" s="24">
        <v>45212.4375</v>
      </c>
      <c r="Z213" s="25">
        <f t="shared" si="189"/>
        <v>6.9444444445252884E-2</v>
      </c>
      <c r="AA213" s="24">
        <v>45212.416666666664</v>
      </c>
      <c r="AB213" s="24">
        <v>45212.4375</v>
      </c>
      <c r="AC213" s="25">
        <f t="shared" si="190"/>
        <v>2.0833333335758653E-2</v>
      </c>
    </row>
    <row r="214" spans="1:29" x14ac:dyDescent="0.25">
      <c r="A214" s="12">
        <v>45200</v>
      </c>
      <c r="B214" s="13">
        <v>243</v>
      </c>
      <c r="C214" s="13">
        <v>7933360</v>
      </c>
      <c r="D214" s="19">
        <v>4908718980</v>
      </c>
      <c r="E214" s="19">
        <v>91522342</v>
      </c>
      <c r="F214" s="20">
        <v>45162</v>
      </c>
      <c r="G214" s="13" t="s">
        <v>1213</v>
      </c>
      <c r="H214" s="13" t="s">
        <v>132</v>
      </c>
      <c r="I214" s="17">
        <v>5309040</v>
      </c>
      <c r="J214" s="17" t="s">
        <v>105</v>
      </c>
      <c r="K214" s="19"/>
      <c r="L214" s="13">
        <v>0</v>
      </c>
      <c r="M214" s="13">
        <v>250</v>
      </c>
      <c r="N214" s="13">
        <v>12</v>
      </c>
      <c r="O214" s="13">
        <f t="shared" si="188"/>
        <v>3000</v>
      </c>
      <c r="P214" s="19" t="s">
        <v>477</v>
      </c>
      <c r="Q214" s="13" t="s">
        <v>159</v>
      </c>
      <c r="R214" s="13" t="s">
        <v>997</v>
      </c>
      <c r="S214" s="13" t="s">
        <v>1208</v>
      </c>
      <c r="T214" s="13">
        <v>14970</v>
      </c>
      <c r="U214" s="20">
        <v>45211</v>
      </c>
      <c r="V214" s="20">
        <v>45212</v>
      </c>
      <c r="W214" s="19"/>
      <c r="X214" s="24">
        <v>45212.368055555555</v>
      </c>
      <c r="Y214" s="24">
        <v>45212.458333333336</v>
      </c>
      <c r="Z214" s="25">
        <f t="shared" ref="Z214:Z216" si="191">Y214-X214</f>
        <v>9.0277777781011537E-2</v>
      </c>
      <c r="AA214" s="24">
        <v>45212.4375</v>
      </c>
      <c r="AB214" s="24">
        <v>45212.458333333336</v>
      </c>
      <c r="AC214" s="25">
        <f t="shared" ref="AC214:AC216" si="192">AB214-AA214</f>
        <v>2.0833333335758653E-2</v>
      </c>
    </row>
    <row r="215" spans="1:29" x14ac:dyDescent="0.25">
      <c r="A215" s="12">
        <v>45200</v>
      </c>
      <c r="B215" s="13">
        <v>243</v>
      </c>
      <c r="C215" s="13">
        <v>7933360</v>
      </c>
      <c r="D215" s="19">
        <v>4908718980</v>
      </c>
      <c r="E215" s="19">
        <v>91522342</v>
      </c>
      <c r="F215" s="20">
        <v>45162</v>
      </c>
      <c r="G215" s="13" t="s">
        <v>1210</v>
      </c>
      <c r="H215" s="13" t="s">
        <v>132</v>
      </c>
      <c r="I215" s="17">
        <v>5309040</v>
      </c>
      <c r="J215" s="17" t="s">
        <v>105</v>
      </c>
      <c r="K215" s="19"/>
      <c r="L215" s="13">
        <v>0</v>
      </c>
      <c r="M215" s="13">
        <v>250</v>
      </c>
      <c r="N215" s="13">
        <v>68</v>
      </c>
      <c r="O215" s="13">
        <f t="shared" ref="O215" si="193">N215*M215</f>
        <v>17000</v>
      </c>
      <c r="P215" s="19" t="s">
        <v>477</v>
      </c>
      <c r="Q215" s="13" t="s">
        <v>159</v>
      </c>
      <c r="R215" s="13" t="s">
        <v>997</v>
      </c>
      <c r="S215" s="13" t="s">
        <v>1208</v>
      </c>
      <c r="T215" s="13">
        <v>14970</v>
      </c>
      <c r="U215" s="20">
        <v>45211</v>
      </c>
      <c r="V215" s="20">
        <v>45212</v>
      </c>
      <c r="W215" s="19"/>
      <c r="X215" s="24">
        <v>45212.368055555555</v>
      </c>
      <c r="Y215" s="24">
        <v>45212.458333333336</v>
      </c>
      <c r="Z215" s="25">
        <f t="shared" ref="Z215" si="194">Y215-X215</f>
        <v>9.0277777781011537E-2</v>
      </c>
      <c r="AA215" s="24">
        <v>45212.4375</v>
      </c>
      <c r="AB215" s="24">
        <v>45212.458333333336</v>
      </c>
      <c r="AC215" s="25">
        <f t="shared" ref="AC215" si="195">AB215-AA215</f>
        <v>2.0833333335758653E-2</v>
      </c>
    </row>
    <row r="216" spans="1:29" x14ac:dyDescent="0.25">
      <c r="A216" s="12">
        <v>45200</v>
      </c>
      <c r="B216" s="13">
        <v>244</v>
      </c>
      <c r="C216" s="13">
        <v>7933360</v>
      </c>
      <c r="D216" s="19">
        <v>4908718980</v>
      </c>
      <c r="E216" s="19">
        <v>91522342</v>
      </c>
      <c r="F216" s="20">
        <v>45162</v>
      </c>
      <c r="G216" s="13" t="s">
        <v>1212</v>
      </c>
      <c r="H216" s="13" t="s">
        <v>132</v>
      </c>
      <c r="I216" s="17">
        <v>5309040</v>
      </c>
      <c r="J216" s="17" t="s">
        <v>105</v>
      </c>
      <c r="K216" s="19"/>
      <c r="L216" s="13">
        <v>0</v>
      </c>
      <c r="M216" s="13">
        <v>250</v>
      </c>
      <c r="N216" s="13">
        <v>20</v>
      </c>
      <c r="O216" s="13">
        <f t="shared" si="188"/>
        <v>5000</v>
      </c>
      <c r="P216" s="19" t="s">
        <v>477</v>
      </c>
      <c r="Q216" s="13" t="s">
        <v>159</v>
      </c>
      <c r="R216" s="13" t="s">
        <v>997</v>
      </c>
      <c r="S216" s="13" t="s">
        <v>1209</v>
      </c>
      <c r="T216" s="13">
        <v>14969</v>
      </c>
      <c r="U216" s="20">
        <v>45211</v>
      </c>
      <c r="V216" s="20">
        <v>45212</v>
      </c>
      <c r="W216" s="19"/>
      <c r="X216" s="24">
        <v>45212.368055555555</v>
      </c>
      <c r="Y216" s="24">
        <v>45212.493055555555</v>
      </c>
      <c r="Z216" s="25">
        <f t="shared" si="191"/>
        <v>0.125</v>
      </c>
      <c r="AA216" s="24">
        <v>45212.465277777781</v>
      </c>
      <c r="AB216" s="24">
        <v>45212.493055555555</v>
      </c>
      <c r="AC216" s="25">
        <f t="shared" si="192"/>
        <v>2.7777777773735579E-2</v>
      </c>
    </row>
    <row r="217" spans="1:29" x14ac:dyDescent="0.25">
      <c r="A217" s="12">
        <v>45200</v>
      </c>
      <c r="B217" s="13">
        <v>244</v>
      </c>
      <c r="C217" s="13">
        <v>7933360</v>
      </c>
      <c r="D217" s="19">
        <v>4908718980</v>
      </c>
      <c r="E217" s="19">
        <v>91522342</v>
      </c>
      <c r="F217" s="20">
        <v>45162</v>
      </c>
      <c r="G217" s="13" t="s">
        <v>1210</v>
      </c>
      <c r="H217" s="13" t="s">
        <v>132</v>
      </c>
      <c r="I217" s="17">
        <v>5309040</v>
      </c>
      <c r="J217" s="17" t="s">
        <v>105</v>
      </c>
      <c r="K217" s="19"/>
      <c r="L217" s="13">
        <v>0</v>
      </c>
      <c r="M217" s="13">
        <v>250</v>
      </c>
      <c r="N217" s="13">
        <v>60</v>
      </c>
      <c r="O217" s="13">
        <f t="shared" ref="O217:O218" si="196">N217*M217</f>
        <v>15000</v>
      </c>
      <c r="P217" s="19" t="s">
        <v>477</v>
      </c>
      <c r="Q217" s="13" t="s">
        <v>159</v>
      </c>
      <c r="R217" s="13" t="s">
        <v>997</v>
      </c>
      <c r="S217" s="13" t="s">
        <v>1209</v>
      </c>
      <c r="T217" s="13">
        <v>14969</v>
      </c>
      <c r="U217" s="20">
        <v>45211</v>
      </c>
      <c r="V217" s="20">
        <v>45212</v>
      </c>
      <c r="W217" s="19"/>
      <c r="X217" s="24">
        <v>45212.368055555555</v>
      </c>
      <c r="Y217" s="24">
        <v>45212.493055555555</v>
      </c>
      <c r="Z217" s="25">
        <f t="shared" ref="Z217:Z218" si="197">Y217-X217</f>
        <v>0.125</v>
      </c>
      <c r="AA217" s="24">
        <v>45212.465277777781</v>
      </c>
      <c r="AB217" s="24">
        <v>45212.493055555555</v>
      </c>
      <c r="AC217" s="25">
        <f t="shared" ref="AC217:AC218" si="198">AB217-AA217</f>
        <v>2.7777777773735579E-2</v>
      </c>
    </row>
    <row r="218" spans="1:29" x14ac:dyDescent="0.25">
      <c r="A218" s="12">
        <v>45200</v>
      </c>
      <c r="B218" s="13">
        <v>245</v>
      </c>
      <c r="C218" s="13">
        <v>8108078</v>
      </c>
      <c r="D218" s="19">
        <v>4908736499</v>
      </c>
      <c r="E218" s="13" t="s">
        <v>1218</v>
      </c>
      <c r="F218" s="20">
        <v>45176</v>
      </c>
      <c r="G218" s="13" t="s">
        <v>1219</v>
      </c>
      <c r="H218" s="13" t="s">
        <v>192</v>
      </c>
      <c r="I218" s="17">
        <v>5212252</v>
      </c>
      <c r="J218" s="17" t="s">
        <v>23</v>
      </c>
      <c r="K218" s="19"/>
      <c r="L218" s="13">
        <v>0</v>
      </c>
      <c r="M218" s="13">
        <v>25</v>
      </c>
      <c r="N218" s="13">
        <v>1040</v>
      </c>
      <c r="O218" s="13">
        <f t="shared" si="196"/>
        <v>26000</v>
      </c>
      <c r="P218" s="19" t="s">
        <v>477</v>
      </c>
      <c r="Q218" s="13" t="s">
        <v>247</v>
      </c>
      <c r="R218" s="19" t="s">
        <v>209</v>
      </c>
      <c r="S218" s="13" t="s">
        <v>1220</v>
      </c>
      <c r="T218" s="13">
        <v>975</v>
      </c>
      <c r="U218" s="20">
        <v>45212</v>
      </c>
      <c r="V218" s="20">
        <v>45213</v>
      </c>
      <c r="W218" s="19"/>
      <c r="X218" s="24">
        <v>45213.3125</v>
      </c>
      <c r="Y218" s="24">
        <v>45213.354166666664</v>
      </c>
      <c r="Z218" s="25">
        <f t="shared" si="197"/>
        <v>4.1666666664241347E-2</v>
      </c>
      <c r="AA218" s="24">
        <v>45213.326388888891</v>
      </c>
      <c r="AB218" s="24">
        <v>45213.354166666664</v>
      </c>
      <c r="AC218" s="25">
        <f t="shared" si="198"/>
        <v>2.7777777773735579E-2</v>
      </c>
    </row>
    <row r="219" spans="1:29" x14ac:dyDescent="0.25">
      <c r="A219" s="12">
        <v>45200</v>
      </c>
      <c r="B219" s="13">
        <v>246</v>
      </c>
      <c r="C219" s="13">
        <v>8108078</v>
      </c>
      <c r="D219" s="19">
        <v>4908736499</v>
      </c>
      <c r="E219" s="13" t="s">
        <v>1218</v>
      </c>
      <c r="F219" s="20">
        <v>45176</v>
      </c>
      <c r="G219" s="13" t="s">
        <v>1219</v>
      </c>
      <c r="H219" s="13" t="s">
        <v>192</v>
      </c>
      <c r="I219" s="17">
        <v>5212252</v>
      </c>
      <c r="J219" s="17" t="s">
        <v>23</v>
      </c>
      <c r="K219" s="19"/>
      <c r="L219" s="13">
        <v>0</v>
      </c>
      <c r="M219" s="13">
        <v>25</v>
      </c>
      <c r="N219" s="13">
        <v>288</v>
      </c>
      <c r="O219" s="13">
        <f t="shared" ref="O219" si="199">N219*M219</f>
        <v>7200</v>
      </c>
      <c r="P219" s="19" t="s">
        <v>477</v>
      </c>
      <c r="Q219" s="13" t="s">
        <v>247</v>
      </c>
      <c r="R219" s="19" t="s">
        <v>209</v>
      </c>
      <c r="S219" s="13" t="s">
        <v>1221</v>
      </c>
      <c r="T219" s="13">
        <v>976</v>
      </c>
      <c r="U219" s="20">
        <v>45212</v>
      </c>
      <c r="V219" s="20">
        <v>45213</v>
      </c>
      <c r="W219" s="19"/>
      <c r="X219" s="24">
        <v>45213.3125</v>
      </c>
      <c r="Y219" s="24">
        <v>45213.395833333336</v>
      </c>
      <c r="Z219" s="25">
        <f t="shared" ref="Z219" si="200">Y219-X219</f>
        <v>8.3333333335758653E-2</v>
      </c>
      <c r="AA219" s="24">
        <v>45213.361111111109</v>
      </c>
      <c r="AB219" s="24">
        <v>45213.395833333336</v>
      </c>
      <c r="AC219" s="25">
        <f t="shared" ref="AC219" si="201">AB219-AA219</f>
        <v>3.4722222226264421E-2</v>
      </c>
    </row>
    <row r="220" spans="1:29" x14ac:dyDescent="0.25">
      <c r="A220" s="12">
        <v>45200</v>
      </c>
      <c r="B220" s="13">
        <v>246</v>
      </c>
      <c r="C220" s="13">
        <v>8108078</v>
      </c>
      <c r="D220" s="19">
        <v>4908736499</v>
      </c>
      <c r="E220" s="13" t="s">
        <v>1218</v>
      </c>
      <c r="F220" s="20">
        <v>45176</v>
      </c>
      <c r="G220" s="13" t="s">
        <v>1166</v>
      </c>
      <c r="H220" s="13" t="s">
        <v>192</v>
      </c>
      <c r="I220" s="17">
        <v>5212252</v>
      </c>
      <c r="J220" s="17" t="s">
        <v>23</v>
      </c>
      <c r="K220" s="19"/>
      <c r="L220" s="13">
        <v>0</v>
      </c>
      <c r="M220" s="13">
        <v>25</v>
      </c>
      <c r="N220" s="13">
        <v>752</v>
      </c>
      <c r="O220" s="13">
        <f t="shared" ref="O220:O221" si="202">N220*M220</f>
        <v>18800</v>
      </c>
      <c r="P220" s="19" t="s">
        <v>477</v>
      </c>
      <c r="Q220" s="13" t="s">
        <v>247</v>
      </c>
      <c r="R220" s="19" t="s">
        <v>209</v>
      </c>
      <c r="S220" s="13" t="s">
        <v>1221</v>
      </c>
      <c r="T220" s="13">
        <v>976</v>
      </c>
      <c r="U220" s="20">
        <v>45212</v>
      </c>
      <c r="V220" s="20">
        <v>45213</v>
      </c>
      <c r="W220" s="19"/>
      <c r="X220" s="24">
        <v>45213.3125</v>
      </c>
      <c r="Y220" s="24">
        <v>45213.395833333336</v>
      </c>
      <c r="Z220" s="25">
        <f t="shared" ref="Z220:Z221" si="203">Y220-X220</f>
        <v>8.3333333335758653E-2</v>
      </c>
      <c r="AA220" s="24">
        <v>45213.361111111109</v>
      </c>
      <c r="AB220" s="24">
        <v>45213.395833333336</v>
      </c>
      <c r="AC220" s="25">
        <f t="shared" ref="AC220:AC221" si="204">AB220-AA220</f>
        <v>3.4722222226264421E-2</v>
      </c>
    </row>
    <row r="221" spans="1:29" x14ac:dyDescent="0.25">
      <c r="A221" s="12">
        <v>45200</v>
      </c>
      <c r="B221" s="13">
        <v>247</v>
      </c>
      <c r="C221" s="13">
        <v>8108081</v>
      </c>
      <c r="D221" s="19">
        <v>4908736530</v>
      </c>
      <c r="E221" s="13" t="s">
        <v>1222</v>
      </c>
      <c r="F221" s="20">
        <v>45173</v>
      </c>
      <c r="G221" s="14" t="s">
        <v>1158</v>
      </c>
      <c r="H221" s="13" t="s">
        <v>132</v>
      </c>
      <c r="I221" s="17">
        <v>5200272</v>
      </c>
      <c r="J221" s="17" t="s">
        <v>1159</v>
      </c>
      <c r="K221" s="19"/>
      <c r="L221" s="13">
        <v>0</v>
      </c>
      <c r="M221" s="13">
        <v>250</v>
      </c>
      <c r="N221" s="13">
        <v>80</v>
      </c>
      <c r="O221" s="13">
        <f t="shared" si="202"/>
        <v>20000</v>
      </c>
      <c r="P221" s="19" t="s">
        <v>477</v>
      </c>
      <c r="Q221" s="13" t="s">
        <v>247</v>
      </c>
      <c r="R221" s="13" t="s">
        <v>997</v>
      </c>
      <c r="S221" s="13" t="s">
        <v>275</v>
      </c>
      <c r="T221" s="13">
        <v>978</v>
      </c>
      <c r="U221" s="20">
        <v>45212</v>
      </c>
      <c r="V221" s="20">
        <v>45213</v>
      </c>
      <c r="W221" s="19"/>
      <c r="X221" s="24">
        <v>45213.375</v>
      </c>
      <c r="Y221" s="24">
        <v>45213.569444444445</v>
      </c>
      <c r="Z221" s="25">
        <f t="shared" si="203"/>
        <v>0.19444444444525288</v>
      </c>
      <c r="AA221" s="24">
        <v>45213.506944444445</v>
      </c>
      <c r="AB221" s="24">
        <v>45213.569444444445</v>
      </c>
      <c r="AC221" s="25">
        <f t="shared" si="204"/>
        <v>6.25E-2</v>
      </c>
    </row>
    <row r="222" spans="1:29" x14ac:dyDescent="0.25">
      <c r="A222" s="12">
        <v>45200</v>
      </c>
      <c r="B222" s="13">
        <v>248</v>
      </c>
      <c r="C222" s="13">
        <v>8108081</v>
      </c>
      <c r="D222" s="19">
        <v>4908736530</v>
      </c>
      <c r="E222" s="13" t="s">
        <v>1222</v>
      </c>
      <c r="F222" s="20">
        <v>45173</v>
      </c>
      <c r="G222" s="14" t="s">
        <v>1158</v>
      </c>
      <c r="H222" s="13" t="s">
        <v>132</v>
      </c>
      <c r="I222" s="17">
        <v>5200272</v>
      </c>
      <c r="J222" s="17" t="s">
        <v>1159</v>
      </c>
      <c r="K222" s="19"/>
      <c r="L222" s="13">
        <v>0</v>
      </c>
      <c r="M222" s="13">
        <v>250</v>
      </c>
      <c r="N222" s="13">
        <v>80</v>
      </c>
      <c r="O222" s="13">
        <f t="shared" ref="O222:O223" si="205">N222*M222</f>
        <v>20000</v>
      </c>
      <c r="P222" s="19" t="s">
        <v>477</v>
      </c>
      <c r="Q222" s="13" t="s">
        <v>247</v>
      </c>
      <c r="R222" s="13" t="s">
        <v>997</v>
      </c>
      <c r="S222" s="13" t="s">
        <v>813</v>
      </c>
      <c r="T222" s="13">
        <v>979</v>
      </c>
      <c r="U222" s="20">
        <v>45212</v>
      </c>
      <c r="V222" s="20">
        <v>45213</v>
      </c>
      <c r="W222" s="19"/>
      <c r="X222" s="24">
        <v>45213.375</v>
      </c>
      <c r="Y222" s="24">
        <v>45213.486111111109</v>
      </c>
      <c r="Z222" s="25">
        <f t="shared" ref="Z222:Z223" si="206">Y222-X222</f>
        <v>0.11111111110949423</v>
      </c>
      <c r="AA222" s="24">
        <v>45213.416666666664</v>
      </c>
      <c r="AB222" s="24">
        <v>45213.486111111109</v>
      </c>
      <c r="AC222" s="25">
        <f t="shared" ref="AC222:AC223" si="207">AB222-AA222</f>
        <v>6.9444444445252884E-2</v>
      </c>
    </row>
    <row r="223" spans="1:29" x14ac:dyDescent="0.25">
      <c r="A223" s="12">
        <v>45200</v>
      </c>
      <c r="B223" s="13">
        <v>249</v>
      </c>
      <c r="C223" s="13">
        <v>8262234</v>
      </c>
      <c r="D223" s="19">
        <v>4908823802</v>
      </c>
      <c r="E223" s="13" t="s">
        <v>1231</v>
      </c>
      <c r="F223" s="20">
        <v>45190</v>
      </c>
      <c r="G223" s="14" t="s">
        <v>1232</v>
      </c>
      <c r="H223" s="13" t="s">
        <v>132</v>
      </c>
      <c r="I223" s="17">
        <v>5230831</v>
      </c>
      <c r="J223" s="17" t="s">
        <v>35</v>
      </c>
      <c r="K223" s="19"/>
      <c r="L223" s="13">
        <v>0</v>
      </c>
      <c r="M223" s="13">
        <v>240</v>
      </c>
      <c r="N223" s="13">
        <v>80</v>
      </c>
      <c r="O223" s="13">
        <f t="shared" si="205"/>
        <v>19200</v>
      </c>
      <c r="P223" s="19" t="s">
        <v>477</v>
      </c>
      <c r="Q223" s="13" t="s">
        <v>771</v>
      </c>
      <c r="R223" s="13" t="s">
        <v>997</v>
      </c>
      <c r="S223" s="13" t="s">
        <v>1103</v>
      </c>
      <c r="T223" s="13">
        <v>683</v>
      </c>
      <c r="U223" s="20">
        <v>45215</v>
      </c>
      <c r="V223" s="20">
        <v>45216</v>
      </c>
      <c r="W223" s="19"/>
      <c r="X223" s="24">
        <v>45216.375</v>
      </c>
      <c r="Y223" s="24">
        <v>45216.486111111109</v>
      </c>
      <c r="Z223" s="25">
        <f t="shared" si="206"/>
        <v>0.11111111110949423</v>
      </c>
      <c r="AA223" s="24">
        <v>45216.416666666664</v>
      </c>
      <c r="AB223" s="24">
        <v>45216.486111111109</v>
      </c>
      <c r="AC223" s="25">
        <f t="shared" si="207"/>
        <v>6.9444444445252884E-2</v>
      </c>
    </row>
    <row r="224" spans="1:29" x14ac:dyDescent="0.25">
      <c r="A224" s="12">
        <v>45200</v>
      </c>
      <c r="B224" s="13">
        <v>250</v>
      </c>
      <c r="C224" s="13">
        <v>8262234</v>
      </c>
      <c r="D224" s="19">
        <v>4908823802</v>
      </c>
      <c r="E224" s="13" t="s">
        <v>1231</v>
      </c>
      <c r="F224" s="20">
        <v>45190</v>
      </c>
      <c r="G224" s="14" t="s">
        <v>1232</v>
      </c>
      <c r="H224" s="13" t="s">
        <v>132</v>
      </c>
      <c r="I224" s="17">
        <v>5230831</v>
      </c>
      <c r="J224" s="17" t="s">
        <v>35</v>
      </c>
      <c r="K224" s="19"/>
      <c r="L224" s="13">
        <v>0</v>
      </c>
      <c r="M224" s="13">
        <v>240</v>
      </c>
      <c r="N224" s="13">
        <v>80</v>
      </c>
      <c r="O224" s="13">
        <f t="shared" ref="O224:O227" si="208">N224*M224</f>
        <v>19200</v>
      </c>
      <c r="P224" s="19" t="s">
        <v>477</v>
      </c>
      <c r="Q224" s="13" t="s">
        <v>771</v>
      </c>
      <c r="R224" s="13" t="s">
        <v>997</v>
      </c>
      <c r="S224" s="13" t="s">
        <v>1233</v>
      </c>
      <c r="T224" s="13">
        <v>669</v>
      </c>
      <c r="U224" s="20">
        <v>45215</v>
      </c>
      <c r="V224" s="20">
        <v>45216</v>
      </c>
      <c r="W224" s="19"/>
      <c r="X224" s="24">
        <v>45216.375</v>
      </c>
      <c r="Y224" s="24">
        <v>45216.666666666664</v>
      </c>
      <c r="Z224" s="25">
        <f t="shared" ref="Z224:Z227" si="209">Y224-X224</f>
        <v>0.29166666666424135</v>
      </c>
      <c r="AA224" s="24">
        <v>45216.625</v>
      </c>
      <c r="AB224" s="24">
        <v>45216.666666666664</v>
      </c>
      <c r="AC224" s="25">
        <f t="shared" ref="AC224:AC227" si="210">AB224-AA224</f>
        <v>4.1666666664241347E-2</v>
      </c>
    </row>
    <row r="225" spans="1:29" x14ac:dyDescent="0.25">
      <c r="A225" s="12">
        <v>45200</v>
      </c>
      <c r="B225" s="13">
        <v>251</v>
      </c>
      <c r="C225" s="13">
        <v>8262234</v>
      </c>
      <c r="D225" s="19">
        <v>4908823802</v>
      </c>
      <c r="E225" s="13" t="s">
        <v>1231</v>
      </c>
      <c r="F225" s="20">
        <v>45190</v>
      </c>
      <c r="G225" s="14" t="s">
        <v>1232</v>
      </c>
      <c r="H225" s="13" t="s">
        <v>132</v>
      </c>
      <c r="I225" s="17">
        <v>5230831</v>
      </c>
      <c r="J225" s="17" t="s">
        <v>35</v>
      </c>
      <c r="K225" s="19"/>
      <c r="L225" s="13">
        <v>0</v>
      </c>
      <c r="M225" s="13">
        <v>240</v>
      </c>
      <c r="N225" s="13">
        <v>80</v>
      </c>
      <c r="O225" s="13">
        <f t="shared" si="208"/>
        <v>19200</v>
      </c>
      <c r="P225" s="19" t="s">
        <v>477</v>
      </c>
      <c r="Q225" s="13" t="s">
        <v>771</v>
      </c>
      <c r="R225" s="13" t="s">
        <v>997</v>
      </c>
      <c r="S225" s="13" t="s">
        <v>1234</v>
      </c>
      <c r="T225" s="13">
        <v>670</v>
      </c>
      <c r="U225" s="20">
        <v>45215</v>
      </c>
      <c r="V225" s="20">
        <v>45216</v>
      </c>
      <c r="W225" s="19"/>
      <c r="X225" s="24">
        <v>45216.375</v>
      </c>
      <c r="Y225" s="24">
        <v>45216.777777777781</v>
      </c>
      <c r="Z225" s="25">
        <f t="shared" si="209"/>
        <v>0.40277777778101154</v>
      </c>
      <c r="AA225" s="24">
        <v>45216.722222222219</v>
      </c>
      <c r="AB225" s="24">
        <v>45216.777777777781</v>
      </c>
      <c r="AC225" s="25">
        <f t="shared" si="210"/>
        <v>5.5555555562023073E-2</v>
      </c>
    </row>
    <row r="226" spans="1:29" x14ac:dyDescent="0.25">
      <c r="A226" s="12">
        <v>45200</v>
      </c>
      <c r="B226" s="13">
        <v>252</v>
      </c>
      <c r="C226" s="13">
        <v>8179442</v>
      </c>
      <c r="D226" s="19">
        <v>4908823803</v>
      </c>
      <c r="E226" s="13" t="s">
        <v>1251</v>
      </c>
      <c r="F226" s="20">
        <v>45181</v>
      </c>
      <c r="G226" s="14" t="s">
        <v>1252</v>
      </c>
      <c r="H226" s="13" t="s">
        <v>132</v>
      </c>
      <c r="I226" s="17">
        <v>5200399</v>
      </c>
      <c r="J226" s="17" t="s">
        <v>1005</v>
      </c>
      <c r="K226" s="19"/>
      <c r="L226" s="13">
        <v>0</v>
      </c>
      <c r="M226" s="13">
        <v>250</v>
      </c>
      <c r="N226" s="13">
        <v>48</v>
      </c>
      <c r="O226" s="13">
        <f t="shared" si="208"/>
        <v>12000</v>
      </c>
      <c r="P226" s="19" t="s">
        <v>477</v>
      </c>
      <c r="Q226" s="13" t="s">
        <v>247</v>
      </c>
      <c r="R226" s="13" t="s">
        <v>997</v>
      </c>
      <c r="S226" s="13" t="s">
        <v>340</v>
      </c>
      <c r="T226" s="13">
        <v>980</v>
      </c>
      <c r="U226" s="20">
        <v>45216</v>
      </c>
      <c r="V226" s="20">
        <v>45217</v>
      </c>
      <c r="W226" s="19"/>
      <c r="X226" s="24">
        <v>45217.375</v>
      </c>
      <c r="Y226" s="24">
        <v>45217.427083333336</v>
      </c>
      <c r="Z226" s="25">
        <f t="shared" si="209"/>
        <v>5.2083333335758653E-2</v>
      </c>
      <c r="AA226" s="24">
        <v>45217.381944444445</v>
      </c>
      <c r="AB226" s="24">
        <v>45217.427083333336</v>
      </c>
      <c r="AC226" s="25">
        <f t="shared" si="210"/>
        <v>4.5138888890505768E-2</v>
      </c>
    </row>
    <row r="227" spans="1:29" x14ac:dyDescent="0.25">
      <c r="A227" s="12">
        <v>45200</v>
      </c>
      <c r="B227" s="13">
        <v>253</v>
      </c>
      <c r="C227" s="13">
        <v>8178885</v>
      </c>
      <c r="D227" s="19">
        <v>4908823867</v>
      </c>
      <c r="E227" s="13" t="s">
        <v>1258</v>
      </c>
      <c r="F227" s="20">
        <v>45188</v>
      </c>
      <c r="G227" s="14" t="s">
        <v>1259</v>
      </c>
      <c r="H227" s="13" t="s">
        <v>132</v>
      </c>
      <c r="I227" s="17">
        <v>5230831</v>
      </c>
      <c r="J227" s="17" t="s">
        <v>35</v>
      </c>
      <c r="K227" s="19"/>
      <c r="L227" s="13">
        <v>0</v>
      </c>
      <c r="M227" s="13">
        <v>240</v>
      </c>
      <c r="N227" s="13">
        <v>80</v>
      </c>
      <c r="O227" s="13">
        <f t="shared" si="208"/>
        <v>19200</v>
      </c>
      <c r="P227" s="19" t="s">
        <v>477</v>
      </c>
      <c r="Q227" s="13" t="s">
        <v>247</v>
      </c>
      <c r="R227" s="13" t="s">
        <v>997</v>
      </c>
      <c r="S227" s="13" t="s">
        <v>1260</v>
      </c>
      <c r="T227" s="13">
        <v>986</v>
      </c>
      <c r="U227" s="20">
        <v>45217</v>
      </c>
      <c r="V227" s="20">
        <v>45218</v>
      </c>
      <c r="W227" s="19"/>
      <c r="X227" s="24">
        <v>45218.375</v>
      </c>
      <c r="Y227" s="24">
        <v>45218.458333333336</v>
      </c>
      <c r="Z227" s="25">
        <f t="shared" si="209"/>
        <v>8.3333333335758653E-2</v>
      </c>
      <c r="AA227" s="24">
        <v>45218.402777777781</v>
      </c>
      <c r="AB227" s="24">
        <v>45218.458333333336</v>
      </c>
      <c r="AC227" s="25">
        <f t="shared" si="210"/>
        <v>5.5555555554747116E-2</v>
      </c>
    </row>
    <row r="228" spans="1:29" x14ac:dyDescent="0.25">
      <c r="A228" s="12">
        <v>45200</v>
      </c>
      <c r="B228" s="13">
        <v>254</v>
      </c>
      <c r="C228" s="13">
        <v>8178885</v>
      </c>
      <c r="D228" s="19">
        <v>4908823867</v>
      </c>
      <c r="E228" s="13" t="s">
        <v>1258</v>
      </c>
      <c r="F228" s="20">
        <v>45188</v>
      </c>
      <c r="G228" s="14" t="s">
        <v>1259</v>
      </c>
      <c r="H228" s="13" t="s">
        <v>132</v>
      </c>
      <c r="I228" s="17">
        <v>5230831</v>
      </c>
      <c r="J228" s="17" t="s">
        <v>35</v>
      </c>
      <c r="K228" s="19"/>
      <c r="L228" s="13">
        <v>0</v>
      </c>
      <c r="M228" s="13">
        <v>240</v>
      </c>
      <c r="N228" s="13">
        <v>80</v>
      </c>
      <c r="O228" s="13">
        <f t="shared" ref="O228:O233" si="211">N228*M228</f>
        <v>19200</v>
      </c>
      <c r="P228" s="19" t="s">
        <v>477</v>
      </c>
      <c r="Q228" s="13" t="s">
        <v>247</v>
      </c>
      <c r="R228" s="13" t="s">
        <v>997</v>
      </c>
      <c r="S228" s="13" t="s">
        <v>1261</v>
      </c>
      <c r="T228" s="13">
        <v>984</v>
      </c>
      <c r="U228" s="20">
        <v>45217</v>
      </c>
      <c r="V228" s="20">
        <v>45218</v>
      </c>
      <c r="W228" s="19"/>
      <c r="X228" s="24">
        <v>45218.375</v>
      </c>
      <c r="Y228" s="24">
        <v>45218.458333333336</v>
      </c>
      <c r="Z228" s="25">
        <f t="shared" ref="Z228:Z231" si="212">Y228-X228</f>
        <v>8.3333333335758653E-2</v>
      </c>
      <c r="AA228" s="24">
        <v>45218.395833333336</v>
      </c>
      <c r="AB228" s="24">
        <v>45218.458333333336</v>
      </c>
      <c r="AC228" s="25">
        <f t="shared" ref="AC228:AC231" si="213">AB228-AA228</f>
        <v>6.25E-2</v>
      </c>
    </row>
    <row r="229" spans="1:29" x14ac:dyDescent="0.25">
      <c r="A229" s="12">
        <v>45200</v>
      </c>
      <c r="B229" s="13">
        <v>255</v>
      </c>
      <c r="C229" s="13">
        <v>8178885</v>
      </c>
      <c r="D229" s="19">
        <v>4908823867</v>
      </c>
      <c r="E229" s="13" t="s">
        <v>1258</v>
      </c>
      <c r="F229" s="20">
        <v>45188</v>
      </c>
      <c r="G229" s="14" t="s">
        <v>1259</v>
      </c>
      <c r="H229" s="13" t="s">
        <v>132</v>
      </c>
      <c r="I229" s="17">
        <v>5230831</v>
      </c>
      <c r="J229" s="17" t="s">
        <v>35</v>
      </c>
      <c r="K229" s="19"/>
      <c r="L229" s="13">
        <v>0</v>
      </c>
      <c r="M229" s="13">
        <v>240</v>
      </c>
      <c r="N229" s="13">
        <v>80</v>
      </c>
      <c r="O229" s="13">
        <f t="shared" si="211"/>
        <v>19200</v>
      </c>
      <c r="P229" s="19" t="s">
        <v>477</v>
      </c>
      <c r="Q229" s="13" t="s">
        <v>247</v>
      </c>
      <c r="R229" s="13" t="s">
        <v>997</v>
      </c>
      <c r="S229" s="13" t="s">
        <v>275</v>
      </c>
      <c r="T229" s="13">
        <v>983</v>
      </c>
      <c r="U229" s="20">
        <v>45217</v>
      </c>
      <c r="V229" s="20">
        <v>45218</v>
      </c>
      <c r="W229" s="19"/>
      <c r="X229" s="24">
        <v>45218.375</v>
      </c>
      <c r="Y229" s="24">
        <v>45218.541666666664</v>
      </c>
      <c r="Z229" s="25">
        <f t="shared" si="212"/>
        <v>0.16666666666424135</v>
      </c>
      <c r="AA229" s="24">
        <v>45218.479166666664</v>
      </c>
      <c r="AB229" s="24">
        <v>45218.541666666664</v>
      </c>
      <c r="AC229" s="25">
        <f t="shared" si="213"/>
        <v>6.25E-2</v>
      </c>
    </row>
    <row r="230" spans="1:29" x14ac:dyDescent="0.25">
      <c r="A230" s="12">
        <v>45200</v>
      </c>
      <c r="B230" s="13">
        <v>256</v>
      </c>
      <c r="C230" s="13">
        <v>8178885</v>
      </c>
      <c r="D230" s="19">
        <v>4908823867</v>
      </c>
      <c r="E230" s="13" t="s">
        <v>1258</v>
      </c>
      <c r="F230" s="20">
        <v>45188</v>
      </c>
      <c r="G230" s="14" t="s">
        <v>1259</v>
      </c>
      <c r="H230" s="13" t="s">
        <v>132</v>
      </c>
      <c r="I230" s="17">
        <v>5230831</v>
      </c>
      <c r="J230" s="17" t="s">
        <v>35</v>
      </c>
      <c r="K230" s="19"/>
      <c r="L230" s="13">
        <v>0</v>
      </c>
      <c r="M230" s="13">
        <v>240</v>
      </c>
      <c r="N230" s="13">
        <v>80</v>
      </c>
      <c r="O230" s="13">
        <f t="shared" si="211"/>
        <v>19200</v>
      </c>
      <c r="P230" s="19" t="s">
        <v>477</v>
      </c>
      <c r="Q230" s="13" t="s">
        <v>247</v>
      </c>
      <c r="R230" s="13" t="s">
        <v>997</v>
      </c>
      <c r="S230" s="13" t="s">
        <v>813</v>
      </c>
      <c r="T230" s="13">
        <v>985</v>
      </c>
      <c r="U230" s="20">
        <v>45217</v>
      </c>
      <c r="V230" s="20">
        <v>45218</v>
      </c>
      <c r="W230" s="19"/>
      <c r="X230" s="24">
        <v>45218.375</v>
      </c>
      <c r="Y230" s="24">
        <v>45218.75</v>
      </c>
      <c r="Z230" s="25">
        <f t="shared" si="212"/>
        <v>0.375</v>
      </c>
      <c r="AA230" s="24">
        <v>45218.6875</v>
      </c>
      <c r="AB230" s="24">
        <v>45218.75</v>
      </c>
      <c r="AC230" s="25">
        <f t="shared" si="213"/>
        <v>6.25E-2</v>
      </c>
    </row>
    <row r="231" spans="1:29" x14ac:dyDescent="0.25">
      <c r="A231" s="12">
        <v>45200</v>
      </c>
      <c r="B231" s="13">
        <v>257</v>
      </c>
      <c r="C231" s="13" t="s">
        <v>30</v>
      </c>
      <c r="D231" s="19" t="s">
        <v>30</v>
      </c>
      <c r="E231" s="13" t="s">
        <v>1270</v>
      </c>
      <c r="F231" s="20">
        <v>45218</v>
      </c>
      <c r="G231" s="13" t="s">
        <v>1271</v>
      </c>
      <c r="H231" s="13" t="s">
        <v>1273</v>
      </c>
      <c r="I231" s="13" t="s">
        <v>30</v>
      </c>
      <c r="J231" s="17" t="s">
        <v>1274</v>
      </c>
      <c r="K231" s="19"/>
      <c r="L231" s="13">
        <v>0</v>
      </c>
      <c r="M231" s="13">
        <v>1000</v>
      </c>
      <c r="N231" s="13">
        <v>3</v>
      </c>
      <c r="O231" s="13">
        <f t="shared" si="211"/>
        <v>3000</v>
      </c>
      <c r="P231" s="19" t="s">
        <v>477</v>
      </c>
      <c r="Q231" s="13" t="s">
        <v>478</v>
      </c>
      <c r="R231" s="13" t="s">
        <v>298</v>
      </c>
      <c r="S231" s="13" t="s">
        <v>1275</v>
      </c>
      <c r="T231" s="13">
        <v>2445</v>
      </c>
      <c r="U231" s="20">
        <v>45219</v>
      </c>
      <c r="V231" s="20">
        <v>45219</v>
      </c>
      <c r="W231" s="19"/>
      <c r="X231" s="24">
        <v>45219.375</v>
      </c>
      <c r="Y231" s="24">
        <v>45219.409722222219</v>
      </c>
      <c r="Z231" s="25">
        <f t="shared" si="212"/>
        <v>3.4722222218988463E-2</v>
      </c>
      <c r="AA231" s="24">
        <v>45219.388888888891</v>
      </c>
      <c r="AB231" s="24">
        <v>45219.409722222219</v>
      </c>
      <c r="AC231" s="25">
        <f t="shared" si="213"/>
        <v>2.0833333328482695E-2</v>
      </c>
    </row>
    <row r="232" spans="1:29" x14ac:dyDescent="0.25">
      <c r="A232" s="12">
        <v>45200</v>
      </c>
      <c r="B232" s="13">
        <v>257</v>
      </c>
      <c r="C232" s="13" t="s">
        <v>30</v>
      </c>
      <c r="D232" s="19" t="s">
        <v>30</v>
      </c>
      <c r="E232" s="13" t="s">
        <v>1270</v>
      </c>
      <c r="F232" s="20">
        <v>45218</v>
      </c>
      <c r="G232" s="13" t="s">
        <v>1272</v>
      </c>
      <c r="H232" s="13" t="s">
        <v>1273</v>
      </c>
      <c r="I232" s="13" t="s">
        <v>30</v>
      </c>
      <c r="J232" s="17" t="s">
        <v>1274</v>
      </c>
      <c r="K232" s="19"/>
      <c r="L232" s="13">
        <v>0</v>
      </c>
      <c r="M232" s="13">
        <v>1000</v>
      </c>
      <c r="N232" s="13">
        <v>2</v>
      </c>
      <c r="O232" s="13">
        <f t="shared" si="211"/>
        <v>2000</v>
      </c>
      <c r="P232" s="19" t="s">
        <v>477</v>
      </c>
      <c r="Q232" s="13" t="s">
        <v>478</v>
      </c>
      <c r="R232" s="13" t="s">
        <v>298</v>
      </c>
      <c r="S232" s="13" t="s">
        <v>1275</v>
      </c>
      <c r="T232" s="13">
        <v>2445</v>
      </c>
      <c r="U232" s="20">
        <v>45219</v>
      </c>
      <c r="V232" s="20">
        <v>45219</v>
      </c>
      <c r="W232" s="19"/>
      <c r="X232" s="24">
        <v>45219.375</v>
      </c>
      <c r="Y232" s="24">
        <v>45219.409722222219</v>
      </c>
      <c r="Z232" s="25">
        <f t="shared" ref="Z232:Z233" si="214">Y232-X232</f>
        <v>3.4722222218988463E-2</v>
      </c>
      <c r="AA232" s="24">
        <v>45219.388888888891</v>
      </c>
      <c r="AB232" s="24">
        <v>45219.409722222219</v>
      </c>
      <c r="AC232" s="25">
        <f t="shared" ref="AC232:AC233" si="215">AB232-AA232</f>
        <v>2.0833333328482695E-2</v>
      </c>
    </row>
    <row r="233" spans="1:29" x14ac:dyDescent="0.25">
      <c r="A233" s="12">
        <v>45200</v>
      </c>
      <c r="B233" s="13">
        <v>258</v>
      </c>
      <c r="C233" s="13">
        <v>7463185</v>
      </c>
      <c r="D233" s="19" t="s">
        <v>30</v>
      </c>
      <c r="E233" s="13" t="s">
        <v>1262</v>
      </c>
      <c r="F233" s="20">
        <v>45216</v>
      </c>
      <c r="G233" s="13" t="s">
        <v>889</v>
      </c>
      <c r="H233" s="13" t="s">
        <v>890</v>
      </c>
      <c r="I233" s="17" t="s">
        <v>30</v>
      </c>
      <c r="J233" s="17" t="s">
        <v>891</v>
      </c>
      <c r="K233" s="19"/>
      <c r="L233" s="13">
        <v>0</v>
      </c>
      <c r="M233" s="13">
        <v>1000</v>
      </c>
      <c r="N233" s="13">
        <v>10</v>
      </c>
      <c r="O233" s="13">
        <f t="shared" si="211"/>
        <v>10000</v>
      </c>
      <c r="P233" s="19" t="s">
        <v>477</v>
      </c>
      <c r="Q233" s="13" t="s">
        <v>1264</v>
      </c>
      <c r="R233" s="13" t="s">
        <v>425</v>
      </c>
      <c r="S233" s="13" t="s">
        <v>1285</v>
      </c>
      <c r="T233" s="13">
        <v>6102</v>
      </c>
      <c r="U233" s="15">
        <v>45218</v>
      </c>
      <c r="V233" s="20">
        <v>45220</v>
      </c>
      <c r="W233" s="13" t="s">
        <v>1297</v>
      </c>
      <c r="X233" s="24">
        <v>45220.375</v>
      </c>
      <c r="Y233" s="24">
        <v>45220.524305555555</v>
      </c>
      <c r="Z233" s="25">
        <f t="shared" si="214"/>
        <v>0.14930555555474712</v>
      </c>
      <c r="AA233" s="24">
        <v>45220.5</v>
      </c>
      <c r="AB233" s="24">
        <v>45220.524305555555</v>
      </c>
      <c r="AC233" s="25">
        <f t="shared" si="215"/>
        <v>2.4305555554747116E-2</v>
      </c>
    </row>
    <row r="234" spans="1:29" x14ac:dyDescent="0.25">
      <c r="A234" s="12">
        <v>45200</v>
      </c>
      <c r="B234" s="13">
        <v>259</v>
      </c>
      <c r="C234" s="13">
        <v>7463185</v>
      </c>
      <c r="D234" s="19" t="s">
        <v>30</v>
      </c>
      <c r="E234" s="13" t="s">
        <v>1262</v>
      </c>
      <c r="F234" s="20">
        <v>45216</v>
      </c>
      <c r="G234" s="13" t="s">
        <v>889</v>
      </c>
      <c r="H234" s="13" t="s">
        <v>890</v>
      </c>
      <c r="I234" s="17" t="s">
        <v>30</v>
      </c>
      <c r="J234" s="17" t="s">
        <v>891</v>
      </c>
      <c r="K234" s="19"/>
      <c r="L234" s="13">
        <v>0</v>
      </c>
      <c r="M234" s="13">
        <v>1000</v>
      </c>
      <c r="N234" s="13">
        <v>10</v>
      </c>
      <c r="O234" s="13">
        <f t="shared" ref="O234:O235" si="216">N234*M234</f>
        <v>10000</v>
      </c>
      <c r="P234" s="19" t="s">
        <v>477</v>
      </c>
      <c r="Q234" s="13" t="s">
        <v>1264</v>
      </c>
      <c r="R234" s="13" t="s">
        <v>425</v>
      </c>
      <c r="S234" s="13" t="s">
        <v>1285</v>
      </c>
      <c r="T234" s="13">
        <v>6102</v>
      </c>
      <c r="U234" s="15">
        <v>45218</v>
      </c>
      <c r="V234" s="20">
        <v>45220</v>
      </c>
      <c r="W234" s="13" t="s">
        <v>1297</v>
      </c>
      <c r="X234" s="24">
        <v>45220.375</v>
      </c>
      <c r="Y234" s="24">
        <v>45220.555555555555</v>
      </c>
      <c r="Z234" s="25">
        <f t="shared" ref="Z234:Z235" si="217">Y234-X234</f>
        <v>0.18055555555474712</v>
      </c>
      <c r="AA234" s="24">
        <v>45220.527777777781</v>
      </c>
      <c r="AB234" s="24">
        <v>45220.555555555555</v>
      </c>
      <c r="AC234" s="25">
        <f t="shared" ref="AC234:AC235" si="218">AB234-AA234</f>
        <v>2.7777777773735579E-2</v>
      </c>
    </row>
    <row r="235" spans="1:29" x14ac:dyDescent="0.25">
      <c r="A235" s="12">
        <v>45200</v>
      </c>
      <c r="B235" s="13">
        <v>260</v>
      </c>
      <c r="C235" s="13">
        <v>8231129</v>
      </c>
      <c r="D235" s="19">
        <v>4908858162</v>
      </c>
      <c r="E235" s="13" t="s">
        <v>1286</v>
      </c>
      <c r="F235" s="20">
        <v>45209</v>
      </c>
      <c r="G235" s="14" t="s">
        <v>1287</v>
      </c>
      <c r="H235" s="13" t="s">
        <v>132</v>
      </c>
      <c r="I235" s="17">
        <v>5230874</v>
      </c>
      <c r="J235" s="17" t="s">
        <v>1316</v>
      </c>
      <c r="K235" s="19"/>
      <c r="L235" s="13">
        <v>0</v>
      </c>
      <c r="M235" s="13">
        <v>250</v>
      </c>
      <c r="N235" s="13">
        <v>64</v>
      </c>
      <c r="O235" s="13">
        <f t="shared" si="216"/>
        <v>16000</v>
      </c>
      <c r="P235" s="19" t="s">
        <v>477</v>
      </c>
      <c r="Q235" s="13" t="s">
        <v>247</v>
      </c>
      <c r="R235" s="13" t="s">
        <v>997</v>
      </c>
      <c r="S235" s="13" t="s">
        <v>431</v>
      </c>
      <c r="T235" s="13">
        <v>993</v>
      </c>
      <c r="U235" s="20">
        <v>45219</v>
      </c>
      <c r="V235" s="20">
        <v>45220</v>
      </c>
      <c r="W235" s="19"/>
      <c r="X235" s="24">
        <v>45220.375</v>
      </c>
      <c r="Y235" s="24">
        <v>45220.555555555555</v>
      </c>
      <c r="Z235" s="25">
        <f t="shared" si="217"/>
        <v>0.18055555555474712</v>
      </c>
      <c r="AA235" s="24">
        <v>45220.465277777781</v>
      </c>
      <c r="AB235" s="24">
        <v>45220.555555555555</v>
      </c>
      <c r="AC235" s="25">
        <f t="shared" si="218"/>
        <v>9.0277777773735579E-2</v>
      </c>
    </row>
    <row r="236" spans="1:29" x14ac:dyDescent="0.25">
      <c r="A236" s="12">
        <v>45200</v>
      </c>
      <c r="B236" s="13">
        <v>260</v>
      </c>
      <c r="C236" s="13">
        <v>8231129</v>
      </c>
      <c r="D236" s="19">
        <v>4908858162</v>
      </c>
      <c r="E236" s="13" t="s">
        <v>1286</v>
      </c>
      <c r="F236" s="20">
        <v>45209</v>
      </c>
      <c r="G236" s="14" t="s">
        <v>1290</v>
      </c>
      <c r="H236" s="13" t="s">
        <v>132</v>
      </c>
      <c r="I236" s="17">
        <v>5230874</v>
      </c>
      <c r="J236" s="17" t="s">
        <v>1316</v>
      </c>
      <c r="K236" s="19"/>
      <c r="L236" s="13">
        <v>0</v>
      </c>
      <c r="M236" s="13">
        <v>250</v>
      </c>
      <c r="N236" s="13">
        <v>16</v>
      </c>
      <c r="O236" s="13">
        <f t="shared" ref="O236" si="219">N236*M236</f>
        <v>4000</v>
      </c>
      <c r="P236" s="19" t="s">
        <v>477</v>
      </c>
      <c r="Q236" s="13" t="s">
        <v>247</v>
      </c>
      <c r="R236" s="13" t="s">
        <v>997</v>
      </c>
      <c r="S236" s="13" t="s">
        <v>431</v>
      </c>
      <c r="T236" s="13">
        <v>993</v>
      </c>
      <c r="U236" s="20">
        <v>45219</v>
      </c>
      <c r="V236" s="20">
        <v>45220</v>
      </c>
      <c r="W236" s="19"/>
      <c r="X236" s="24">
        <v>45220.375</v>
      </c>
      <c r="Y236" s="24">
        <v>45220.555555555555</v>
      </c>
      <c r="Z236" s="25">
        <f t="shared" ref="Z236" si="220">Y236-X236</f>
        <v>0.18055555555474712</v>
      </c>
      <c r="AA236" s="24">
        <v>45220.465277777781</v>
      </c>
      <c r="AB236" s="24">
        <v>45220.555555555555</v>
      </c>
      <c r="AC236" s="25">
        <f t="shared" ref="AC236" si="221">AB236-AA236</f>
        <v>9.0277777773735579E-2</v>
      </c>
    </row>
    <row r="237" spans="1:29" x14ac:dyDescent="0.25">
      <c r="A237" s="12">
        <v>45200</v>
      </c>
      <c r="B237" s="13">
        <v>261</v>
      </c>
      <c r="C237" s="13">
        <v>8231129</v>
      </c>
      <c r="D237" s="13">
        <v>4908858162</v>
      </c>
      <c r="E237" s="13" t="s">
        <v>1286</v>
      </c>
      <c r="F237" s="20">
        <v>45209</v>
      </c>
      <c r="G237" s="14" t="s">
        <v>1289</v>
      </c>
      <c r="H237" s="13" t="s">
        <v>132</v>
      </c>
      <c r="I237" s="17">
        <v>5230874</v>
      </c>
      <c r="J237" s="17" t="s">
        <v>1316</v>
      </c>
      <c r="K237" s="19"/>
      <c r="L237" s="13">
        <v>0</v>
      </c>
      <c r="M237" s="13">
        <v>250</v>
      </c>
      <c r="N237" s="13">
        <v>80</v>
      </c>
      <c r="O237" s="13">
        <f t="shared" ref="O237:O239" si="222">N237*M237</f>
        <v>20000</v>
      </c>
      <c r="P237" s="19" t="s">
        <v>477</v>
      </c>
      <c r="Q237" s="13" t="s">
        <v>247</v>
      </c>
      <c r="R237" s="13" t="s">
        <v>997</v>
      </c>
      <c r="S237" s="13" t="s">
        <v>1288</v>
      </c>
      <c r="T237" s="13">
        <v>994</v>
      </c>
      <c r="U237" s="20">
        <v>45219</v>
      </c>
      <c r="V237" s="20">
        <v>45220</v>
      </c>
      <c r="W237" s="19"/>
      <c r="X237" s="24">
        <v>45220.375</v>
      </c>
      <c r="Y237" s="24">
        <v>45220.701388888891</v>
      </c>
      <c r="Z237" s="25">
        <f t="shared" ref="Z237" si="223">Y237-X237</f>
        <v>0.32638888889050577</v>
      </c>
      <c r="AA237" s="24">
        <v>45220.625</v>
      </c>
      <c r="AB237" s="24">
        <v>45220.701388888891</v>
      </c>
      <c r="AC237" s="25">
        <f t="shared" ref="AC237:AC239" si="224">AB237-AA237</f>
        <v>7.6388888890505768E-2</v>
      </c>
    </row>
    <row r="238" spans="1:29" x14ac:dyDescent="0.25">
      <c r="A238" s="12">
        <v>45200</v>
      </c>
      <c r="B238" s="13">
        <v>262</v>
      </c>
      <c r="C238" s="13">
        <v>8169768</v>
      </c>
      <c r="D238" s="13">
        <v>4908858162</v>
      </c>
      <c r="E238" s="13" t="s">
        <v>1291</v>
      </c>
      <c r="F238" s="20">
        <v>45188</v>
      </c>
      <c r="G238" s="14" t="s">
        <v>1292</v>
      </c>
      <c r="H238" s="13" t="s">
        <v>132</v>
      </c>
      <c r="I238" s="17">
        <v>5230874</v>
      </c>
      <c r="J238" s="17" t="s">
        <v>1316</v>
      </c>
      <c r="K238" s="19"/>
      <c r="L238" s="13">
        <v>0</v>
      </c>
      <c r="M238" s="13">
        <v>250</v>
      </c>
      <c r="N238" s="13">
        <v>80</v>
      </c>
      <c r="O238" s="13">
        <f t="shared" ref="O238" si="225">N238*M238</f>
        <v>20000</v>
      </c>
      <c r="P238" s="19" t="s">
        <v>477</v>
      </c>
      <c r="Q238" s="13" t="s">
        <v>159</v>
      </c>
      <c r="R238" s="13" t="s">
        <v>997</v>
      </c>
      <c r="S238" s="13" t="s">
        <v>1294</v>
      </c>
      <c r="T238" s="13">
        <v>14995</v>
      </c>
      <c r="U238" s="20">
        <v>45219</v>
      </c>
      <c r="V238" s="20">
        <v>45220</v>
      </c>
      <c r="W238" s="19"/>
      <c r="X238" s="24">
        <v>45220.375</v>
      </c>
      <c r="Y238" s="24">
        <v>45220.951388888891</v>
      </c>
      <c r="Z238" s="25">
        <f>Y238-X238</f>
        <v>0.57638888889050577</v>
      </c>
      <c r="AA238" s="24">
        <v>45220.895833333336</v>
      </c>
      <c r="AB238" s="24">
        <v>45220.944444444445</v>
      </c>
      <c r="AC238" s="25">
        <f t="shared" ref="AC238" si="226">AB238-AA238</f>
        <v>4.8611111109494232E-2</v>
      </c>
    </row>
    <row r="239" spans="1:29" x14ac:dyDescent="0.25">
      <c r="A239" s="12">
        <v>45200</v>
      </c>
      <c r="B239" s="13">
        <v>263</v>
      </c>
      <c r="C239" s="13">
        <v>8169768</v>
      </c>
      <c r="D239" s="13">
        <v>4908858162</v>
      </c>
      <c r="E239" s="13" t="s">
        <v>1291</v>
      </c>
      <c r="F239" s="20">
        <v>45188</v>
      </c>
      <c r="G239" s="14" t="s">
        <v>1295</v>
      </c>
      <c r="H239" s="13" t="s">
        <v>132</v>
      </c>
      <c r="I239" s="17">
        <v>5230874</v>
      </c>
      <c r="J239" s="17" t="s">
        <v>1316</v>
      </c>
      <c r="K239" s="19"/>
      <c r="L239" s="13">
        <v>0</v>
      </c>
      <c r="M239" s="13">
        <v>250</v>
      </c>
      <c r="N239" s="13">
        <v>23</v>
      </c>
      <c r="O239" s="13">
        <f t="shared" si="222"/>
        <v>5750</v>
      </c>
      <c r="P239" s="19" t="s">
        <v>477</v>
      </c>
      <c r="Q239" s="13" t="s">
        <v>159</v>
      </c>
      <c r="R239" s="13" t="s">
        <v>997</v>
      </c>
      <c r="S239" s="13" t="s">
        <v>1293</v>
      </c>
      <c r="T239" s="13">
        <v>14996</v>
      </c>
      <c r="U239" s="20">
        <v>45219</v>
      </c>
      <c r="V239" s="20">
        <v>45220</v>
      </c>
      <c r="W239" s="19"/>
      <c r="X239" s="24">
        <v>45220.375</v>
      </c>
      <c r="Y239" s="24">
        <v>45220.902777777781</v>
      </c>
      <c r="Z239" s="25">
        <f>Y239-X239</f>
        <v>0.52777777778101154</v>
      </c>
      <c r="AA239" s="24">
        <v>45220.826388888891</v>
      </c>
      <c r="AB239" s="24">
        <v>45220.902777777781</v>
      </c>
      <c r="AC239" s="25">
        <f t="shared" si="224"/>
        <v>7.6388888890505768E-2</v>
      </c>
    </row>
    <row r="240" spans="1:29" x14ac:dyDescent="0.25">
      <c r="A240" s="12">
        <v>45200</v>
      </c>
      <c r="B240" s="13">
        <v>263</v>
      </c>
      <c r="C240" s="13">
        <v>8169768</v>
      </c>
      <c r="D240" s="13">
        <v>4908858162</v>
      </c>
      <c r="E240" s="13" t="s">
        <v>1291</v>
      </c>
      <c r="F240" s="20">
        <v>45188</v>
      </c>
      <c r="G240" s="14" t="s">
        <v>1296</v>
      </c>
      <c r="H240" s="13" t="s">
        <v>132</v>
      </c>
      <c r="I240" s="17">
        <v>5230874</v>
      </c>
      <c r="J240" s="17" t="s">
        <v>1316</v>
      </c>
      <c r="K240" s="19"/>
      <c r="L240" s="13">
        <v>0</v>
      </c>
      <c r="M240" s="13">
        <v>250</v>
      </c>
      <c r="N240" s="13">
        <v>57</v>
      </c>
      <c r="O240" s="13">
        <f t="shared" ref="O240:O242" si="227">N240*M240</f>
        <v>14250</v>
      </c>
      <c r="P240" s="19" t="s">
        <v>477</v>
      </c>
      <c r="Q240" s="13" t="s">
        <v>159</v>
      </c>
      <c r="R240" s="13" t="s">
        <v>997</v>
      </c>
      <c r="S240" s="13" t="s">
        <v>1293</v>
      </c>
      <c r="T240" s="13">
        <v>14996</v>
      </c>
      <c r="U240" s="20">
        <v>45219</v>
      </c>
      <c r="V240" s="20">
        <v>45220</v>
      </c>
      <c r="W240" s="19"/>
      <c r="X240" s="24">
        <v>45220.375</v>
      </c>
      <c r="Y240" s="24">
        <v>45220.902777777781</v>
      </c>
      <c r="Z240" s="25">
        <f>Y240-X240</f>
        <v>0.52777777778101154</v>
      </c>
      <c r="AA240" s="24">
        <v>45220.826388888891</v>
      </c>
      <c r="AB240" s="24">
        <v>45220.902777777781</v>
      </c>
      <c r="AC240" s="25">
        <f t="shared" ref="AC240:AC242" si="228">AB240-AA240</f>
        <v>7.6388888890505768E-2</v>
      </c>
    </row>
    <row r="241" spans="1:29" x14ac:dyDescent="0.25">
      <c r="A241" s="12">
        <v>45200</v>
      </c>
      <c r="B241" s="13">
        <v>264</v>
      </c>
      <c r="C241" s="13">
        <v>8285510</v>
      </c>
      <c r="D241" s="13">
        <v>4908858162</v>
      </c>
      <c r="E241" s="13" t="s">
        <v>1298</v>
      </c>
      <c r="F241" s="20">
        <v>45188</v>
      </c>
      <c r="G241" s="13" t="s">
        <v>1299</v>
      </c>
      <c r="H241" s="13" t="s">
        <v>192</v>
      </c>
      <c r="I241" s="17">
        <v>5212252</v>
      </c>
      <c r="J241" s="17" t="s">
        <v>23</v>
      </c>
      <c r="K241" s="19"/>
      <c r="L241" s="13">
        <v>0</v>
      </c>
      <c r="M241" s="13">
        <v>25</v>
      </c>
      <c r="N241" s="13">
        <v>1040</v>
      </c>
      <c r="O241" s="13">
        <f t="shared" si="227"/>
        <v>26000</v>
      </c>
      <c r="P241" s="19" t="s">
        <v>477</v>
      </c>
      <c r="Q241" s="13" t="s">
        <v>159</v>
      </c>
      <c r="R241" s="19" t="s">
        <v>209</v>
      </c>
      <c r="S241" s="13" t="s">
        <v>712</v>
      </c>
      <c r="T241" s="13">
        <v>14753</v>
      </c>
      <c r="U241" s="20">
        <v>45220</v>
      </c>
      <c r="V241" s="20">
        <v>45222</v>
      </c>
      <c r="W241" s="19"/>
      <c r="X241" s="24">
        <v>45221.375</v>
      </c>
      <c r="Y241" s="24">
        <v>45221.423611111109</v>
      </c>
      <c r="Z241" s="25">
        <f>Y241-X241</f>
        <v>4.8611111109494232E-2</v>
      </c>
      <c r="AA241" s="24">
        <v>45221.381944444445</v>
      </c>
      <c r="AB241" s="24">
        <v>45221.423611111109</v>
      </c>
      <c r="AC241" s="25">
        <f t="shared" si="228"/>
        <v>4.1666666664241347E-2</v>
      </c>
    </row>
    <row r="242" spans="1:29" x14ac:dyDescent="0.25">
      <c r="A242" s="12">
        <v>45200</v>
      </c>
      <c r="B242" s="13">
        <v>265</v>
      </c>
      <c r="C242" s="13">
        <v>8285510</v>
      </c>
      <c r="D242" s="13">
        <v>4908857192</v>
      </c>
      <c r="E242" s="13" t="s">
        <v>1298</v>
      </c>
      <c r="F242" s="20">
        <v>45188</v>
      </c>
      <c r="G242" s="13" t="s">
        <v>1299</v>
      </c>
      <c r="H242" s="13" t="s">
        <v>192</v>
      </c>
      <c r="I242" s="17">
        <v>5212252</v>
      </c>
      <c r="J242" s="17" t="s">
        <v>23</v>
      </c>
      <c r="K242" s="19"/>
      <c r="L242" s="13">
        <v>0</v>
      </c>
      <c r="M242" s="13">
        <v>25</v>
      </c>
      <c r="N242" s="13">
        <v>400</v>
      </c>
      <c r="O242" s="13">
        <f t="shared" si="227"/>
        <v>10000</v>
      </c>
      <c r="P242" s="19" t="s">
        <v>477</v>
      </c>
      <c r="Q242" s="13" t="s">
        <v>159</v>
      </c>
      <c r="R242" s="19" t="s">
        <v>209</v>
      </c>
      <c r="S242" s="13" t="s">
        <v>715</v>
      </c>
      <c r="T242" s="13">
        <v>14752</v>
      </c>
      <c r="U242" s="20">
        <v>45220</v>
      </c>
      <c r="V242" s="20">
        <v>45222</v>
      </c>
      <c r="W242" s="19"/>
      <c r="X242" s="24">
        <v>45221.375</v>
      </c>
      <c r="Y242" s="24">
        <v>45221.444444444445</v>
      </c>
      <c r="Z242" s="25">
        <f>Y242-X242</f>
        <v>6.9444444445252884E-2</v>
      </c>
      <c r="AA242" s="24">
        <v>45221.420138888891</v>
      </c>
      <c r="AB242" s="24">
        <v>45221.444444444445</v>
      </c>
      <c r="AC242" s="25">
        <f t="shared" si="228"/>
        <v>2.4305555554747116E-2</v>
      </c>
    </row>
    <row r="243" spans="1:29" x14ac:dyDescent="0.25">
      <c r="A243" s="12">
        <v>45200</v>
      </c>
      <c r="B243" s="13">
        <v>265</v>
      </c>
      <c r="C243" s="13">
        <v>8285510</v>
      </c>
      <c r="D243" s="13">
        <v>4908857192</v>
      </c>
      <c r="E243" s="13" t="s">
        <v>1298</v>
      </c>
      <c r="F243" s="20">
        <v>45188</v>
      </c>
      <c r="G243" s="13" t="s">
        <v>1300</v>
      </c>
      <c r="H243" s="13" t="s">
        <v>192</v>
      </c>
      <c r="I243" s="17">
        <v>5212252</v>
      </c>
      <c r="J243" s="17" t="s">
        <v>23</v>
      </c>
      <c r="K243" s="19"/>
      <c r="L243" s="13">
        <v>0</v>
      </c>
      <c r="M243" s="13">
        <v>25</v>
      </c>
      <c r="N243" s="13">
        <v>400</v>
      </c>
      <c r="O243" s="13">
        <f t="shared" ref="O243:O245" si="229">N243*M243</f>
        <v>10000</v>
      </c>
      <c r="P243" s="19" t="s">
        <v>477</v>
      </c>
      <c r="Q243" s="13" t="s">
        <v>159</v>
      </c>
      <c r="R243" s="19" t="s">
        <v>209</v>
      </c>
      <c r="S243" s="13" t="s">
        <v>715</v>
      </c>
      <c r="T243" s="13">
        <v>14752</v>
      </c>
      <c r="U243" s="20">
        <v>45220</v>
      </c>
      <c r="V243" s="20">
        <v>45222</v>
      </c>
      <c r="W243" s="19"/>
      <c r="X243" s="24">
        <v>45221.375</v>
      </c>
      <c r="Y243" s="24">
        <v>45221.444444444445</v>
      </c>
      <c r="Z243" s="25">
        <f t="shared" ref="Z243:Z245" si="230">Y243-X243</f>
        <v>6.9444444445252884E-2</v>
      </c>
      <c r="AA243" s="24">
        <v>45221.420138888891</v>
      </c>
      <c r="AB243" s="24">
        <v>45221.444444444445</v>
      </c>
      <c r="AC243" s="25">
        <f t="shared" ref="AC243:AC245" si="231">AB243-AA243</f>
        <v>2.4305555554747116E-2</v>
      </c>
    </row>
    <row r="244" spans="1:29" x14ac:dyDescent="0.25">
      <c r="A244" s="12">
        <v>45200</v>
      </c>
      <c r="B244" s="13">
        <v>265</v>
      </c>
      <c r="C244" s="13">
        <v>8285510</v>
      </c>
      <c r="D244" s="13">
        <v>4908857192</v>
      </c>
      <c r="E244" s="13" t="s">
        <v>1298</v>
      </c>
      <c r="F244" s="20">
        <v>45188</v>
      </c>
      <c r="G244" s="13" t="s">
        <v>1301</v>
      </c>
      <c r="H244" s="13" t="s">
        <v>192</v>
      </c>
      <c r="I244" s="17">
        <v>5212252</v>
      </c>
      <c r="J244" s="17" t="s">
        <v>23</v>
      </c>
      <c r="K244" s="19"/>
      <c r="L244" s="13">
        <v>0</v>
      </c>
      <c r="M244" s="13">
        <v>25</v>
      </c>
      <c r="N244" s="13">
        <v>240</v>
      </c>
      <c r="O244" s="13">
        <f t="shared" si="229"/>
        <v>6000</v>
      </c>
      <c r="P244" s="19" t="s">
        <v>477</v>
      </c>
      <c r="Q244" s="13" t="s">
        <v>159</v>
      </c>
      <c r="R244" s="19" t="s">
        <v>209</v>
      </c>
      <c r="S244" s="13" t="s">
        <v>715</v>
      </c>
      <c r="T244" s="13">
        <v>14752</v>
      </c>
      <c r="U244" s="20">
        <v>45220</v>
      </c>
      <c r="V244" s="20">
        <v>45222</v>
      </c>
      <c r="W244" s="19"/>
      <c r="X244" s="24">
        <v>45221.375</v>
      </c>
      <c r="Y244" s="24">
        <v>45221.444444444445</v>
      </c>
      <c r="Z244" s="25">
        <f t="shared" si="230"/>
        <v>6.9444444445252884E-2</v>
      </c>
      <c r="AA244" s="24">
        <v>45221.420138888891</v>
      </c>
      <c r="AB244" s="24">
        <v>45221.444444444445</v>
      </c>
      <c r="AC244" s="25">
        <f t="shared" si="231"/>
        <v>2.4305555554747116E-2</v>
      </c>
    </row>
    <row r="245" spans="1:29" x14ac:dyDescent="0.25">
      <c r="A245" s="12">
        <v>45200</v>
      </c>
      <c r="B245" s="13">
        <v>266</v>
      </c>
      <c r="C245" s="13">
        <v>8304702</v>
      </c>
      <c r="D245" s="13">
        <v>4908857192</v>
      </c>
      <c r="E245" s="13" t="s">
        <v>1302</v>
      </c>
      <c r="F245" s="20">
        <v>45187</v>
      </c>
      <c r="G245" s="13" t="s">
        <v>1300</v>
      </c>
      <c r="H245" s="13" t="s">
        <v>192</v>
      </c>
      <c r="I245" s="17">
        <v>5212252</v>
      </c>
      <c r="J245" s="17" t="s">
        <v>23</v>
      </c>
      <c r="K245" s="19"/>
      <c r="L245" s="13">
        <v>0</v>
      </c>
      <c r="M245" s="13">
        <v>25</v>
      </c>
      <c r="N245" s="13">
        <v>1040</v>
      </c>
      <c r="O245" s="13">
        <f t="shared" si="229"/>
        <v>26000</v>
      </c>
      <c r="P245" s="19" t="s">
        <v>477</v>
      </c>
      <c r="Q245" s="13" t="s">
        <v>247</v>
      </c>
      <c r="R245" s="19" t="s">
        <v>209</v>
      </c>
      <c r="S245" s="13" t="s">
        <v>1303</v>
      </c>
      <c r="T245" s="13">
        <v>799</v>
      </c>
      <c r="U245" s="20">
        <v>45220</v>
      </c>
      <c r="V245" s="20">
        <v>45222</v>
      </c>
      <c r="W245" s="19"/>
      <c r="X245" s="24">
        <v>45221.375</v>
      </c>
      <c r="Y245" s="24">
        <v>45221.458333333336</v>
      </c>
      <c r="Z245" s="25">
        <f t="shared" si="230"/>
        <v>8.3333333335758653E-2</v>
      </c>
      <c r="AA245" s="24">
        <v>45221.423611111109</v>
      </c>
      <c r="AB245" s="24">
        <v>45221.458333333336</v>
      </c>
      <c r="AC245" s="25">
        <f t="shared" si="231"/>
        <v>3.4722222226264421E-2</v>
      </c>
    </row>
    <row r="246" spans="1:29" x14ac:dyDescent="0.25">
      <c r="A246" s="12">
        <v>45200</v>
      </c>
      <c r="B246" s="13">
        <v>267</v>
      </c>
      <c r="C246" s="13">
        <v>8304702</v>
      </c>
      <c r="D246" s="13">
        <v>4908857192</v>
      </c>
      <c r="E246" s="13" t="s">
        <v>1302</v>
      </c>
      <c r="F246" s="20">
        <v>45187</v>
      </c>
      <c r="G246" s="13" t="s">
        <v>1300</v>
      </c>
      <c r="H246" s="13" t="s">
        <v>192</v>
      </c>
      <c r="I246" s="17">
        <v>5212252</v>
      </c>
      <c r="J246" s="17" t="s">
        <v>23</v>
      </c>
      <c r="K246" s="19"/>
      <c r="L246" s="13">
        <v>0</v>
      </c>
      <c r="M246" s="13">
        <v>25</v>
      </c>
      <c r="N246" s="13">
        <v>53</v>
      </c>
      <c r="O246" s="13">
        <f t="shared" ref="O246" si="232">N246*M246</f>
        <v>1325</v>
      </c>
      <c r="P246" s="19" t="s">
        <v>477</v>
      </c>
      <c r="Q246" s="13" t="s">
        <v>247</v>
      </c>
      <c r="R246" s="19" t="s">
        <v>209</v>
      </c>
      <c r="S246" s="13" t="s">
        <v>1304</v>
      </c>
      <c r="T246" s="13">
        <v>800</v>
      </c>
      <c r="U246" s="20">
        <v>45220</v>
      </c>
      <c r="V246" s="20">
        <v>45222</v>
      </c>
      <c r="W246" s="19"/>
      <c r="X246" s="24">
        <v>45221.375</v>
      </c>
      <c r="Y246" s="24">
        <v>45221.510416666664</v>
      </c>
      <c r="Z246" s="25">
        <f t="shared" ref="Z246" si="233">Y246-X246</f>
        <v>0.13541666666424135</v>
      </c>
      <c r="AA246" s="24">
        <v>45221.458333333336</v>
      </c>
      <c r="AB246" s="24">
        <v>45221.510416666664</v>
      </c>
      <c r="AC246" s="25">
        <f t="shared" ref="AC246" si="234">AB246-AA246</f>
        <v>5.2083333328482695E-2</v>
      </c>
    </row>
    <row r="247" spans="1:29" x14ac:dyDescent="0.25">
      <c r="A247" s="12">
        <v>45200</v>
      </c>
      <c r="B247" s="13">
        <v>267</v>
      </c>
      <c r="C247" s="13">
        <v>8304702</v>
      </c>
      <c r="D247" s="13">
        <v>4908857192</v>
      </c>
      <c r="E247" s="13" t="s">
        <v>1302</v>
      </c>
      <c r="F247" s="20">
        <v>45187</v>
      </c>
      <c r="G247" s="13" t="s">
        <v>1305</v>
      </c>
      <c r="H247" s="13" t="s">
        <v>192</v>
      </c>
      <c r="I247" s="17">
        <v>5212252</v>
      </c>
      <c r="J247" s="17" t="s">
        <v>23</v>
      </c>
      <c r="K247" s="19"/>
      <c r="L247" s="13">
        <v>0</v>
      </c>
      <c r="M247" s="13">
        <v>25</v>
      </c>
      <c r="N247" s="13">
        <v>421</v>
      </c>
      <c r="O247" s="13">
        <f t="shared" ref="O247:O249" si="235">N247*M247</f>
        <v>10525</v>
      </c>
      <c r="P247" s="19" t="s">
        <v>477</v>
      </c>
      <c r="Q247" s="13" t="s">
        <v>247</v>
      </c>
      <c r="R247" s="19" t="s">
        <v>209</v>
      </c>
      <c r="S247" s="13" t="s">
        <v>1304</v>
      </c>
      <c r="T247" s="13">
        <v>800</v>
      </c>
      <c r="U247" s="20">
        <v>45220</v>
      </c>
      <c r="V247" s="20">
        <v>45222</v>
      </c>
      <c r="W247" s="19"/>
      <c r="X247" s="24">
        <v>45221.375</v>
      </c>
      <c r="Y247" s="24">
        <v>45221.510416666664</v>
      </c>
      <c r="Z247" s="25">
        <f t="shared" ref="Z247:Z249" si="236">Y247-X247</f>
        <v>0.13541666666424135</v>
      </c>
      <c r="AA247" s="24">
        <v>45221.458333333336</v>
      </c>
      <c r="AB247" s="24">
        <v>45221.510416666664</v>
      </c>
      <c r="AC247" s="25">
        <f t="shared" ref="AC247:AC249" si="237">AB247-AA247</f>
        <v>5.2083333328482695E-2</v>
      </c>
    </row>
    <row r="248" spans="1:29" x14ac:dyDescent="0.25">
      <c r="A248" s="12">
        <v>45200</v>
      </c>
      <c r="B248" s="13">
        <v>267</v>
      </c>
      <c r="C248" s="13">
        <v>8304702</v>
      </c>
      <c r="D248" s="13">
        <v>4908857192</v>
      </c>
      <c r="E248" s="13" t="s">
        <v>1302</v>
      </c>
      <c r="F248" s="20">
        <v>45187</v>
      </c>
      <c r="G248" s="13" t="s">
        <v>1306</v>
      </c>
      <c r="H248" s="13" t="s">
        <v>192</v>
      </c>
      <c r="I248" s="17">
        <v>5212252</v>
      </c>
      <c r="J248" s="17" t="s">
        <v>23</v>
      </c>
      <c r="K248" s="19"/>
      <c r="L248" s="13">
        <v>0</v>
      </c>
      <c r="M248" s="13">
        <v>25</v>
      </c>
      <c r="N248" s="13">
        <v>566</v>
      </c>
      <c r="O248" s="13">
        <f t="shared" si="235"/>
        <v>14150</v>
      </c>
      <c r="P248" s="19" t="s">
        <v>477</v>
      </c>
      <c r="Q248" s="13" t="s">
        <v>247</v>
      </c>
      <c r="R248" s="19" t="s">
        <v>209</v>
      </c>
      <c r="S248" s="13" t="s">
        <v>1304</v>
      </c>
      <c r="T248" s="13">
        <v>800</v>
      </c>
      <c r="U248" s="20">
        <v>45220</v>
      </c>
      <c r="V248" s="20">
        <v>45222</v>
      </c>
      <c r="W248" s="19"/>
      <c r="X248" s="24">
        <v>45221.375</v>
      </c>
      <c r="Y248" s="24">
        <v>45221.510416666664</v>
      </c>
      <c r="Z248" s="25">
        <f t="shared" si="236"/>
        <v>0.13541666666424135</v>
      </c>
      <c r="AA248" s="24">
        <v>45221.458333333336</v>
      </c>
      <c r="AB248" s="24">
        <v>45221.510416666664</v>
      </c>
      <c r="AC248" s="25">
        <f t="shared" si="237"/>
        <v>5.2083333328482695E-2</v>
      </c>
    </row>
    <row r="249" spans="1:29" x14ac:dyDescent="0.25">
      <c r="A249" s="12">
        <v>45200</v>
      </c>
      <c r="B249" s="13">
        <v>268</v>
      </c>
      <c r="C249" s="13">
        <v>8227768</v>
      </c>
      <c r="D249" s="13">
        <v>4908857199</v>
      </c>
      <c r="E249" s="13" t="s">
        <v>1302</v>
      </c>
      <c r="F249" s="20">
        <v>45185</v>
      </c>
      <c r="G249" s="14" t="s">
        <v>1290</v>
      </c>
      <c r="H249" s="13" t="s">
        <v>132</v>
      </c>
      <c r="I249" s="17">
        <v>5230874</v>
      </c>
      <c r="J249" s="17" t="s">
        <v>1316</v>
      </c>
      <c r="K249" s="19"/>
      <c r="L249" s="13">
        <v>0</v>
      </c>
      <c r="M249" s="13">
        <v>250</v>
      </c>
      <c r="N249" s="13">
        <v>64</v>
      </c>
      <c r="O249" s="13">
        <f t="shared" si="235"/>
        <v>16000</v>
      </c>
      <c r="P249" s="19" t="s">
        <v>477</v>
      </c>
      <c r="Q249" s="13" t="s">
        <v>247</v>
      </c>
      <c r="R249" s="13" t="s">
        <v>997</v>
      </c>
      <c r="S249" s="13" t="s">
        <v>431</v>
      </c>
      <c r="T249" s="13">
        <v>992</v>
      </c>
      <c r="U249" s="20">
        <v>45220</v>
      </c>
      <c r="V249" s="20">
        <v>45222</v>
      </c>
      <c r="W249" s="19"/>
      <c r="X249" s="24">
        <v>45221.375</v>
      </c>
      <c r="Y249" s="24">
        <v>45221.569444444445</v>
      </c>
      <c r="Z249" s="25">
        <f t="shared" si="236"/>
        <v>0.19444444444525288</v>
      </c>
      <c r="AA249" s="24">
        <v>45221.541666666664</v>
      </c>
      <c r="AB249" s="24">
        <v>45221.569444444445</v>
      </c>
      <c r="AC249" s="25">
        <f t="shared" si="237"/>
        <v>2.7777777781011537E-2</v>
      </c>
    </row>
    <row r="250" spans="1:29" x14ac:dyDescent="0.25">
      <c r="A250" s="12">
        <v>45200</v>
      </c>
      <c r="B250" s="13">
        <v>268</v>
      </c>
      <c r="C250" s="13">
        <v>8227768</v>
      </c>
      <c r="D250" s="13">
        <v>4908857199</v>
      </c>
      <c r="E250" s="13" t="s">
        <v>1302</v>
      </c>
      <c r="F250" s="20">
        <v>45185</v>
      </c>
      <c r="G250" s="14" t="s">
        <v>1307</v>
      </c>
      <c r="H250" s="13" t="s">
        <v>132</v>
      </c>
      <c r="I250" s="17">
        <v>5230874</v>
      </c>
      <c r="J250" s="17" t="s">
        <v>1316</v>
      </c>
      <c r="K250" s="19"/>
      <c r="L250" s="13">
        <v>0</v>
      </c>
      <c r="M250" s="13">
        <v>250</v>
      </c>
      <c r="N250" s="13">
        <v>16</v>
      </c>
      <c r="O250" s="13">
        <f t="shared" ref="O250:O251" si="238">N250*M250</f>
        <v>4000</v>
      </c>
      <c r="P250" s="19" t="s">
        <v>477</v>
      </c>
      <c r="Q250" s="13" t="s">
        <v>247</v>
      </c>
      <c r="R250" s="13" t="s">
        <v>997</v>
      </c>
      <c r="S250" s="13" t="s">
        <v>431</v>
      </c>
      <c r="T250" s="13">
        <v>992</v>
      </c>
      <c r="U250" s="20">
        <v>45220</v>
      </c>
      <c r="V250" s="20">
        <v>45222</v>
      </c>
      <c r="W250" s="19"/>
      <c r="X250" s="24">
        <v>45221.375</v>
      </c>
      <c r="Y250" s="24">
        <v>45221.569444444445</v>
      </c>
      <c r="Z250" s="25">
        <f t="shared" ref="Z250:Z251" si="239">Y250-X250</f>
        <v>0.19444444444525288</v>
      </c>
      <c r="AA250" s="24">
        <v>45221.541666666664</v>
      </c>
      <c r="AB250" s="24">
        <v>45221.569444444445</v>
      </c>
      <c r="AC250" s="25">
        <f t="shared" ref="AC250:AC251" si="240">AB250-AA250</f>
        <v>2.7777777781011537E-2</v>
      </c>
    </row>
    <row r="251" spans="1:29" x14ac:dyDescent="0.25">
      <c r="A251" s="12">
        <v>45200</v>
      </c>
      <c r="B251" s="13">
        <v>269</v>
      </c>
      <c r="C251" s="13">
        <v>8303046</v>
      </c>
      <c r="D251" s="13">
        <v>4908929674</v>
      </c>
      <c r="E251" s="13" t="s">
        <v>1315</v>
      </c>
      <c r="F251" s="20">
        <v>45195</v>
      </c>
      <c r="G251" s="19">
        <v>4230219362</v>
      </c>
      <c r="H251" s="13" t="s">
        <v>192</v>
      </c>
      <c r="I251" s="17">
        <v>5205497</v>
      </c>
      <c r="J251" s="17" t="s">
        <v>1211</v>
      </c>
      <c r="K251" s="19"/>
      <c r="L251" s="13">
        <v>0</v>
      </c>
      <c r="M251" s="13">
        <v>25</v>
      </c>
      <c r="N251" s="13">
        <v>1080</v>
      </c>
      <c r="O251" s="13">
        <f t="shared" si="238"/>
        <v>27000</v>
      </c>
      <c r="P251" s="19" t="s">
        <v>477</v>
      </c>
      <c r="Q251" s="13" t="s">
        <v>247</v>
      </c>
      <c r="R251" s="19" t="s">
        <v>209</v>
      </c>
      <c r="S251" s="13" t="s">
        <v>704</v>
      </c>
      <c r="T251" s="13">
        <v>999</v>
      </c>
      <c r="U251" s="20">
        <v>45222</v>
      </c>
      <c r="V251" s="20">
        <v>45224</v>
      </c>
      <c r="W251" s="19"/>
      <c r="X251" s="24">
        <v>45224.368055555555</v>
      </c>
      <c r="Y251" s="24">
        <v>45224.444444444445</v>
      </c>
      <c r="Z251" s="25">
        <f t="shared" si="239"/>
        <v>7.6388888890505768E-2</v>
      </c>
      <c r="AA251" s="24">
        <v>45224.375</v>
      </c>
      <c r="AB251" s="24">
        <v>45224.444444444445</v>
      </c>
      <c r="AC251" s="25">
        <f t="shared" si="240"/>
        <v>6.9444444445252884E-2</v>
      </c>
    </row>
    <row r="252" spans="1:29" x14ac:dyDescent="0.25">
      <c r="A252" s="12">
        <v>45200</v>
      </c>
      <c r="B252" s="13">
        <v>270</v>
      </c>
      <c r="C252" s="13">
        <v>8303046</v>
      </c>
      <c r="D252" s="13">
        <v>4908929674</v>
      </c>
      <c r="E252" s="13" t="s">
        <v>1315</v>
      </c>
      <c r="F252" s="20">
        <v>45195</v>
      </c>
      <c r="G252" s="19">
        <v>4230219362</v>
      </c>
      <c r="H252" s="13" t="s">
        <v>192</v>
      </c>
      <c r="I252" s="17">
        <v>5205497</v>
      </c>
      <c r="J252" s="17" t="s">
        <v>1211</v>
      </c>
      <c r="K252" s="19"/>
      <c r="L252" s="13">
        <v>0</v>
      </c>
      <c r="M252" s="13">
        <v>25</v>
      </c>
      <c r="N252" s="13">
        <v>1080</v>
      </c>
      <c r="O252" s="13">
        <f t="shared" ref="O252:O254" si="241">N252*M252</f>
        <v>27000</v>
      </c>
      <c r="P252" s="19" t="s">
        <v>477</v>
      </c>
      <c r="Q252" s="13" t="s">
        <v>247</v>
      </c>
      <c r="R252" s="19" t="s">
        <v>209</v>
      </c>
      <c r="S252" s="13" t="s">
        <v>316</v>
      </c>
      <c r="T252" s="13">
        <v>1000</v>
      </c>
      <c r="U252" s="20">
        <v>45222</v>
      </c>
      <c r="V252" s="20">
        <v>45224</v>
      </c>
      <c r="W252" s="19"/>
      <c r="X252" s="24">
        <v>45224.368055555555</v>
      </c>
      <c r="Y252" s="24">
        <v>45224.527777777781</v>
      </c>
      <c r="Z252" s="25">
        <f t="shared" ref="Z252:Z254" si="242">Y252-X252</f>
        <v>0.15972222222626442</v>
      </c>
      <c r="AA252" s="24">
        <v>45224.472222222219</v>
      </c>
      <c r="AB252" s="24">
        <v>45224.527777777781</v>
      </c>
      <c r="AC252" s="25">
        <f t="shared" ref="AC252:AC254" si="243">AB252-AA252</f>
        <v>5.5555555562023073E-2</v>
      </c>
    </row>
    <row r="253" spans="1:29" x14ac:dyDescent="0.25">
      <c r="A253" s="12">
        <v>45200</v>
      </c>
      <c r="B253" s="13">
        <v>271</v>
      </c>
      <c r="C253" s="13">
        <v>8285507</v>
      </c>
      <c r="D253" s="13">
        <v>4908929807</v>
      </c>
      <c r="E253" s="13" t="s">
        <v>1323</v>
      </c>
      <c r="F253" s="20">
        <v>45191</v>
      </c>
      <c r="G253" s="19">
        <v>2102980422</v>
      </c>
      <c r="H253" s="13" t="s">
        <v>192</v>
      </c>
      <c r="I253" s="17">
        <v>5212256</v>
      </c>
      <c r="J253" s="17" t="s">
        <v>22</v>
      </c>
      <c r="K253" s="19"/>
      <c r="L253" s="13">
        <v>0</v>
      </c>
      <c r="M253" s="13">
        <v>25</v>
      </c>
      <c r="N253" s="13">
        <v>1040</v>
      </c>
      <c r="O253" s="13">
        <f t="shared" si="241"/>
        <v>26000</v>
      </c>
      <c r="P253" s="19" t="s">
        <v>477</v>
      </c>
      <c r="Q253" s="13" t="s">
        <v>159</v>
      </c>
      <c r="R253" s="19" t="s">
        <v>209</v>
      </c>
      <c r="S253" s="13" t="s">
        <v>712</v>
      </c>
      <c r="T253" s="13">
        <v>14761</v>
      </c>
      <c r="U253" s="20">
        <v>45224</v>
      </c>
      <c r="V253" s="20">
        <v>45225</v>
      </c>
      <c r="W253" s="19"/>
      <c r="X253" s="24">
        <v>45225.375</v>
      </c>
      <c r="Y253" s="24">
        <v>45225.46875</v>
      </c>
      <c r="Z253" s="25">
        <f t="shared" si="242"/>
        <v>9.375E-2</v>
      </c>
      <c r="AA253" s="24">
        <v>45225.4375</v>
      </c>
      <c r="AB253" s="24">
        <v>45225.46875</v>
      </c>
      <c r="AC253" s="25">
        <f t="shared" si="243"/>
        <v>3.125E-2</v>
      </c>
    </row>
    <row r="254" spans="1:29" x14ac:dyDescent="0.25">
      <c r="A254" s="12">
        <v>45200</v>
      </c>
      <c r="B254" s="13">
        <v>272</v>
      </c>
      <c r="C254" s="13">
        <v>8224388</v>
      </c>
      <c r="D254" s="13">
        <v>4908929807</v>
      </c>
      <c r="E254" s="13" t="s">
        <v>1324</v>
      </c>
      <c r="F254" s="20">
        <v>45184</v>
      </c>
      <c r="G254" s="13" t="s">
        <v>1325</v>
      </c>
      <c r="H254" s="13" t="s">
        <v>192</v>
      </c>
      <c r="I254" s="17">
        <v>5212256</v>
      </c>
      <c r="J254" s="17" t="s">
        <v>22</v>
      </c>
      <c r="K254" s="19"/>
      <c r="L254" s="13">
        <v>0</v>
      </c>
      <c r="M254" s="13">
        <v>25</v>
      </c>
      <c r="N254" s="13">
        <v>323</v>
      </c>
      <c r="O254" s="13">
        <f t="shared" si="241"/>
        <v>8075</v>
      </c>
      <c r="P254" s="19" t="s">
        <v>477</v>
      </c>
      <c r="Q254" s="13" t="s">
        <v>247</v>
      </c>
      <c r="R254" s="19" t="s">
        <v>209</v>
      </c>
      <c r="S254" s="13" t="s">
        <v>704</v>
      </c>
      <c r="T254" s="13">
        <v>995</v>
      </c>
      <c r="U254" s="20">
        <v>45224</v>
      </c>
      <c r="V254" s="20">
        <v>45225</v>
      </c>
      <c r="W254" s="19"/>
      <c r="X254" s="24">
        <v>45225.375</v>
      </c>
      <c r="Y254" s="24">
        <v>45225.5</v>
      </c>
      <c r="Z254" s="25">
        <f t="shared" si="242"/>
        <v>0.125</v>
      </c>
      <c r="AA254" s="24">
        <v>45225.472222222219</v>
      </c>
      <c r="AB254" s="24">
        <v>45225.5</v>
      </c>
      <c r="AC254" s="25">
        <f t="shared" si="243"/>
        <v>2.7777777781011537E-2</v>
      </c>
    </row>
    <row r="255" spans="1:29" x14ac:dyDescent="0.25">
      <c r="A255" s="12">
        <v>45200</v>
      </c>
      <c r="B255" s="13">
        <v>272</v>
      </c>
      <c r="C255" s="13">
        <v>8224388</v>
      </c>
      <c r="D255" s="13">
        <v>4908929807</v>
      </c>
      <c r="E255" s="13" t="s">
        <v>1324</v>
      </c>
      <c r="F255" s="20">
        <v>45184</v>
      </c>
      <c r="G255" s="13" t="s">
        <v>1326</v>
      </c>
      <c r="H255" s="13" t="s">
        <v>192</v>
      </c>
      <c r="I255" s="17">
        <v>5212256</v>
      </c>
      <c r="J255" s="17" t="s">
        <v>22</v>
      </c>
      <c r="K255" s="19"/>
      <c r="L255" s="13">
        <v>0</v>
      </c>
      <c r="M255" s="13">
        <v>25</v>
      </c>
      <c r="N255" s="13">
        <v>421</v>
      </c>
      <c r="O255" s="13">
        <f t="shared" ref="O255:O258" si="244">N255*M255</f>
        <v>10525</v>
      </c>
      <c r="P255" s="19" t="s">
        <v>477</v>
      </c>
      <c r="Q255" s="13" t="s">
        <v>247</v>
      </c>
      <c r="R255" s="19" t="s">
        <v>209</v>
      </c>
      <c r="S255" s="13" t="s">
        <v>704</v>
      </c>
      <c r="T255" s="13">
        <v>995</v>
      </c>
      <c r="U255" s="20">
        <v>45224</v>
      </c>
      <c r="V255" s="20">
        <v>45225</v>
      </c>
      <c r="W255" s="19"/>
      <c r="X255" s="24">
        <v>45225.375</v>
      </c>
      <c r="Y255" s="24">
        <v>45225.5</v>
      </c>
      <c r="Z255" s="25">
        <f t="shared" ref="Z255:Z258" si="245">Y255-X255</f>
        <v>0.125</v>
      </c>
      <c r="AA255" s="24">
        <v>45225.472222222219</v>
      </c>
      <c r="AB255" s="24">
        <v>45225.5</v>
      </c>
      <c r="AC255" s="25">
        <f t="shared" ref="AC255:AC258" si="246">AB255-AA255</f>
        <v>2.7777777781011537E-2</v>
      </c>
    </row>
    <row r="256" spans="1:29" x14ac:dyDescent="0.25">
      <c r="A256" s="12">
        <v>45200</v>
      </c>
      <c r="B256" s="13">
        <v>272</v>
      </c>
      <c r="C256" s="13">
        <v>8224388</v>
      </c>
      <c r="D256" s="13">
        <v>4908929807</v>
      </c>
      <c r="E256" s="13" t="s">
        <v>1324</v>
      </c>
      <c r="F256" s="20">
        <v>45184</v>
      </c>
      <c r="G256" s="13" t="s">
        <v>1327</v>
      </c>
      <c r="H256" s="13" t="s">
        <v>192</v>
      </c>
      <c r="I256" s="17">
        <v>5212256</v>
      </c>
      <c r="J256" s="17" t="s">
        <v>22</v>
      </c>
      <c r="K256" s="19"/>
      <c r="L256" s="13">
        <v>0</v>
      </c>
      <c r="M256" s="13">
        <v>25</v>
      </c>
      <c r="N256" s="13">
        <v>252</v>
      </c>
      <c r="O256" s="13">
        <f t="shared" si="244"/>
        <v>6300</v>
      </c>
      <c r="P256" s="19" t="s">
        <v>477</v>
      </c>
      <c r="Q256" s="13" t="s">
        <v>247</v>
      </c>
      <c r="R256" s="19" t="s">
        <v>209</v>
      </c>
      <c r="S256" s="13" t="s">
        <v>704</v>
      </c>
      <c r="T256" s="13">
        <v>995</v>
      </c>
      <c r="U256" s="20">
        <v>45224</v>
      </c>
      <c r="V256" s="20">
        <v>45225</v>
      </c>
      <c r="W256" s="19"/>
      <c r="X256" s="24">
        <v>45225.375</v>
      </c>
      <c r="Y256" s="24">
        <v>45225.5</v>
      </c>
      <c r="Z256" s="25">
        <f t="shared" si="245"/>
        <v>0.125</v>
      </c>
      <c r="AA256" s="24">
        <v>45225.472222222219</v>
      </c>
      <c r="AB256" s="24">
        <v>45225.5</v>
      </c>
      <c r="AC256" s="25">
        <f t="shared" si="246"/>
        <v>2.7777777781011537E-2</v>
      </c>
    </row>
    <row r="257" spans="1:29" x14ac:dyDescent="0.25">
      <c r="A257" s="12">
        <v>45200</v>
      </c>
      <c r="B257" s="13">
        <v>272</v>
      </c>
      <c r="C257" s="13">
        <v>8224388</v>
      </c>
      <c r="D257" s="13">
        <v>4908929807</v>
      </c>
      <c r="E257" s="13" t="s">
        <v>1324</v>
      </c>
      <c r="F257" s="20">
        <v>45184</v>
      </c>
      <c r="G257" s="13" t="s">
        <v>1134</v>
      </c>
      <c r="H257" s="13" t="s">
        <v>192</v>
      </c>
      <c r="I257" s="17">
        <v>5212256</v>
      </c>
      <c r="J257" s="17" t="s">
        <v>22</v>
      </c>
      <c r="K257" s="19"/>
      <c r="L257" s="13">
        <v>0</v>
      </c>
      <c r="M257" s="13">
        <v>25</v>
      </c>
      <c r="N257" s="13">
        <v>44</v>
      </c>
      <c r="O257" s="13">
        <f t="shared" si="244"/>
        <v>1100</v>
      </c>
      <c r="P257" s="19" t="s">
        <v>477</v>
      </c>
      <c r="Q257" s="13" t="s">
        <v>247</v>
      </c>
      <c r="R257" s="19" t="s">
        <v>209</v>
      </c>
      <c r="S257" s="13" t="s">
        <v>704</v>
      </c>
      <c r="T257" s="13">
        <v>995</v>
      </c>
      <c r="U257" s="20">
        <v>45224</v>
      </c>
      <c r="V257" s="20">
        <v>45225</v>
      </c>
      <c r="W257" s="19"/>
      <c r="X257" s="24">
        <v>45225.375</v>
      </c>
      <c r="Y257" s="24">
        <v>45225.5</v>
      </c>
      <c r="Z257" s="25">
        <f t="shared" si="245"/>
        <v>0.125</v>
      </c>
      <c r="AA257" s="24">
        <v>45225.472222222219</v>
      </c>
      <c r="AB257" s="24">
        <v>45225.5</v>
      </c>
      <c r="AC257" s="25">
        <f t="shared" si="246"/>
        <v>2.7777777781011537E-2</v>
      </c>
    </row>
    <row r="258" spans="1:29" x14ac:dyDescent="0.25">
      <c r="A258" s="12">
        <v>45200</v>
      </c>
      <c r="B258" s="13">
        <v>273</v>
      </c>
      <c r="C258" s="13">
        <v>8285500</v>
      </c>
      <c r="D258" s="13">
        <v>4908939308</v>
      </c>
      <c r="E258" s="13" t="s">
        <v>1328</v>
      </c>
      <c r="F258" s="20">
        <v>45192</v>
      </c>
      <c r="G258" s="13" t="s">
        <v>1329</v>
      </c>
      <c r="H258" s="13" t="s">
        <v>192</v>
      </c>
      <c r="I258" s="17">
        <v>5212252</v>
      </c>
      <c r="J258" s="17" t="s">
        <v>23</v>
      </c>
      <c r="K258" s="19"/>
      <c r="L258" s="13">
        <v>0</v>
      </c>
      <c r="M258" s="13">
        <v>25</v>
      </c>
      <c r="N258" s="13">
        <v>920</v>
      </c>
      <c r="O258" s="13">
        <f t="shared" si="244"/>
        <v>23000</v>
      </c>
      <c r="P258" s="19" t="s">
        <v>477</v>
      </c>
      <c r="Q258" s="13" t="s">
        <v>159</v>
      </c>
      <c r="R258" s="19" t="s">
        <v>209</v>
      </c>
      <c r="S258" s="13" t="s">
        <v>1330</v>
      </c>
      <c r="T258" s="13">
        <v>14757</v>
      </c>
      <c r="U258" s="20">
        <v>45224</v>
      </c>
      <c r="V258" s="20">
        <v>45225</v>
      </c>
      <c r="W258" s="19"/>
      <c r="X258" s="24">
        <v>45225.375</v>
      </c>
      <c r="Y258" s="24">
        <v>45225.552083333336</v>
      </c>
      <c r="Z258" s="25">
        <f t="shared" si="245"/>
        <v>0.17708333333575865</v>
      </c>
      <c r="AA258" s="24">
        <v>45225.527777777781</v>
      </c>
      <c r="AB258" s="24">
        <v>45225.552083333336</v>
      </c>
      <c r="AC258" s="25">
        <f t="shared" si="246"/>
        <v>2.4305555554747116E-2</v>
      </c>
    </row>
    <row r="259" spans="1:29" x14ac:dyDescent="0.25">
      <c r="A259" s="12">
        <v>45200</v>
      </c>
      <c r="B259" s="13">
        <v>273</v>
      </c>
      <c r="C259" s="13">
        <v>8285500</v>
      </c>
      <c r="D259" s="13">
        <v>4908939308</v>
      </c>
      <c r="E259" s="13" t="s">
        <v>1328</v>
      </c>
      <c r="F259" s="20">
        <v>45192</v>
      </c>
      <c r="G259" s="13" t="s">
        <v>1301</v>
      </c>
      <c r="H259" s="13" t="s">
        <v>192</v>
      </c>
      <c r="I259" s="17">
        <v>5212252</v>
      </c>
      <c r="J259" s="17" t="s">
        <v>23</v>
      </c>
      <c r="K259" s="19"/>
      <c r="L259" s="13">
        <v>0</v>
      </c>
      <c r="M259" s="13">
        <v>25</v>
      </c>
      <c r="N259" s="13">
        <v>120</v>
      </c>
      <c r="O259" s="13">
        <f t="shared" ref="O259:O261" si="247">N259*M259</f>
        <v>3000</v>
      </c>
      <c r="P259" s="19" t="s">
        <v>477</v>
      </c>
      <c r="Q259" s="13" t="s">
        <v>159</v>
      </c>
      <c r="R259" s="19" t="s">
        <v>209</v>
      </c>
      <c r="S259" s="13" t="s">
        <v>1330</v>
      </c>
      <c r="T259" s="13">
        <v>14757</v>
      </c>
      <c r="U259" s="20">
        <v>45224</v>
      </c>
      <c r="V259" s="20">
        <v>45225</v>
      </c>
      <c r="W259" s="19"/>
      <c r="X259" s="24">
        <v>45225.375</v>
      </c>
      <c r="Y259" s="24">
        <v>45225.552083333336</v>
      </c>
      <c r="Z259" s="25">
        <f t="shared" ref="Z259:Z261" si="248">Y259-X259</f>
        <v>0.17708333333575865</v>
      </c>
      <c r="AA259" s="24">
        <v>45225.527777777781</v>
      </c>
      <c r="AB259" s="24">
        <v>45225.552083333336</v>
      </c>
      <c r="AC259" s="25">
        <f t="shared" ref="AC259:AC261" si="249">AB259-AA259</f>
        <v>2.4305555554747116E-2</v>
      </c>
    </row>
    <row r="260" spans="1:29" x14ac:dyDescent="0.25">
      <c r="A260" s="12">
        <v>45200</v>
      </c>
      <c r="B260" s="13">
        <v>274</v>
      </c>
      <c r="C260" s="13">
        <v>8291918</v>
      </c>
      <c r="D260" s="9">
        <v>4908939415</v>
      </c>
      <c r="E260" s="9" t="s">
        <v>1331</v>
      </c>
      <c r="F260" s="64">
        <v>45187</v>
      </c>
      <c r="G260" s="9" t="s">
        <v>1333</v>
      </c>
      <c r="H260" s="9" t="s">
        <v>132</v>
      </c>
      <c r="I260" s="17">
        <v>5302866</v>
      </c>
      <c r="J260" s="17" t="s">
        <v>1332</v>
      </c>
      <c r="K260" s="9"/>
      <c r="L260" s="9">
        <v>0</v>
      </c>
      <c r="M260" s="9">
        <v>210</v>
      </c>
      <c r="N260" s="9">
        <v>120</v>
      </c>
      <c r="O260" s="9">
        <f t="shared" si="247"/>
        <v>25200</v>
      </c>
      <c r="P260" s="9" t="s">
        <v>477</v>
      </c>
      <c r="Q260" s="9" t="s">
        <v>159</v>
      </c>
      <c r="R260" s="9" t="s">
        <v>209</v>
      </c>
      <c r="S260" s="9" t="s">
        <v>1168</v>
      </c>
      <c r="T260" s="9">
        <v>14759</v>
      </c>
      <c r="U260" s="64">
        <v>45224</v>
      </c>
      <c r="V260" s="20">
        <v>45225</v>
      </c>
      <c r="W260" s="19"/>
      <c r="X260" s="24">
        <v>45225.375</v>
      </c>
      <c r="Y260" s="24">
        <v>45225.71875</v>
      </c>
      <c r="Z260" s="25">
        <f t="shared" si="248"/>
        <v>0.34375</v>
      </c>
      <c r="AA260" s="24">
        <v>45225.6875</v>
      </c>
      <c r="AB260" s="24">
        <v>45225.71875</v>
      </c>
      <c r="AC260" s="25">
        <f t="shared" si="249"/>
        <v>3.125E-2</v>
      </c>
    </row>
    <row r="261" spans="1:29" x14ac:dyDescent="0.25">
      <c r="A261" s="12">
        <v>45200</v>
      </c>
      <c r="B261" s="13">
        <v>275</v>
      </c>
      <c r="C261" s="13">
        <v>8291918</v>
      </c>
      <c r="D261" s="9">
        <v>4908939415</v>
      </c>
      <c r="E261" s="9" t="s">
        <v>1331</v>
      </c>
      <c r="F261" s="64">
        <v>45187</v>
      </c>
      <c r="G261" s="9" t="s">
        <v>1333</v>
      </c>
      <c r="H261" s="9" t="s">
        <v>132</v>
      </c>
      <c r="I261" s="17">
        <v>5302866</v>
      </c>
      <c r="J261" s="17" t="s">
        <v>1332</v>
      </c>
      <c r="K261" s="9"/>
      <c r="L261" s="9">
        <v>0</v>
      </c>
      <c r="M261" s="9">
        <v>210</v>
      </c>
      <c r="N261" s="9">
        <v>10</v>
      </c>
      <c r="O261" s="9">
        <f t="shared" si="247"/>
        <v>2100</v>
      </c>
      <c r="P261" s="9" t="s">
        <v>477</v>
      </c>
      <c r="Q261" s="9" t="s">
        <v>159</v>
      </c>
      <c r="R261" s="9" t="s">
        <v>209</v>
      </c>
      <c r="S261" s="9" t="s">
        <v>1344</v>
      </c>
      <c r="T261" s="9">
        <v>14760</v>
      </c>
      <c r="U261" s="64">
        <v>45224</v>
      </c>
      <c r="V261" s="20">
        <v>45225</v>
      </c>
      <c r="W261" s="19"/>
      <c r="X261" s="24">
        <v>45225.375</v>
      </c>
      <c r="Y261" s="24">
        <v>45225.895833333336</v>
      </c>
      <c r="Z261" s="25">
        <f t="shared" si="248"/>
        <v>0.52083333333575865</v>
      </c>
      <c r="AA261" s="24">
        <v>45225.847222222219</v>
      </c>
      <c r="AB261" s="24">
        <v>45225.895833333336</v>
      </c>
      <c r="AC261" s="25">
        <f t="shared" si="249"/>
        <v>4.8611111116770189E-2</v>
      </c>
    </row>
    <row r="262" spans="1:29" x14ac:dyDescent="0.25">
      <c r="A262" s="12">
        <v>45200</v>
      </c>
      <c r="B262" s="13">
        <v>275</v>
      </c>
      <c r="C262" s="13">
        <v>8291918</v>
      </c>
      <c r="D262" s="9">
        <v>4908939415</v>
      </c>
      <c r="E262" s="9" t="s">
        <v>1331</v>
      </c>
      <c r="F262" s="64">
        <v>45187</v>
      </c>
      <c r="G262" s="9" t="s">
        <v>1345</v>
      </c>
      <c r="H262" s="9" t="s">
        <v>132</v>
      </c>
      <c r="I262" s="17">
        <v>5302866</v>
      </c>
      <c r="J262" s="17" t="s">
        <v>1332</v>
      </c>
      <c r="K262" s="9"/>
      <c r="L262" s="9">
        <v>0</v>
      </c>
      <c r="M262" s="9">
        <v>210</v>
      </c>
      <c r="N262" s="9">
        <v>20</v>
      </c>
      <c r="O262" s="9">
        <f t="shared" ref="O262:O265" si="250">N262*M262</f>
        <v>4200</v>
      </c>
      <c r="P262" s="9" t="s">
        <v>477</v>
      </c>
      <c r="Q262" s="9" t="s">
        <v>159</v>
      </c>
      <c r="R262" s="9" t="s">
        <v>209</v>
      </c>
      <c r="S262" s="9" t="s">
        <v>1344</v>
      </c>
      <c r="T262" s="9">
        <v>14760</v>
      </c>
      <c r="U262" s="64">
        <v>45224</v>
      </c>
      <c r="V262" s="20">
        <v>45225</v>
      </c>
      <c r="W262" s="19"/>
      <c r="X262" s="24">
        <v>45225.375</v>
      </c>
      <c r="Y262" s="24">
        <v>45225.895833333336</v>
      </c>
      <c r="Z262" s="25">
        <f t="shared" ref="Z262:Z265" si="251">Y262-X262</f>
        <v>0.52083333333575865</v>
      </c>
      <c r="AA262" s="24">
        <v>45225.847222222219</v>
      </c>
      <c r="AB262" s="24">
        <v>45225.895833333336</v>
      </c>
      <c r="AC262" s="25">
        <f t="shared" ref="AC262:AC265" si="252">AB262-AA262</f>
        <v>4.8611111116770189E-2</v>
      </c>
    </row>
    <row r="263" spans="1:29" x14ac:dyDescent="0.25">
      <c r="A263" s="12">
        <v>45200</v>
      </c>
      <c r="B263" s="13">
        <v>275</v>
      </c>
      <c r="C263" s="13">
        <v>8291918</v>
      </c>
      <c r="D263" s="9">
        <v>4908939415</v>
      </c>
      <c r="E263" s="9" t="s">
        <v>1331</v>
      </c>
      <c r="F263" s="64">
        <v>45187</v>
      </c>
      <c r="G263" s="9" t="s">
        <v>1346</v>
      </c>
      <c r="H263" s="9" t="s">
        <v>132</v>
      </c>
      <c r="I263" s="17">
        <v>5302866</v>
      </c>
      <c r="J263" s="17" t="s">
        <v>1332</v>
      </c>
      <c r="K263" s="9"/>
      <c r="L263" s="9">
        <v>0</v>
      </c>
      <c r="M263" s="9">
        <v>210</v>
      </c>
      <c r="N263" s="9">
        <v>90</v>
      </c>
      <c r="O263" s="9">
        <f t="shared" si="250"/>
        <v>18900</v>
      </c>
      <c r="P263" s="9" t="s">
        <v>477</v>
      </c>
      <c r="Q263" s="9" t="s">
        <v>159</v>
      </c>
      <c r="R263" s="9" t="s">
        <v>209</v>
      </c>
      <c r="S263" s="9" t="s">
        <v>1344</v>
      </c>
      <c r="T263" s="9">
        <v>14760</v>
      </c>
      <c r="U263" s="64">
        <v>45224</v>
      </c>
      <c r="V263" s="20">
        <v>45225</v>
      </c>
      <c r="W263" s="19"/>
      <c r="X263" s="24">
        <v>45225.375</v>
      </c>
      <c r="Y263" s="24">
        <v>45225.895833333336</v>
      </c>
      <c r="Z263" s="25">
        <f t="shared" si="251"/>
        <v>0.52083333333575865</v>
      </c>
      <c r="AA263" s="24">
        <v>45225.847222222219</v>
      </c>
      <c r="AB263" s="24">
        <v>45225.895833333336</v>
      </c>
      <c r="AC263" s="25">
        <f t="shared" si="252"/>
        <v>4.8611111116770189E-2</v>
      </c>
    </row>
    <row r="264" spans="1:29" x14ac:dyDescent="0.25">
      <c r="A264" s="12">
        <v>45200</v>
      </c>
      <c r="B264" s="13">
        <v>276</v>
      </c>
      <c r="C264" s="13">
        <v>8285500</v>
      </c>
      <c r="D264" s="13">
        <v>4908939411</v>
      </c>
      <c r="E264" s="13" t="s">
        <v>1328</v>
      </c>
      <c r="F264" s="20">
        <v>45192</v>
      </c>
      <c r="G264" s="13" t="s">
        <v>1301</v>
      </c>
      <c r="H264" s="13" t="s">
        <v>192</v>
      </c>
      <c r="I264" s="17">
        <v>5212252</v>
      </c>
      <c r="J264" s="17" t="s">
        <v>23</v>
      </c>
      <c r="K264" s="19"/>
      <c r="L264" s="13">
        <v>0</v>
      </c>
      <c r="M264" s="13">
        <v>25</v>
      </c>
      <c r="N264" s="13">
        <v>1040</v>
      </c>
      <c r="O264" s="13">
        <f t="shared" si="250"/>
        <v>26000</v>
      </c>
      <c r="P264" s="19" t="s">
        <v>477</v>
      </c>
      <c r="Q264" s="13" t="s">
        <v>159</v>
      </c>
      <c r="R264" s="19" t="s">
        <v>209</v>
      </c>
      <c r="S264" s="13" t="s">
        <v>1347</v>
      </c>
      <c r="T264" s="13">
        <v>14758</v>
      </c>
      <c r="U264" s="20">
        <v>45224</v>
      </c>
      <c r="V264" s="20">
        <v>45225</v>
      </c>
      <c r="W264" s="19"/>
      <c r="X264" s="24">
        <v>45225.375</v>
      </c>
      <c r="Y264" s="24">
        <v>45225.902777777781</v>
      </c>
      <c r="Z264" s="25">
        <f t="shared" si="251"/>
        <v>0.52777777778101154</v>
      </c>
      <c r="AA264" s="24">
        <v>45225.840277777781</v>
      </c>
      <c r="AB264" s="24">
        <v>45225.902777777781</v>
      </c>
      <c r="AC264" s="25">
        <f t="shared" si="252"/>
        <v>6.25E-2</v>
      </c>
    </row>
    <row r="265" spans="1:29" x14ac:dyDescent="0.25">
      <c r="A265" s="12">
        <v>45200</v>
      </c>
      <c r="B265" s="13">
        <v>277</v>
      </c>
      <c r="C265" s="13">
        <v>8368021</v>
      </c>
      <c r="D265" s="9">
        <v>4909057221</v>
      </c>
      <c r="E265" s="13" t="s">
        <v>1364</v>
      </c>
      <c r="F265" s="20">
        <v>45194</v>
      </c>
      <c r="G265" s="14" t="s">
        <v>1365</v>
      </c>
      <c r="H265" s="13" t="s">
        <v>192</v>
      </c>
      <c r="I265" s="17">
        <v>5212252</v>
      </c>
      <c r="J265" s="17" t="s">
        <v>23</v>
      </c>
      <c r="K265" s="19"/>
      <c r="L265" s="13">
        <v>0</v>
      </c>
      <c r="M265" s="13">
        <v>25</v>
      </c>
      <c r="N265" s="13">
        <v>1040</v>
      </c>
      <c r="O265" s="13">
        <f t="shared" si="250"/>
        <v>26000</v>
      </c>
      <c r="P265" s="19" t="s">
        <v>477</v>
      </c>
      <c r="Q265" s="13" t="s">
        <v>159</v>
      </c>
      <c r="R265" s="13" t="s">
        <v>997</v>
      </c>
      <c r="S265" s="13" t="s">
        <v>1366</v>
      </c>
      <c r="T265" s="13">
        <v>999</v>
      </c>
      <c r="U265" s="20">
        <v>45225</v>
      </c>
      <c r="V265" s="20">
        <v>45226</v>
      </c>
      <c r="W265" s="19"/>
      <c r="X265" s="24">
        <v>45226.375</v>
      </c>
      <c r="Y265" s="24">
        <v>45226.479166666664</v>
      </c>
      <c r="Z265" s="25">
        <f t="shared" si="251"/>
        <v>0.10416666666424135</v>
      </c>
      <c r="AA265" s="24">
        <v>45226.451388888891</v>
      </c>
      <c r="AB265" s="24">
        <v>45226.479166666664</v>
      </c>
      <c r="AC265" s="25">
        <f t="shared" si="252"/>
        <v>2.7777777773735579E-2</v>
      </c>
    </row>
    <row r="266" spans="1:29" x14ac:dyDescent="0.25">
      <c r="A266" s="12">
        <v>45200</v>
      </c>
      <c r="B266" s="13">
        <v>278</v>
      </c>
      <c r="C266" s="13">
        <v>8169767</v>
      </c>
      <c r="D266" s="9">
        <v>4909057229</v>
      </c>
      <c r="E266" s="13" t="s">
        <v>1348</v>
      </c>
      <c r="F266" s="20">
        <v>45188</v>
      </c>
      <c r="G266" s="49" t="s">
        <v>1296</v>
      </c>
      <c r="H266" s="13" t="s">
        <v>132</v>
      </c>
      <c r="I266" s="17">
        <v>5230874</v>
      </c>
      <c r="J266" s="17" t="s">
        <v>1316</v>
      </c>
      <c r="K266" s="19"/>
      <c r="L266" s="13">
        <v>0</v>
      </c>
      <c r="M266" s="13">
        <v>250</v>
      </c>
      <c r="N266" s="13">
        <v>43</v>
      </c>
      <c r="O266" s="13">
        <f t="shared" ref="O266:O268" si="253">N266*M266</f>
        <v>10750</v>
      </c>
      <c r="P266" s="19" t="s">
        <v>477</v>
      </c>
      <c r="Q266" s="13" t="s">
        <v>159</v>
      </c>
      <c r="R266" s="13" t="s">
        <v>997</v>
      </c>
      <c r="S266" s="13" t="s">
        <v>1349</v>
      </c>
      <c r="T266" s="13">
        <v>14767</v>
      </c>
      <c r="U266" s="20">
        <v>45225</v>
      </c>
      <c r="V266" s="20">
        <v>45226</v>
      </c>
      <c r="W266" s="19"/>
      <c r="X266" s="24">
        <v>45226.4375</v>
      </c>
      <c r="Y266" s="24">
        <v>45226.729166666664</v>
      </c>
      <c r="Z266" s="25">
        <f t="shared" ref="Z266:Z268" si="254">Y266-X266</f>
        <v>0.29166666666424135</v>
      </c>
      <c r="AA266" s="24">
        <v>45226.666666666664</v>
      </c>
      <c r="AB266" s="24">
        <v>45226.729166666664</v>
      </c>
      <c r="AC266" s="25">
        <f t="shared" ref="AC266:AC268" si="255">AB266-AA266</f>
        <v>6.25E-2</v>
      </c>
    </row>
    <row r="267" spans="1:29" x14ac:dyDescent="0.25">
      <c r="A267" s="12">
        <v>45200</v>
      </c>
      <c r="B267" s="13">
        <v>278</v>
      </c>
      <c r="C267" s="13">
        <v>8169767</v>
      </c>
      <c r="D267" s="9">
        <v>4909057229</v>
      </c>
      <c r="E267" s="13" t="s">
        <v>1348</v>
      </c>
      <c r="F267" s="20">
        <v>45188</v>
      </c>
      <c r="G267" s="49" t="s">
        <v>1287</v>
      </c>
      <c r="H267" s="13" t="s">
        <v>132</v>
      </c>
      <c r="I267" s="17">
        <v>5230874</v>
      </c>
      <c r="J267" s="17" t="s">
        <v>1316</v>
      </c>
      <c r="K267" s="19"/>
      <c r="L267" s="13">
        <v>0</v>
      </c>
      <c r="M267" s="13">
        <v>250</v>
      </c>
      <c r="N267" s="13">
        <v>37</v>
      </c>
      <c r="O267" s="13">
        <f t="shared" ref="O267" si="256">N267*M267</f>
        <v>9250</v>
      </c>
      <c r="P267" s="19" t="s">
        <v>477</v>
      </c>
      <c r="Q267" s="13" t="s">
        <v>159</v>
      </c>
      <c r="R267" s="13" t="s">
        <v>997</v>
      </c>
      <c r="S267" s="13" t="s">
        <v>1349</v>
      </c>
      <c r="T267" s="13">
        <v>14767</v>
      </c>
      <c r="U267" s="20">
        <v>45225</v>
      </c>
      <c r="V267" s="20">
        <v>45226</v>
      </c>
      <c r="W267" s="19"/>
      <c r="X267" s="24">
        <v>45226.4375</v>
      </c>
      <c r="Y267" s="24">
        <v>45226.729166666664</v>
      </c>
      <c r="Z267" s="25">
        <f t="shared" ref="Z267" si="257">Y267-X267</f>
        <v>0.29166666666424135</v>
      </c>
      <c r="AA267" s="24">
        <v>45226.666666666664</v>
      </c>
      <c r="AB267" s="24">
        <v>45226.729166666664</v>
      </c>
      <c r="AC267" s="25">
        <f t="shared" ref="AC267" si="258">AB267-AA267</f>
        <v>6.25E-2</v>
      </c>
    </row>
    <row r="268" spans="1:29" x14ac:dyDescent="0.25">
      <c r="A268" s="12">
        <v>45200</v>
      </c>
      <c r="B268" s="13">
        <v>279</v>
      </c>
      <c r="C268" s="13">
        <v>8285503</v>
      </c>
      <c r="D268" s="19"/>
      <c r="E268" s="13" t="s">
        <v>1352</v>
      </c>
      <c r="F268" s="20">
        <v>45195</v>
      </c>
      <c r="G268" s="19" t="s">
        <v>1353</v>
      </c>
      <c r="H268" s="13" t="s">
        <v>192</v>
      </c>
      <c r="I268" s="17">
        <v>5211014</v>
      </c>
      <c r="J268" s="17" t="s">
        <v>38</v>
      </c>
      <c r="K268" s="19"/>
      <c r="L268" s="13">
        <v>0</v>
      </c>
      <c r="M268" s="13">
        <v>25</v>
      </c>
      <c r="N268" s="13">
        <v>920</v>
      </c>
      <c r="O268" s="13">
        <f t="shared" si="253"/>
        <v>23000</v>
      </c>
      <c r="P268" s="19" t="s">
        <v>477</v>
      </c>
      <c r="Q268" s="13" t="s">
        <v>159</v>
      </c>
      <c r="R268" s="19" t="s">
        <v>209</v>
      </c>
      <c r="S268" s="13" t="s">
        <v>1354</v>
      </c>
      <c r="T268" s="13">
        <v>14769</v>
      </c>
      <c r="U268" s="20">
        <v>45226</v>
      </c>
      <c r="V268" s="20">
        <v>45227</v>
      </c>
      <c r="W268" s="19"/>
      <c r="X268" s="24">
        <v>45227.375</v>
      </c>
      <c r="Y268" s="24">
        <v>45227.618055555555</v>
      </c>
      <c r="Z268" s="25">
        <f t="shared" si="254"/>
        <v>0.24305555555474712</v>
      </c>
      <c r="AA268" s="24">
        <v>45227.604166666664</v>
      </c>
      <c r="AB268" s="24">
        <v>45227.673611111109</v>
      </c>
      <c r="AC268" s="25">
        <f t="shared" si="255"/>
        <v>6.9444444445252884E-2</v>
      </c>
    </row>
    <row r="269" spans="1:29" x14ac:dyDescent="0.25">
      <c r="A269" s="12">
        <v>45200</v>
      </c>
      <c r="B269" s="13">
        <v>279</v>
      </c>
      <c r="C269" s="13">
        <v>8285503</v>
      </c>
      <c r="D269" s="19"/>
      <c r="E269" s="13" t="s">
        <v>1352</v>
      </c>
      <c r="F269" s="20">
        <v>45195</v>
      </c>
      <c r="G269" s="19" t="s">
        <v>1191</v>
      </c>
      <c r="H269" s="13" t="s">
        <v>192</v>
      </c>
      <c r="I269" s="17">
        <v>5211014</v>
      </c>
      <c r="J269" s="17" t="s">
        <v>38</v>
      </c>
      <c r="K269" s="19"/>
      <c r="L269" s="13">
        <v>0</v>
      </c>
      <c r="M269" s="13">
        <v>25</v>
      </c>
      <c r="N269" s="13">
        <v>18</v>
      </c>
      <c r="O269" s="13">
        <f t="shared" ref="O269:O283" si="259">N269*M269</f>
        <v>450</v>
      </c>
      <c r="P269" s="19" t="s">
        <v>477</v>
      </c>
      <c r="Q269" s="13" t="s">
        <v>159</v>
      </c>
      <c r="R269" s="19" t="s">
        <v>209</v>
      </c>
      <c r="S269" s="13" t="s">
        <v>1354</v>
      </c>
      <c r="T269" s="13">
        <v>14769</v>
      </c>
      <c r="U269" s="20">
        <v>45226</v>
      </c>
      <c r="V269" s="20">
        <v>45227</v>
      </c>
      <c r="W269" s="19"/>
      <c r="X269" s="24">
        <v>45227.375</v>
      </c>
      <c r="Y269" s="24">
        <v>45227.618055555555</v>
      </c>
      <c r="Z269" s="25">
        <f t="shared" ref="Z269:Z284" si="260">Y269-X269</f>
        <v>0.24305555555474712</v>
      </c>
      <c r="AA269" s="24">
        <v>45227.604166666664</v>
      </c>
      <c r="AB269" s="24">
        <v>45227.673611111109</v>
      </c>
      <c r="AC269" s="25">
        <f t="shared" ref="AC269:AC284" si="261">AB269-AA269</f>
        <v>6.9444444445252884E-2</v>
      </c>
    </row>
    <row r="270" spans="1:29" x14ac:dyDescent="0.25">
      <c r="A270" s="12">
        <v>45200</v>
      </c>
      <c r="B270" s="13">
        <v>279</v>
      </c>
      <c r="C270" s="13">
        <v>8285503</v>
      </c>
      <c r="D270" s="19"/>
      <c r="E270" s="13" t="s">
        <v>1352</v>
      </c>
      <c r="F270" s="20">
        <v>45195</v>
      </c>
      <c r="G270" s="19" t="s">
        <v>1355</v>
      </c>
      <c r="H270" s="13" t="s">
        <v>192</v>
      </c>
      <c r="I270" s="17">
        <v>5211014</v>
      </c>
      <c r="J270" s="17" t="s">
        <v>38</v>
      </c>
      <c r="K270" s="19"/>
      <c r="L270" s="13">
        <v>0</v>
      </c>
      <c r="M270" s="13">
        <v>25</v>
      </c>
      <c r="N270" s="13">
        <v>102</v>
      </c>
      <c r="O270" s="13">
        <f t="shared" si="259"/>
        <v>2550</v>
      </c>
      <c r="P270" s="19" t="s">
        <v>477</v>
      </c>
      <c r="Q270" s="13" t="s">
        <v>159</v>
      </c>
      <c r="R270" s="19" t="s">
        <v>209</v>
      </c>
      <c r="S270" s="13" t="s">
        <v>1354</v>
      </c>
      <c r="T270" s="13">
        <v>14769</v>
      </c>
      <c r="U270" s="20">
        <v>45226</v>
      </c>
      <c r="V270" s="20">
        <v>45227</v>
      </c>
      <c r="W270" s="19"/>
      <c r="X270" s="24">
        <v>45227.375</v>
      </c>
      <c r="Y270" s="24">
        <v>45227.618055555555</v>
      </c>
      <c r="Z270" s="25">
        <f t="shared" si="260"/>
        <v>0.24305555555474712</v>
      </c>
      <c r="AA270" s="24">
        <v>45227.604166666664</v>
      </c>
      <c r="AB270" s="24">
        <v>45227.673611111109</v>
      </c>
      <c r="AC270" s="25">
        <f t="shared" si="261"/>
        <v>6.9444444445252884E-2</v>
      </c>
    </row>
    <row r="271" spans="1:29" x14ac:dyDescent="0.25">
      <c r="A271" s="12">
        <v>45200</v>
      </c>
      <c r="B271" s="13">
        <v>280</v>
      </c>
      <c r="C271" s="13">
        <v>8261236</v>
      </c>
      <c r="D271" s="50"/>
      <c r="E271" s="13" t="s">
        <v>1367</v>
      </c>
      <c r="F271" s="46">
        <v>45198</v>
      </c>
      <c r="G271" s="49" t="s">
        <v>1368</v>
      </c>
      <c r="H271" s="13" t="s">
        <v>132</v>
      </c>
      <c r="I271" s="17">
        <v>5230831</v>
      </c>
      <c r="J271" s="17" t="s">
        <v>35</v>
      </c>
      <c r="K271" s="50"/>
      <c r="L271" s="13">
        <v>0</v>
      </c>
      <c r="M271" s="13">
        <v>240</v>
      </c>
      <c r="N271" s="13">
        <v>80</v>
      </c>
      <c r="O271" s="13">
        <f t="shared" si="259"/>
        <v>19200</v>
      </c>
      <c r="P271" s="19" t="s">
        <v>477</v>
      </c>
      <c r="Q271" s="13" t="s">
        <v>159</v>
      </c>
      <c r="R271" s="13" t="s">
        <v>997</v>
      </c>
      <c r="S271" s="13" t="s">
        <v>1062</v>
      </c>
      <c r="T271" s="13">
        <v>14772</v>
      </c>
      <c r="U271" s="46">
        <v>45227</v>
      </c>
      <c r="V271" s="46">
        <v>45228</v>
      </c>
      <c r="W271" s="50"/>
      <c r="X271" s="24">
        <v>45228.416666666664</v>
      </c>
      <c r="Y271" s="24">
        <v>45228.583333333336</v>
      </c>
      <c r="Z271" s="25">
        <f t="shared" si="260"/>
        <v>0.16666666667151731</v>
      </c>
      <c r="AA271" s="24">
        <v>45228.5</v>
      </c>
      <c r="AB271" s="24">
        <v>45228.583333333336</v>
      </c>
      <c r="AC271" s="25">
        <f t="shared" si="261"/>
        <v>8.3333333335758653E-2</v>
      </c>
    </row>
    <row r="272" spans="1:29" x14ac:dyDescent="0.25">
      <c r="A272" s="12">
        <v>45200</v>
      </c>
      <c r="B272" s="13">
        <v>281</v>
      </c>
      <c r="C272" s="13">
        <v>8261236</v>
      </c>
      <c r="D272" s="50"/>
      <c r="E272" s="13" t="s">
        <v>1367</v>
      </c>
      <c r="F272" s="46">
        <v>45198</v>
      </c>
      <c r="G272" s="49" t="s">
        <v>1368</v>
      </c>
      <c r="H272" s="13" t="s">
        <v>132</v>
      </c>
      <c r="I272" s="17">
        <v>5230831</v>
      </c>
      <c r="J272" s="17" t="s">
        <v>35</v>
      </c>
      <c r="K272" s="50"/>
      <c r="L272" s="13">
        <v>0</v>
      </c>
      <c r="M272" s="13">
        <v>240</v>
      </c>
      <c r="N272" s="13">
        <v>80</v>
      </c>
      <c r="O272" s="13">
        <f t="shared" si="259"/>
        <v>19200</v>
      </c>
      <c r="P272" s="19" t="s">
        <v>477</v>
      </c>
      <c r="Q272" s="13" t="s">
        <v>159</v>
      </c>
      <c r="R272" s="13" t="s">
        <v>997</v>
      </c>
      <c r="S272" s="13" t="s">
        <v>436</v>
      </c>
      <c r="T272" s="13">
        <v>14771</v>
      </c>
      <c r="U272" s="46">
        <v>45227</v>
      </c>
      <c r="V272" s="46">
        <v>45228</v>
      </c>
      <c r="W272" s="50"/>
      <c r="X272" s="24">
        <v>45228.423611111109</v>
      </c>
      <c r="Y272" s="24">
        <v>45228.635416666664</v>
      </c>
      <c r="Z272" s="25">
        <f t="shared" si="260"/>
        <v>0.21180555555474712</v>
      </c>
      <c r="AA272" s="24">
        <v>45228.541666666664</v>
      </c>
      <c r="AB272" s="24">
        <v>45228.635416666664</v>
      </c>
      <c r="AC272" s="25">
        <f t="shared" si="261"/>
        <v>9.375E-2</v>
      </c>
    </row>
    <row r="273" spans="1:29" x14ac:dyDescent="0.25">
      <c r="A273" s="12">
        <v>45200</v>
      </c>
      <c r="B273" s="13">
        <v>282</v>
      </c>
      <c r="C273" s="13">
        <v>8261236</v>
      </c>
      <c r="D273" s="50"/>
      <c r="E273" s="13" t="s">
        <v>1367</v>
      </c>
      <c r="F273" s="46">
        <v>45198</v>
      </c>
      <c r="G273" s="49" t="s">
        <v>1368</v>
      </c>
      <c r="H273" s="13" t="s">
        <v>132</v>
      </c>
      <c r="I273" s="17">
        <v>5230831</v>
      </c>
      <c r="J273" s="17" t="s">
        <v>35</v>
      </c>
      <c r="K273" s="50"/>
      <c r="L273" s="13">
        <v>0</v>
      </c>
      <c r="M273" s="13">
        <v>240</v>
      </c>
      <c r="N273" s="13">
        <v>80</v>
      </c>
      <c r="O273" s="13">
        <f t="shared" si="259"/>
        <v>19200</v>
      </c>
      <c r="P273" s="19" t="s">
        <v>477</v>
      </c>
      <c r="Q273" s="13" t="s">
        <v>159</v>
      </c>
      <c r="R273" s="13" t="s">
        <v>997</v>
      </c>
      <c r="S273" s="13" t="s">
        <v>1040</v>
      </c>
      <c r="T273" s="13">
        <v>14773</v>
      </c>
      <c r="U273" s="46">
        <v>45227</v>
      </c>
      <c r="V273" s="46">
        <v>45228</v>
      </c>
      <c r="W273" s="50"/>
      <c r="X273" s="24">
        <v>45228.375</v>
      </c>
      <c r="Y273" s="24">
        <v>45228.722222222219</v>
      </c>
      <c r="Z273" s="25">
        <f t="shared" si="260"/>
        <v>0.34722222221898846</v>
      </c>
      <c r="AA273" s="24">
        <v>45228.604166666664</v>
      </c>
      <c r="AB273" s="24">
        <v>45228.708333333336</v>
      </c>
      <c r="AC273" s="25">
        <f t="shared" si="261"/>
        <v>0.10416666667151731</v>
      </c>
    </row>
    <row r="274" spans="1:29" x14ac:dyDescent="0.25">
      <c r="A274" s="12">
        <v>45200</v>
      </c>
      <c r="B274" s="13">
        <v>283</v>
      </c>
      <c r="C274" s="13">
        <v>8299233</v>
      </c>
      <c r="D274" s="50"/>
      <c r="E274" s="13" t="s">
        <v>1369</v>
      </c>
      <c r="F274" s="46">
        <v>45195</v>
      </c>
      <c r="G274" s="54" t="s">
        <v>1370</v>
      </c>
      <c r="H274" s="13" t="s">
        <v>132</v>
      </c>
      <c r="I274" s="17">
        <v>5302866</v>
      </c>
      <c r="J274" s="17" t="s">
        <v>1332</v>
      </c>
      <c r="K274" s="50"/>
      <c r="L274" s="13">
        <v>0</v>
      </c>
      <c r="M274" s="13">
        <v>210</v>
      </c>
      <c r="N274" s="13">
        <v>62</v>
      </c>
      <c r="O274" s="13">
        <f t="shared" si="259"/>
        <v>13020</v>
      </c>
      <c r="P274" s="19" t="s">
        <v>477</v>
      </c>
      <c r="Q274" s="13" t="s">
        <v>159</v>
      </c>
      <c r="R274" s="13" t="s">
        <v>997</v>
      </c>
      <c r="S274" s="51" t="s">
        <v>1039</v>
      </c>
      <c r="T274" s="50">
        <v>14777</v>
      </c>
      <c r="U274" s="46">
        <v>45227</v>
      </c>
      <c r="V274" s="46">
        <v>45228</v>
      </c>
      <c r="W274" s="50"/>
      <c r="X274" s="24">
        <v>45228.416666666664</v>
      </c>
      <c r="Y274" s="24">
        <v>45228.743055555555</v>
      </c>
      <c r="Z274" s="25">
        <f t="shared" si="260"/>
        <v>0.32638888889050577</v>
      </c>
      <c r="AA274" s="24">
        <v>45228.6875</v>
      </c>
      <c r="AB274" s="24">
        <v>45228.743055555555</v>
      </c>
      <c r="AC274" s="25">
        <f t="shared" si="261"/>
        <v>5.5555555554747116E-2</v>
      </c>
    </row>
    <row r="275" spans="1:29" x14ac:dyDescent="0.25">
      <c r="A275" s="12">
        <v>45200</v>
      </c>
      <c r="B275" s="13">
        <v>283</v>
      </c>
      <c r="C275" s="13">
        <v>8299233</v>
      </c>
      <c r="D275" s="50"/>
      <c r="E275" s="13" t="s">
        <v>1369</v>
      </c>
      <c r="F275" s="46">
        <v>45195</v>
      </c>
      <c r="G275" s="54" t="s">
        <v>1371</v>
      </c>
      <c r="H275" s="13" t="s">
        <v>132</v>
      </c>
      <c r="I275" s="17">
        <v>5302866</v>
      </c>
      <c r="J275" s="17" t="s">
        <v>1332</v>
      </c>
      <c r="K275" s="50"/>
      <c r="L275" s="13">
        <v>0</v>
      </c>
      <c r="M275" s="13">
        <v>210</v>
      </c>
      <c r="N275" s="13">
        <v>13</v>
      </c>
      <c r="O275" s="13">
        <f t="shared" si="259"/>
        <v>2730</v>
      </c>
      <c r="P275" s="19" t="s">
        <v>477</v>
      </c>
      <c r="Q275" s="13" t="s">
        <v>159</v>
      </c>
      <c r="R275" s="13" t="s">
        <v>997</v>
      </c>
      <c r="S275" s="51" t="s">
        <v>1039</v>
      </c>
      <c r="T275" s="50">
        <v>14777</v>
      </c>
      <c r="U275" s="46">
        <v>45227</v>
      </c>
      <c r="V275" s="46">
        <v>45228</v>
      </c>
      <c r="W275" s="50"/>
      <c r="X275" s="24">
        <v>45228.416666666664</v>
      </c>
      <c r="Y275" s="24">
        <v>45228.743055555555</v>
      </c>
      <c r="Z275" s="25">
        <f t="shared" si="260"/>
        <v>0.32638888889050577</v>
      </c>
      <c r="AA275" s="24">
        <v>45228.6875</v>
      </c>
      <c r="AB275" s="24">
        <v>45228.743055555555</v>
      </c>
      <c r="AC275" s="25">
        <f t="shared" si="261"/>
        <v>5.5555555554747116E-2</v>
      </c>
    </row>
    <row r="276" spans="1:29" x14ac:dyDescent="0.25">
      <c r="A276" s="12">
        <v>45200</v>
      </c>
      <c r="B276" s="13">
        <v>283</v>
      </c>
      <c r="C276" s="13">
        <v>8299233</v>
      </c>
      <c r="D276" s="50"/>
      <c r="E276" s="13" t="s">
        <v>1369</v>
      </c>
      <c r="F276" s="46">
        <v>45195</v>
      </c>
      <c r="G276" s="54" t="s">
        <v>1372</v>
      </c>
      <c r="H276" s="13" t="s">
        <v>132</v>
      </c>
      <c r="I276" s="17">
        <v>5303117</v>
      </c>
      <c r="J276" s="17" t="s">
        <v>36</v>
      </c>
      <c r="K276" s="50"/>
      <c r="L276" s="13">
        <v>0</v>
      </c>
      <c r="M276" s="13">
        <v>210</v>
      </c>
      <c r="N276" s="13">
        <v>3</v>
      </c>
      <c r="O276" s="13">
        <f t="shared" si="259"/>
        <v>630</v>
      </c>
      <c r="P276" s="19" t="s">
        <v>477</v>
      </c>
      <c r="Q276" s="13" t="s">
        <v>159</v>
      </c>
      <c r="R276" s="13" t="s">
        <v>997</v>
      </c>
      <c r="S276" s="51" t="s">
        <v>1039</v>
      </c>
      <c r="T276" s="50">
        <v>14777</v>
      </c>
      <c r="U276" s="46">
        <v>45227</v>
      </c>
      <c r="V276" s="46">
        <v>45228</v>
      </c>
      <c r="W276" s="50"/>
      <c r="X276" s="24">
        <v>45228.416666666664</v>
      </c>
      <c r="Y276" s="24">
        <v>45228.743055555555</v>
      </c>
      <c r="Z276" s="25">
        <f t="shared" si="260"/>
        <v>0.32638888889050577</v>
      </c>
      <c r="AA276" s="24">
        <v>45228.6875</v>
      </c>
      <c r="AB276" s="24">
        <v>45228.743055555555</v>
      </c>
      <c r="AC276" s="25">
        <f t="shared" si="261"/>
        <v>5.5555555554747116E-2</v>
      </c>
    </row>
    <row r="277" spans="1:29" x14ac:dyDescent="0.25">
      <c r="A277" s="12">
        <v>45200</v>
      </c>
      <c r="B277" s="13">
        <v>283</v>
      </c>
      <c r="C277" s="13">
        <v>8299233</v>
      </c>
      <c r="D277" s="50"/>
      <c r="E277" s="13" t="s">
        <v>1369</v>
      </c>
      <c r="F277" s="46">
        <v>45195</v>
      </c>
      <c r="G277" s="54" t="s">
        <v>1373</v>
      </c>
      <c r="H277" s="13" t="s">
        <v>132</v>
      </c>
      <c r="I277" s="17">
        <v>5302866</v>
      </c>
      <c r="J277" s="17" t="s">
        <v>1332</v>
      </c>
      <c r="K277" s="50"/>
      <c r="L277" s="13">
        <v>0</v>
      </c>
      <c r="M277" s="13">
        <v>210</v>
      </c>
      <c r="N277" s="13">
        <v>2</v>
      </c>
      <c r="O277" s="13">
        <f t="shared" si="259"/>
        <v>420</v>
      </c>
      <c r="P277" s="19" t="s">
        <v>477</v>
      </c>
      <c r="Q277" s="13" t="s">
        <v>159</v>
      </c>
      <c r="R277" s="13" t="s">
        <v>997</v>
      </c>
      <c r="S277" s="51" t="s">
        <v>1039</v>
      </c>
      <c r="T277" s="50">
        <v>14777</v>
      </c>
      <c r="U277" s="46">
        <v>45227</v>
      </c>
      <c r="V277" s="46">
        <v>45228</v>
      </c>
      <c r="W277" s="50"/>
      <c r="X277" s="24">
        <v>45228.416666666664</v>
      </c>
      <c r="Y277" s="24">
        <v>45228.743055555555</v>
      </c>
      <c r="Z277" s="25">
        <f t="shared" si="260"/>
        <v>0.32638888889050577</v>
      </c>
      <c r="AA277" s="24">
        <v>45228.6875</v>
      </c>
      <c r="AB277" s="24">
        <v>45228.743055555555</v>
      </c>
      <c r="AC277" s="25">
        <f t="shared" si="261"/>
        <v>5.5555555554747116E-2</v>
      </c>
    </row>
    <row r="278" spans="1:29" x14ac:dyDescent="0.25">
      <c r="A278" s="12">
        <v>45200</v>
      </c>
      <c r="B278" s="13">
        <v>284</v>
      </c>
      <c r="C278" s="13">
        <v>8017652</v>
      </c>
      <c r="D278" s="50"/>
      <c r="E278" s="13" t="s">
        <v>1374</v>
      </c>
      <c r="F278" s="46">
        <v>45182</v>
      </c>
      <c r="G278" s="54" t="s">
        <v>1375</v>
      </c>
      <c r="H278" s="13" t="s">
        <v>192</v>
      </c>
      <c r="I278" s="17">
        <v>5212252</v>
      </c>
      <c r="J278" s="17" t="s">
        <v>23</v>
      </c>
      <c r="K278" s="50"/>
      <c r="L278" s="13">
        <v>0</v>
      </c>
      <c r="M278" s="13">
        <v>25</v>
      </c>
      <c r="N278" s="13">
        <v>1040</v>
      </c>
      <c r="O278" s="13">
        <f t="shared" si="259"/>
        <v>26000</v>
      </c>
      <c r="P278" s="19" t="s">
        <v>477</v>
      </c>
      <c r="Q278" s="13" t="s">
        <v>159</v>
      </c>
      <c r="R278" s="19" t="s">
        <v>209</v>
      </c>
      <c r="S278" s="51" t="s">
        <v>712</v>
      </c>
      <c r="T278" s="51">
        <v>14779</v>
      </c>
      <c r="U278" s="46">
        <v>45227</v>
      </c>
      <c r="V278" s="46">
        <v>45228</v>
      </c>
      <c r="W278" s="13" t="s">
        <v>717</v>
      </c>
      <c r="X278" s="24">
        <v>45228.375</v>
      </c>
      <c r="Y278" s="24">
        <v>45228.746527777781</v>
      </c>
      <c r="Z278" s="25">
        <f t="shared" si="260"/>
        <v>0.37152777778101154</v>
      </c>
      <c r="AA278" s="24">
        <v>45228.704861111109</v>
      </c>
      <c r="AB278" s="24">
        <v>45228.746527777781</v>
      </c>
      <c r="AC278" s="25">
        <f t="shared" si="261"/>
        <v>4.1666666671517305E-2</v>
      </c>
    </row>
    <row r="279" spans="1:29" s="77" customFormat="1" x14ac:dyDescent="0.25">
      <c r="A279" s="68">
        <v>45200</v>
      </c>
      <c r="B279" s="69">
        <v>285</v>
      </c>
      <c r="C279" s="69">
        <v>8017652</v>
      </c>
      <c r="D279" s="69"/>
      <c r="E279" s="70" t="s">
        <v>1374</v>
      </c>
      <c r="F279" s="71">
        <v>45182</v>
      </c>
      <c r="G279" s="70" t="s">
        <v>1306</v>
      </c>
      <c r="H279" s="72" t="s">
        <v>192</v>
      </c>
      <c r="I279" s="73">
        <v>5212252</v>
      </c>
      <c r="J279" s="73" t="s">
        <v>23</v>
      </c>
      <c r="K279" s="69"/>
      <c r="L279" s="72">
        <v>0</v>
      </c>
      <c r="M279" s="72">
        <v>25</v>
      </c>
      <c r="N279" s="69">
        <v>680</v>
      </c>
      <c r="O279" s="72">
        <f t="shared" si="259"/>
        <v>17000</v>
      </c>
      <c r="P279" s="74" t="s">
        <v>477</v>
      </c>
      <c r="Q279" s="72" t="s">
        <v>159</v>
      </c>
      <c r="R279" s="74" t="s">
        <v>209</v>
      </c>
      <c r="S279" s="70" t="s">
        <v>715</v>
      </c>
      <c r="T279" s="69">
        <v>14778</v>
      </c>
      <c r="U279" s="71">
        <v>45227</v>
      </c>
      <c r="V279" s="71">
        <v>45229</v>
      </c>
      <c r="W279" s="69"/>
      <c r="X279" s="75">
        <v>45229.388888888891</v>
      </c>
      <c r="Y279" s="75">
        <v>45229.427083333336</v>
      </c>
      <c r="Z279" s="76">
        <f t="shared" si="260"/>
        <v>3.8194444445252884E-2</v>
      </c>
      <c r="AA279" s="75">
        <v>45229.395833333336</v>
      </c>
      <c r="AB279" s="75">
        <v>45229.427083333336</v>
      </c>
      <c r="AC279" s="76">
        <f t="shared" si="261"/>
        <v>3.125E-2</v>
      </c>
    </row>
    <row r="280" spans="1:29" s="77" customFormat="1" x14ac:dyDescent="0.25">
      <c r="A280" s="68">
        <v>45200</v>
      </c>
      <c r="B280" s="69">
        <v>285</v>
      </c>
      <c r="C280" s="69">
        <v>8017652</v>
      </c>
      <c r="D280" s="69"/>
      <c r="E280" s="70" t="s">
        <v>1374</v>
      </c>
      <c r="F280" s="71">
        <v>45182</v>
      </c>
      <c r="G280" s="70" t="s">
        <v>1166</v>
      </c>
      <c r="H280" s="72" t="s">
        <v>192</v>
      </c>
      <c r="I280" s="73">
        <v>5212252</v>
      </c>
      <c r="J280" s="73" t="s">
        <v>23</v>
      </c>
      <c r="K280" s="69"/>
      <c r="L280" s="72">
        <v>0</v>
      </c>
      <c r="M280" s="72">
        <v>25</v>
      </c>
      <c r="N280" s="69">
        <v>248</v>
      </c>
      <c r="O280" s="72">
        <f t="shared" si="259"/>
        <v>6200</v>
      </c>
      <c r="P280" s="74" t="s">
        <v>477</v>
      </c>
      <c r="Q280" s="72" t="s">
        <v>159</v>
      </c>
      <c r="R280" s="74" t="s">
        <v>209</v>
      </c>
      <c r="S280" s="70" t="s">
        <v>715</v>
      </c>
      <c r="T280" s="69">
        <v>14778</v>
      </c>
      <c r="U280" s="71">
        <v>45227</v>
      </c>
      <c r="V280" s="71">
        <v>45229</v>
      </c>
      <c r="W280" s="69"/>
      <c r="X280" s="75">
        <v>45229.388888888891</v>
      </c>
      <c r="Y280" s="75">
        <v>45229.427083333336</v>
      </c>
      <c r="Z280" s="76">
        <f t="shared" si="260"/>
        <v>3.8194444445252884E-2</v>
      </c>
      <c r="AA280" s="75">
        <v>45229.395833333336</v>
      </c>
      <c r="AB280" s="75">
        <v>45229.427083333336</v>
      </c>
      <c r="AC280" s="76">
        <f t="shared" si="261"/>
        <v>3.125E-2</v>
      </c>
    </row>
    <row r="281" spans="1:29" s="77" customFormat="1" x14ac:dyDescent="0.25">
      <c r="A281" s="68">
        <v>45200</v>
      </c>
      <c r="B281" s="69">
        <v>285</v>
      </c>
      <c r="C281" s="69">
        <v>8017652</v>
      </c>
      <c r="D281" s="69"/>
      <c r="E281" s="70" t="s">
        <v>1374</v>
      </c>
      <c r="F281" s="71">
        <v>45182</v>
      </c>
      <c r="G281" s="70" t="s">
        <v>1219</v>
      </c>
      <c r="H281" s="72" t="s">
        <v>192</v>
      </c>
      <c r="I281" s="73">
        <v>5212252</v>
      </c>
      <c r="J281" s="73" t="s">
        <v>23</v>
      </c>
      <c r="K281" s="69"/>
      <c r="L281" s="72">
        <v>0</v>
      </c>
      <c r="M281" s="72">
        <v>25</v>
      </c>
      <c r="N281" s="69">
        <v>52</v>
      </c>
      <c r="O281" s="72">
        <f t="shared" si="259"/>
        <v>1300</v>
      </c>
      <c r="P281" s="74" t="s">
        <v>477</v>
      </c>
      <c r="Q281" s="72" t="s">
        <v>159</v>
      </c>
      <c r="R281" s="74" t="s">
        <v>209</v>
      </c>
      <c r="S281" s="70" t="s">
        <v>715</v>
      </c>
      <c r="T281" s="69">
        <v>14778</v>
      </c>
      <c r="U281" s="71">
        <v>45227</v>
      </c>
      <c r="V281" s="71">
        <v>45229</v>
      </c>
      <c r="W281" s="72" t="s">
        <v>733</v>
      </c>
      <c r="X281" s="75">
        <v>45229.388888888891</v>
      </c>
      <c r="Y281" s="75">
        <v>45229.427083333336</v>
      </c>
      <c r="Z281" s="76">
        <f t="shared" si="260"/>
        <v>3.8194444445252884E-2</v>
      </c>
      <c r="AA281" s="75">
        <v>45229.395833333336</v>
      </c>
      <c r="AB281" s="75">
        <v>45229.427083333336</v>
      </c>
      <c r="AC281" s="76">
        <f t="shared" si="261"/>
        <v>3.125E-2</v>
      </c>
    </row>
    <row r="282" spans="1:29" s="77" customFormat="1" x14ac:dyDescent="0.25">
      <c r="A282" s="68">
        <v>45200</v>
      </c>
      <c r="B282" s="69">
        <v>285</v>
      </c>
      <c r="C282" s="69">
        <v>8017652</v>
      </c>
      <c r="D282" s="69"/>
      <c r="E282" s="70" t="s">
        <v>1374</v>
      </c>
      <c r="F282" s="71">
        <v>45182</v>
      </c>
      <c r="G282" s="69">
        <v>2021640709</v>
      </c>
      <c r="H282" s="72" t="s">
        <v>192</v>
      </c>
      <c r="I282" s="73">
        <v>5212252</v>
      </c>
      <c r="J282" s="73" t="s">
        <v>23</v>
      </c>
      <c r="K282" s="69"/>
      <c r="L282" s="72">
        <v>0</v>
      </c>
      <c r="M282" s="72">
        <v>25</v>
      </c>
      <c r="N282" s="69">
        <v>60</v>
      </c>
      <c r="O282" s="72">
        <f t="shared" si="259"/>
        <v>1500</v>
      </c>
      <c r="P282" s="74" t="s">
        <v>477</v>
      </c>
      <c r="Q282" s="72" t="s">
        <v>159</v>
      </c>
      <c r="R282" s="74" t="s">
        <v>209</v>
      </c>
      <c r="S282" s="70" t="s">
        <v>715</v>
      </c>
      <c r="T282" s="69">
        <v>14778</v>
      </c>
      <c r="U282" s="71">
        <v>45227</v>
      </c>
      <c r="V282" s="71">
        <v>45229</v>
      </c>
      <c r="W282" s="69"/>
      <c r="X282" s="75">
        <v>45229.388888888891</v>
      </c>
      <c r="Y282" s="75">
        <v>45229.427083333336</v>
      </c>
      <c r="Z282" s="76">
        <f t="shared" si="260"/>
        <v>3.8194444445252884E-2</v>
      </c>
      <c r="AA282" s="75">
        <v>45229.395833333336</v>
      </c>
      <c r="AB282" s="75">
        <v>45229.427083333336</v>
      </c>
      <c r="AC282" s="76">
        <f t="shared" si="261"/>
        <v>3.125E-2</v>
      </c>
    </row>
    <row r="283" spans="1:29" x14ac:dyDescent="0.25">
      <c r="A283" s="12">
        <v>45200</v>
      </c>
      <c r="B283" s="50">
        <v>286</v>
      </c>
      <c r="C283" s="50">
        <v>8404720</v>
      </c>
      <c r="D283" s="50"/>
      <c r="E283" s="51" t="s">
        <v>1376</v>
      </c>
      <c r="F283" s="46">
        <v>45195</v>
      </c>
      <c r="G283" s="51" t="s">
        <v>1377</v>
      </c>
      <c r="H283" s="13" t="s">
        <v>192</v>
      </c>
      <c r="I283" s="17">
        <v>5212252</v>
      </c>
      <c r="J283" s="17" t="s">
        <v>23</v>
      </c>
      <c r="K283" s="50"/>
      <c r="L283" s="13">
        <v>0</v>
      </c>
      <c r="M283" s="50">
        <v>25</v>
      </c>
      <c r="N283" s="50">
        <v>1040</v>
      </c>
      <c r="O283" s="13">
        <f t="shared" si="259"/>
        <v>26000</v>
      </c>
      <c r="P283" s="19" t="s">
        <v>477</v>
      </c>
      <c r="Q283" s="13" t="s">
        <v>247</v>
      </c>
      <c r="R283" s="19" t="s">
        <v>209</v>
      </c>
      <c r="S283" s="51" t="s">
        <v>1378</v>
      </c>
      <c r="T283" s="52" t="s">
        <v>1379</v>
      </c>
      <c r="U283" s="46">
        <v>45227</v>
      </c>
      <c r="V283" s="46">
        <v>45229</v>
      </c>
      <c r="W283" s="50"/>
      <c r="X283" s="24">
        <v>45229.388888888891</v>
      </c>
      <c r="Y283" s="24">
        <v>45229.770833333336</v>
      </c>
      <c r="Z283" s="25">
        <f t="shared" si="260"/>
        <v>0.38194444444525288</v>
      </c>
      <c r="AA283" s="24">
        <v>45229.75</v>
      </c>
      <c r="AB283" s="24">
        <v>45229.770833333336</v>
      </c>
      <c r="AC283" s="25">
        <f t="shared" si="261"/>
        <v>2.0833333335758653E-2</v>
      </c>
    </row>
    <row r="284" spans="1:29" x14ac:dyDescent="0.25">
      <c r="A284" s="12">
        <v>45200</v>
      </c>
      <c r="B284" s="51">
        <v>287</v>
      </c>
      <c r="C284" s="51">
        <v>8368021</v>
      </c>
      <c r="D284" s="53"/>
      <c r="E284" s="51" t="s">
        <v>1364</v>
      </c>
      <c r="F284" s="46">
        <v>45194</v>
      </c>
      <c r="G284" s="50" t="s">
        <v>1365</v>
      </c>
      <c r="H284" s="50" t="s">
        <v>192</v>
      </c>
      <c r="I284" s="17">
        <v>5212252</v>
      </c>
      <c r="J284" s="17" t="s">
        <v>23</v>
      </c>
      <c r="K284" s="50"/>
      <c r="L284" s="13">
        <v>0</v>
      </c>
      <c r="M284" s="13">
        <v>25</v>
      </c>
      <c r="N284" s="50">
        <f t="shared" ref="N284:N289" si="262">+O284/M284</f>
        <v>430</v>
      </c>
      <c r="O284" s="13">
        <v>10750</v>
      </c>
      <c r="P284" s="19" t="s">
        <v>477</v>
      </c>
      <c r="Q284" s="13" t="s">
        <v>247</v>
      </c>
      <c r="R284" s="19" t="s">
        <v>209</v>
      </c>
      <c r="S284" s="51" t="s">
        <v>1380</v>
      </c>
      <c r="T284" s="52" t="s">
        <v>1381</v>
      </c>
      <c r="U284" s="46">
        <v>45227</v>
      </c>
      <c r="V284" s="46">
        <v>45229</v>
      </c>
      <c r="W284" s="53"/>
      <c r="X284" s="24">
        <v>45229.447916666664</v>
      </c>
      <c r="Y284" s="24">
        <v>45229.857638888891</v>
      </c>
      <c r="Z284" s="25">
        <f t="shared" si="260"/>
        <v>0.40972222222626442</v>
      </c>
      <c r="AA284" s="24">
        <v>45229.75</v>
      </c>
      <c r="AB284" s="24">
        <v>45229.857638888891</v>
      </c>
      <c r="AC284" s="25">
        <f t="shared" si="261"/>
        <v>0.10763888889050577</v>
      </c>
    </row>
    <row r="285" spans="1:29" x14ac:dyDescent="0.25">
      <c r="A285" s="12">
        <v>45200</v>
      </c>
      <c r="B285" s="51">
        <v>287</v>
      </c>
      <c r="C285" s="51">
        <v>8368021</v>
      </c>
      <c r="D285" s="53"/>
      <c r="E285" s="51" t="s">
        <v>1364</v>
      </c>
      <c r="F285" s="46">
        <v>45194</v>
      </c>
      <c r="G285" s="67" t="s">
        <v>1443</v>
      </c>
      <c r="H285" s="50" t="s">
        <v>192</v>
      </c>
      <c r="I285" s="17">
        <v>5212252</v>
      </c>
      <c r="J285" s="17" t="s">
        <v>23</v>
      </c>
      <c r="K285" s="50"/>
      <c r="L285" s="13">
        <v>0</v>
      </c>
      <c r="M285" s="13">
        <v>25</v>
      </c>
      <c r="N285" s="50">
        <f t="shared" si="262"/>
        <v>559</v>
      </c>
      <c r="O285" s="13">
        <v>13975</v>
      </c>
      <c r="P285" s="65" t="s">
        <v>477</v>
      </c>
      <c r="Q285" s="13" t="s">
        <v>247</v>
      </c>
      <c r="R285" s="65" t="s">
        <v>209</v>
      </c>
      <c r="S285" s="51" t="s">
        <v>1380</v>
      </c>
      <c r="T285" s="52" t="s">
        <v>1381</v>
      </c>
      <c r="U285" s="46">
        <v>45227</v>
      </c>
      <c r="V285" s="46">
        <v>45229</v>
      </c>
      <c r="W285" s="53"/>
      <c r="X285" s="24">
        <v>45229.447916666664</v>
      </c>
      <c r="Y285" s="24">
        <v>45229.857638888891</v>
      </c>
      <c r="Z285" s="25">
        <f t="shared" ref="Z285:Z286" si="263">Y285-X285</f>
        <v>0.40972222222626442</v>
      </c>
      <c r="AA285" s="24">
        <v>45229.75</v>
      </c>
      <c r="AB285" s="24">
        <v>45229.857638888891</v>
      </c>
      <c r="AC285" s="25">
        <f t="shared" ref="AC285:AC286" si="264">AB285-AA285</f>
        <v>0.10763888889050577</v>
      </c>
    </row>
    <row r="286" spans="1:29" x14ac:dyDescent="0.25">
      <c r="A286" s="12">
        <v>45200</v>
      </c>
      <c r="B286" s="51">
        <v>287</v>
      </c>
      <c r="C286" s="51">
        <v>8368021</v>
      </c>
      <c r="D286" s="53"/>
      <c r="E286" s="51" t="s">
        <v>1364</v>
      </c>
      <c r="F286" s="46">
        <v>45194</v>
      </c>
      <c r="G286" s="67" t="s">
        <v>1301</v>
      </c>
      <c r="H286" s="50" t="s">
        <v>192</v>
      </c>
      <c r="I286" s="17">
        <v>5212252</v>
      </c>
      <c r="J286" s="17" t="s">
        <v>23</v>
      </c>
      <c r="K286" s="50"/>
      <c r="L286" s="13">
        <v>0</v>
      </c>
      <c r="M286" s="13">
        <v>25</v>
      </c>
      <c r="N286" s="50">
        <f t="shared" si="262"/>
        <v>51</v>
      </c>
      <c r="O286" s="13">
        <v>1275</v>
      </c>
      <c r="P286" s="65" t="s">
        <v>477</v>
      </c>
      <c r="Q286" s="13" t="s">
        <v>247</v>
      </c>
      <c r="R286" s="65" t="s">
        <v>209</v>
      </c>
      <c r="S286" s="51" t="s">
        <v>1380</v>
      </c>
      <c r="T286" s="52" t="s">
        <v>1381</v>
      </c>
      <c r="U286" s="46">
        <v>45227</v>
      </c>
      <c r="V286" s="46">
        <v>45229</v>
      </c>
      <c r="W286" s="53"/>
      <c r="X286" s="24">
        <v>45229.447916666664</v>
      </c>
      <c r="Y286" s="24">
        <v>45229.857638888891</v>
      </c>
      <c r="Z286" s="25">
        <f t="shared" si="263"/>
        <v>0.40972222222626442</v>
      </c>
      <c r="AA286" s="24">
        <v>45229.75</v>
      </c>
      <c r="AB286" s="24">
        <v>45229.857638888891</v>
      </c>
      <c r="AC286" s="25">
        <f t="shared" si="264"/>
        <v>0.10763888889050577</v>
      </c>
    </row>
    <row r="287" spans="1:29" x14ac:dyDescent="0.25">
      <c r="A287" s="12">
        <v>45200</v>
      </c>
      <c r="B287" s="51">
        <v>288</v>
      </c>
      <c r="C287" s="50">
        <v>8404720</v>
      </c>
      <c r="D287" s="53"/>
      <c r="E287" s="50" t="s">
        <v>1376</v>
      </c>
      <c r="F287" s="46">
        <v>45195</v>
      </c>
      <c r="G287" s="51" t="s">
        <v>1377</v>
      </c>
      <c r="H287" s="50" t="s">
        <v>192</v>
      </c>
      <c r="I287" s="17">
        <v>5212252</v>
      </c>
      <c r="J287" s="17" t="s">
        <v>23</v>
      </c>
      <c r="K287" s="53"/>
      <c r="L287" s="13">
        <v>0</v>
      </c>
      <c r="M287" s="13">
        <v>25</v>
      </c>
      <c r="N287" s="50">
        <f t="shared" si="262"/>
        <v>413</v>
      </c>
      <c r="O287" s="13">
        <v>10325</v>
      </c>
      <c r="P287" s="19" t="s">
        <v>477</v>
      </c>
      <c r="Q287" s="13" t="s">
        <v>247</v>
      </c>
      <c r="R287" s="19" t="s">
        <v>209</v>
      </c>
      <c r="S287" s="51" t="s">
        <v>1389</v>
      </c>
      <c r="T287" s="51">
        <v>5</v>
      </c>
      <c r="U287" s="46">
        <v>45227</v>
      </c>
      <c r="V287" s="46">
        <v>45229</v>
      </c>
      <c r="W287" s="53"/>
      <c r="X287" s="24">
        <v>45229.447916666664</v>
      </c>
      <c r="Y287" s="24">
        <v>45229.861111111109</v>
      </c>
      <c r="Z287" s="25">
        <f t="shared" ref="Z287" si="265">Y287-X287</f>
        <v>0.41319444444525288</v>
      </c>
      <c r="AA287" s="24">
        <v>45229.798611111109</v>
      </c>
      <c r="AB287" s="24">
        <v>45229.861111111109</v>
      </c>
      <c r="AC287" s="25">
        <f t="shared" ref="AC287" si="266">AB287-AA287</f>
        <v>6.25E-2</v>
      </c>
    </row>
    <row r="288" spans="1:29" x14ac:dyDescent="0.25">
      <c r="A288" s="12">
        <v>45200</v>
      </c>
      <c r="B288" s="51">
        <v>288</v>
      </c>
      <c r="C288" s="50">
        <v>8404720</v>
      </c>
      <c r="D288" s="53"/>
      <c r="E288" s="50" t="s">
        <v>1376</v>
      </c>
      <c r="F288" s="46">
        <v>45195</v>
      </c>
      <c r="G288" s="51" t="s">
        <v>1442</v>
      </c>
      <c r="H288" s="50" t="s">
        <v>192</v>
      </c>
      <c r="I288" s="17">
        <v>5212252</v>
      </c>
      <c r="J288" s="17" t="s">
        <v>23</v>
      </c>
      <c r="K288" s="53"/>
      <c r="L288" s="13">
        <v>0</v>
      </c>
      <c r="M288" s="13">
        <v>25</v>
      </c>
      <c r="N288" s="50">
        <f t="shared" si="262"/>
        <v>527</v>
      </c>
      <c r="O288" s="13">
        <v>13175</v>
      </c>
      <c r="P288" s="65" t="s">
        <v>477</v>
      </c>
      <c r="Q288" s="13" t="s">
        <v>247</v>
      </c>
      <c r="R288" s="65" t="s">
        <v>209</v>
      </c>
      <c r="S288" s="51" t="s">
        <v>1389</v>
      </c>
      <c r="T288" s="51">
        <v>5</v>
      </c>
      <c r="U288" s="46">
        <v>45227</v>
      </c>
      <c r="V288" s="46">
        <v>45229</v>
      </c>
      <c r="W288" s="53"/>
      <c r="X288" s="24">
        <v>45229.447916666664</v>
      </c>
      <c r="Y288" s="24">
        <v>45229.861111111109</v>
      </c>
      <c r="Z288" s="25">
        <f t="shared" ref="Z288" si="267">Y288-X288</f>
        <v>0.41319444444525288</v>
      </c>
      <c r="AA288" s="24">
        <v>45229.798611111109</v>
      </c>
      <c r="AB288" s="24">
        <v>45229.861111111109</v>
      </c>
      <c r="AC288" s="25">
        <f t="shared" ref="AC288" si="268">AB288-AA288</f>
        <v>6.25E-2</v>
      </c>
    </row>
    <row r="289" spans="1:29" x14ac:dyDescent="0.25">
      <c r="A289" s="12">
        <v>45200</v>
      </c>
      <c r="B289" s="51">
        <v>288</v>
      </c>
      <c r="C289" s="50">
        <v>8404720</v>
      </c>
      <c r="D289" s="53"/>
      <c r="E289" s="50" t="s">
        <v>1376</v>
      </c>
      <c r="F289" s="46">
        <v>45195</v>
      </c>
      <c r="G289" s="51" t="s">
        <v>1301</v>
      </c>
      <c r="H289" s="50" t="s">
        <v>192</v>
      </c>
      <c r="I289" s="17">
        <v>5212252</v>
      </c>
      <c r="J289" s="17" t="s">
        <v>23</v>
      </c>
      <c r="K289" s="53"/>
      <c r="L289" s="13">
        <v>0</v>
      </c>
      <c r="M289" s="13">
        <v>25</v>
      </c>
      <c r="N289" s="50">
        <f t="shared" si="262"/>
        <v>20</v>
      </c>
      <c r="O289" s="13">
        <v>500</v>
      </c>
      <c r="P289" s="65" t="s">
        <v>477</v>
      </c>
      <c r="Q289" s="13" t="s">
        <v>247</v>
      </c>
      <c r="R289" s="65" t="s">
        <v>209</v>
      </c>
      <c r="S289" s="51" t="s">
        <v>1389</v>
      </c>
      <c r="T289" s="51">
        <v>5</v>
      </c>
      <c r="U289" s="46">
        <v>45227</v>
      </c>
      <c r="V289" s="46">
        <v>45229</v>
      </c>
      <c r="W289" s="53"/>
      <c r="X289" s="24">
        <v>45229.447916666664</v>
      </c>
      <c r="Y289" s="24">
        <v>45229.861111111109</v>
      </c>
      <c r="Z289" s="25">
        <f t="shared" ref="Z289" si="269">Y289-X289</f>
        <v>0.41319444444525288</v>
      </c>
      <c r="AA289" s="24">
        <v>45229.798611111109</v>
      </c>
      <c r="AB289" s="24">
        <v>45229.861111111109</v>
      </c>
      <c r="AC289" s="25">
        <f t="shared" ref="AC289" si="270">AB289-AA289</f>
        <v>6.25E-2</v>
      </c>
    </row>
    <row r="290" spans="1:29" x14ac:dyDescent="0.25">
      <c r="A290" s="12">
        <v>45200</v>
      </c>
      <c r="B290" s="51">
        <v>288</v>
      </c>
      <c r="C290" s="50">
        <v>8404720</v>
      </c>
      <c r="D290" s="53"/>
      <c r="E290" s="50" t="s">
        <v>1376</v>
      </c>
      <c r="F290" s="46">
        <v>45195</v>
      </c>
      <c r="G290" s="50" t="s">
        <v>1393</v>
      </c>
      <c r="H290" s="50" t="s">
        <v>192</v>
      </c>
      <c r="I290" s="17" t="s">
        <v>30</v>
      </c>
      <c r="J290" s="17" t="s">
        <v>1390</v>
      </c>
      <c r="K290" s="53"/>
      <c r="L290" s="13">
        <v>0</v>
      </c>
      <c r="M290" s="13">
        <v>25</v>
      </c>
      <c r="N290" s="50">
        <v>60</v>
      </c>
      <c r="O290" s="13">
        <f t="shared" ref="O290" si="271">N290*M290</f>
        <v>1500</v>
      </c>
      <c r="P290" s="19" t="s">
        <v>477</v>
      </c>
      <c r="Q290" s="13" t="s">
        <v>247</v>
      </c>
      <c r="R290" s="19" t="s">
        <v>209</v>
      </c>
      <c r="S290" s="51" t="s">
        <v>1389</v>
      </c>
      <c r="T290" s="51">
        <v>5</v>
      </c>
      <c r="U290" s="46">
        <v>45227</v>
      </c>
      <c r="V290" s="46">
        <v>45229</v>
      </c>
      <c r="W290" s="53"/>
      <c r="X290" s="24">
        <v>45229.447916666664</v>
      </c>
      <c r="Y290" s="24">
        <v>45229.861111111109</v>
      </c>
      <c r="Z290" s="25">
        <f t="shared" ref="Z290" si="272">Y290-X290</f>
        <v>0.41319444444525288</v>
      </c>
      <c r="AA290" s="24">
        <v>45229.798611111109</v>
      </c>
      <c r="AB290" s="24">
        <v>45229.861111111109</v>
      </c>
      <c r="AC290" s="25">
        <f t="shared" ref="AC290" si="273">AB290-AA290</f>
        <v>6.25E-2</v>
      </c>
    </row>
    <row r="291" spans="1:29" x14ac:dyDescent="0.25">
      <c r="A291" s="12">
        <v>45200</v>
      </c>
      <c r="B291" s="51">
        <v>288</v>
      </c>
      <c r="C291" s="50">
        <v>8404720</v>
      </c>
      <c r="D291" s="53"/>
      <c r="E291" s="50" t="s">
        <v>1376</v>
      </c>
      <c r="F291" s="46">
        <v>45195</v>
      </c>
      <c r="G291" s="50" t="s">
        <v>1392</v>
      </c>
      <c r="H291" s="50" t="s">
        <v>192</v>
      </c>
      <c r="I291" s="17" t="s">
        <v>30</v>
      </c>
      <c r="J291" s="17" t="s">
        <v>1391</v>
      </c>
      <c r="K291" s="53"/>
      <c r="L291" s="13">
        <v>0</v>
      </c>
      <c r="M291" s="13">
        <v>25</v>
      </c>
      <c r="N291" s="50">
        <v>20</v>
      </c>
      <c r="O291" s="13">
        <f t="shared" ref="O291:O294" si="274">N291*M291</f>
        <v>500</v>
      </c>
      <c r="P291" s="19" t="s">
        <v>477</v>
      </c>
      <c r="Q291" s="13" t="s">
        <v>247</v>
      </c>
      <c r="R291" s="19" t="s">
        <v>209</v>
      </c>
      <c r="S291" s="51" t="s">
        <v>1389</v>
      </c>
      <c r="T291" s="51">
        <v>5</v>
      </c>
      <c r="U291" s="46">
        <v>45227</v>
      </c>
      <c r="V291" s="46">
        <v>45229</v>
      </c>
      <c r="W291" s="53"/>
      <c r="X291" s="24">
        <v>45229.447916666664</v>
      </c>
      <c r="Y291" s="24">
        <v>45229.861111111109</v>
      </c>
      <c r="Z291" s="25">
        <f t="shared" ref="Z291" si="275">Y291-X291</f>
        <v>0.41319444444525288</v>
      </c>
      <c r="AA291" s="24">
        <v>45229.798611111109</v>
      </c>
      <c r="AB291" s="24">
        <v>45229.861111111109</v>
      </c>
      <c r="AC291" s="25">
        <f t="shared" ref="AC291" si="276">AB291-AA291</f>
        <v>6.25E-2</v>
      </c>
    </row>
    <row r="292" spans="1:29" x14ac:dyDescent="0.25">
      <c r="A292" s="12">
        <v>45200</v>
      </c>
      <c r="B292" s="51">
        <v>289</v>
      </c>
      <c r="C292" s="51">
        <v>8299229</v>
      </c>
      <c r="D292" s="53"/>
      <c r="E292" s="51" t="s">
        <v>1412</v>
      </c>
      <c r="F292" s="46">
        <v>45195</v>
      </c>
      <c r="G292" s="51" t="s">
        <v>1413</v>
      </c>
      <c r="H292" s="51" t="s">
        <v>132</v>
      </c>
      <c r="I292" s="17">
        <v>5302866</v>
      </c>
      <c r="J292" s="17" t="s">
        <v>1332</v>
      </c>
      <c r="K292" s="53"/>
      <c r="L292" s="13">
        <v>0</v>
      </c>
      <c r="M292" s="13">
        <v>210</v>
      </c>
      <c r="N292" s="51">
        <v>120</v>
      </c>
      <c r="O292" s="13">
        <f t="shared" si="274"/>
        <v>25200</v>
      </c>
      <c r="P292" s="19" t="s">
        <v>477</v>
      </c>
      <c r="Q292" s="13" t="s">
        <v>159</v>
      </c>
      <c r="R292" s="19" t="s">
        <v>209</v>
      </c>
      <c r="S292" s="51" t="s">
        <v>715</v>
      </c>
      <c r="T292" s="51">
        <v>21420</v>
      </c>
      <c r="U292" s="59">
        <v>45229</v>
      </c>
      <c r="V292" s="46">
        <v>45230</v>
      </c>
      <c r="W292" s="50" t="s">
        <v>1414</v>
      </c>
      <c r="X292" s="24">
        <v>45230.388888888891</v>
      </c>
      <c r="Y292" s="24">
        <v>45230.743055555555</v>
      </c>
      <c r="Z292" s="25">
        <f t="shared" ref="Z292" si="277">Y292-X292</f>
        <v>0.35416666666424135</v>
      </c>
      <c r="AA292" s="24">
        <v>45230.6875</v>
      </c>
      <c r="AB292" s="24">
        <v>45230.743055555555</v>
      </c>
      <c r="AC292" s="25">
        <f t="shared" ref="AC292" si="278">AB292-AA292</f>
        <v>5.5555555554747116E-2</v>
      </c>
    </row>
    <row r="293" spans="1:29" x14ac:dyDescent="0.25">
      <c r="A293" s="12">
        <v>45200</v>
      </c>
      <c r="B293" s="51">
        <v>290</v>
      </c>
      <c r="C293" s="51">
        <v>8299229</v>
      </c>
      <c r="D293" s="53"/>
      <c r="E293" s="51" t="s">
        <v>1412</v>
      </c>
      <c r="F293" s="46">
        <v>45195</v>
      </c>
      <c r="G293" s="51" t="s">
        <v>1413</v>
      </c>
      <c r="H293" s="51" t="s">
        <v>132</v>
      </c>
      <c r="I293" s="17">
        <v>5302866</v>
      </c>
      <c r="J293" s="17" t="s">
        <v>1332</v>
      </c>
      <c r="K293" s="53"/>
      <c r="L293" s="13">
        <v>0</v>
      </c>
      <c r="M293" s="13">
        <v>210</v>
      </c>
      <c r="N293" s="51">
        <v>120</v>
      </c>
      <c r="O293" s="13">
        <f t="shared" si="274"/>
        <v>25200</v>
      </c>
      <c r="P293" s="19" t="s">
        <v>477</v>
      </c>
      <c r="Q293" s="13" t="s">
        <v>159</v>
      </c>
      <c r="R293" s="19" t="s">
        <v>209</v>
      </c>
      <c r="S293" s="51" t="s">
        <v>1415</v>
      </c>
      <c r="T293" s="51">
        <v>21421</v>
      </c>
      <c r="U293" s="59">
        <v>45229</v>
      </c>
      <c r="V293" s="46">
        <v>45230</v>
      </c>
      <c r="W293" s="50"/>
      <c r="X293" s="24">
        <v>45230.375</v>
      </c>
      <c r="Y293" s="24">
        <v>45230.9375</v>
      </c>
      <c r="Z293" s="25">
        <f t="shared" ref="Z293" si="279">Y293-X293</f>
        <v>0.5625</v>
      </c>
      <c r="AA293" s="24">
        <v>45230.875</v>
      </c>
      <c r="AB293" s="24">
        <v>45230.9375</v>
      </c>
      <c r="AC293" s="25">
        <f t="shared" ref="AC293" si="280">AB293-AA293</f>
        <v>6.25E-2</v>
      </c>
    </row>
    <row r="294" spans="1:29" x14ac:dyDescent="0.25">
      <c r="A294" s="12">
        <v>45200</v>
      </c>
      <c r="B294" s="51">
        <v>291</v>
      </c>
      <c r="C294" s="51">
        <v>8373156</v>
      </c>
      <c r="D294" s="53"/>
      <c r="E294" s="51" t="s">
        <v>1416</v>
      </c>
      <c r="F294" s="46">
        <v>45198</v>
      </c>
      <c r="G294" s="51" t="s">
        <v>1417</v>
      </c>
      <c r="H294" s="51" t="s">
        <v>1418</v>
      </c>
      <c r="I294" s="17">
        <v>5211013</v>
      </c>
      <c r="J294" s="17" t="s">
        <v>27</v>
      </c>
      <c r="K294" s="53"/>
      <c r="L294" s="13">
        <v>0</v>
      </c>
      <c r="M294" s="13">
        <v>25</v>
      </c>
      <c r="N294" s="51">
        <v>1040</v>
      </c>
      <c r="O294" s="13">
        <f t="shared" si="274"/>
        <v>26000</v>
      </c>
      <c r="P294" s="19" t="s">
        <v>477</v>
      </c>
      <c r="Q294" s="13" t="s">
        <v>247</v>
      </c>
      <c r="R294" s="19" t="s">
        <v>209</v>
      </c>
      <c r="S294" s="51" t="s">
        <v>1419</v>
      </c>
      <c r="T294" s="51">
        <v>7</v>
      </c>
      <c r="U294" s="59">
        <v>45229</v>
      </c>
      <c r="V294" s="46">
        <v>45230</v>
      </c>
      <c r="W294" s="50"/>
      <c r="X294" s="24">
        <v>45230.375</v>
      </c>
      <c r="Y294" s="24">
        <v>45230.9375</v>
      </c>
      <c r="Z294" s="25">
        <f t="shared" ref="Z294:Z295" si="281">Y294-X294</f>
        <v>0.5625</v>
      </c>
      <c r="AA294" s="24">
        <v>45230.916666666664</v>
      </c>
      <c r="AB294" s="24">
        <v>45230.9375</v>
      </c>
      <c r="AC294" s="25">
        <f t="shared" ref="AC294:AC295" si="282">AB294-AA294</f>
        <v>2.0833333335758653E-2</v>
      </c>
    </row>
    <row r="295" spans="1:29" x14ac:dyDescent="0.25">
      <c r="A295" s="12">
        <v>45200</v>
      </c>
      <c r="B295" s="13">
        <v>292</v>
      </c>
      <c r="C295" s="13">
        <v>8373156</v>
      </c>
      <c r="D295" s="66"/>
      <c r="E295" s="13" t="s">
        <v>1416</v>
      </c>
      <c r="F295" s="20">
        <v>45198</v>
      </c>
      <c r="G295" s="13" t="s">
        <v>1420</v>
      </c>
      <c r="H295" s="13" t="s">
        <v>1418</v>
      </c>
      <c r="I295" s="17">
        <v>5212252</v>
      </c>
      <c r="J295" s="17" t="s">
        <v>27</v>
      </c>
      <c r="K295" s="66"/>
      <c r="L295" s="13">
        <v>0</v>
      </c>
      <c r="M295" s="13">
        <v>25</v>
      </c>
      <c r="N295" s="13">
        <f>+O295/M295</f>
        <v>812</v>
      </c>
      <c r="O295" s="13">
        <v>20300</v>
      </c>
      <c r="P295" s="66" t="s">
        <v>477</v>
      </c>
      <c r="Q295" s="13" t="s">
        <v>247</v>
      </c>
      <c r="R295" s="66" t="s">
        <v>209</v>
      </c>
      <c r="S295" s="13" t="s">
        <v>1380</v>
      </c>
      <c r="T295" s="13">
        <v>8</v>
      </c>
      <c r="U295" s="15">
        <v>45229</v>
      </c>
      <c r="V295" s="20">
        <v>45230</v>
      </c>
      <c r="W295" s="66"/>
      <c r="X295" s="24">
        <v>45230.4375</v>
      </c>
      <c r="Y295" s="24">
        <v>45230.982638888891</v>
      </c>
      <c r="Z295" s="25">
        <f t="shared" si="281"/>
        <v>0.54513888889050577</v>
      </c>
      <c r="AA295" s="24">
        <v>45230.958333333336</v>
      </c>
      <c r="AB295" s="24">
        <v>45230.979166666664</v>
      </c>
      <c r="AC295" s="25">
        <f t="shared" si="282"/>
        <v>2.0833333328482695E-2</v>
      </c>
    </row>
    <row r="296" spans="1:29" x14ac:dyDescent="0.25">
      <c r="A296" s="12">
        <v>45200</v>
      </c>
      <c r="B296" s="13">
        <v>292</v>
      </c>
      <c r="C296" s="63">
        <v>8373156</v>
      </c>
      <c r="D296" s="66"/>
      <c r="E296" s="13" t="s">
        <v>1416</v>
      </c>
      <c r="F296" s="20">
        <v>45198</v>
      </c>
      <c r="G296" s="13" t="s">
        <v>1417</v>
      </c>
      <c r="H296" s="13" t="s">
        <v>1418</v>
      </c>
      <c r="I296" s="17">
        <v>5212252</v>
      </c>
      <c r="J296" s="17" t="s">
        <v>27</v>
      </c>
      <c r="K296" s="66"/>
      <c r="L296" s="13">
        <v>0</v>
      </c>
      <c r="M296" s="13">
        <v>25</v>
      </c>
      <c r="N296" s="13">
        <f>+O296/M296</f>
        <v>228</v>
      </c>
      <c r="O296" s="66">
        <v>5700</v>
      </c>
      <c r="P296" s="66" t="s">
        <v>477</v>
      </c>
      <c r="Q296" s="13" t="s">
        <v>247</v>
      </c>
      <c r="R296" s="66" t="s">
        <v>209</v>
      </c>
      <c r="S296" s="13" t="s">
        <v>1380</v>
      </c>
      <c r="T296" s="13">
        <v>8</v>
      </c>
      <c r="U296" s="15">
        <v>45229</v>
      </c>
      <c r="V296" s="20">
        <v>45230</v>
      </c>
      <c r="W296" s="66"/>
      <c r="X296" s="24">
        <v>45230.4375</v>
      </c>
      <c r="Y296" s="24">
        <v>45230.982638888891</v>
      </c>
      <c r="Z296" s="25">
        <f t="shared" ref="Z296:Z301" si="283">Y296-X296</f>
        <v>0.54513888889050577</v>
      </c>
      <c r="AA296" s="24">
        <v>45230.958333333336</v>
      </c>
      <c r="AB296" s="24">
        <v>45230.979166666664</v>
      </c>
      <c r="AC296" s="25">
        <f t="shared" ref="AC296:AC301" si="284">AB296-AA296</f>
        <v>2.0833333328482695E-2</v>
      </c>
    </row>
    <row r="297" spans="1:29" x14ac:dyDescent="0.25">
      <c r="A297" s="12">
        <v>45238</v>
      </c>
      <c r="B297" s="90">
        <v>293</v>
      </c>
      <c r="C297" s="90">
        <v>8439832</v>
      </c>
      <c r="D297" s="90">
        <v>4909221037</v>
      </c>
      <c r="E297" s="90" t="s">
        <v>1476</v>
      </c>
      <c r="F297" s="46">
        <v>45196</v>
      </c>
      <c r="G297" s="90" t="s">
        <v>1477</v>
      </c>
      <c r="H297" s="13" t="s">
        <v>1418</v>
      </c>
      <c r="I297" s="17">
        <v>5212259</v>
      </c>
      <c r="J297" s="17" t="s">
        <v>26</v>
      </c>
      <c r="K297" s="50"/>
      <c r="L297" s="13">
        <v>0</v>
      </c>
      <c r="M297" s="80">
        <v>25</v>
      </c>
      <c r="N297" s="90">
        <v>1040</v>
      </c>
      <c r="O297" s="88">
        <f>M297*N297</f>
        <v>26000</v>
      </c>
      <c r="P297" s="88" t="s">
        <v>477</v>
      </c>
      <c r="Q297" s="13" t="s">
        <v>247</v>
      </c>
      <c r="R297" s="13" t="s">
        <v>997</v>
      </c>
      <c r="S297" s="90" t="s">
        <v>1121</v>
      </c>
      <c r="T297" s="90">
        <v>12</v>
      </c>
      <c r="U297" s="46">
        <v>45237</v>
      </c>
      <c r="V297" s="46">
        <v>45238</v>
      </c>
      <c r="W297" s="50"/>
      <c r="X297" s="24">
        <v>45238.388888888891</v>
      </c>
      <c r="Y297" s="24">
        <v>45238.416666666664</v>
      </c>
      <c r="Z297" s="25">
        <f t="shared" si="283"/>
        <v>2.7777777773735579E-2</v>
      </c>
      <c r="AA297" s="24">
        <v>45238.395833333336</v>
      </c>
      <c r="AB297" s="24">
        <v>45238.416666666664</v>
      </c>
      <c r="AC297" s="25">
        <f t="shared" si="284"/>
        <v>2.0833333328482695E-2</v>
      </c>
    </row>
    <row r="298" spans="1:29" x14ac:dyDescent="0.25">
      <c r="A298" s="12">
        <v>45238</v>
      </c>
      <c r="B298" s="90">
        <v>294</v>
      </c>
      <c r="C298" s="90">
        <v>8378218</v>
      </c>
      <c r="D298" s="90">
        <v>4909221120</v>
      </c>
      <c r="E298" s="90" t="s">
        <v>1478</v>
      </c>
      <c r="F298" s="46">
        <v>45199</v>
      </c>
      <c r="G298" s="92" t="s">
        <v>1488</v>
      </c>
      <c r="H298" s="80" t="s">
        <v>132</v>
      </c>
      <c r="I298" s="17">
        <v>5230831</v>
      </c>
      <c r="J298" s="17" t="s">
        <v>35</v>
      </c>
      <c r="K298" s="50"/>
      <c r="L298" s="13">
        <v>0</v>
      </c>
      <c r="M298" s="80">
        <v>240</v>
      </c>
      <c r="N298" s="90">
        <v>80</v>
      </c>
      <c r="O298" s="88">
        <f t="shared" ref="O298:O334" si="285">M298*N298</f>
        <v>19200</v>
      </c>
      <c r="P298" s="88" t="s">
        <v>477</v>
      </c>
      <c r="Q298" s="13" t="s">
        <v>247</v>
      </c>
      <c r="R298" s="13" t="s">
        <v>997</v>
      </c>
      <c r="S298" s="90" t="s">
        <v>431</v>
      </c>
      <c r="T298" s="90">
        <v>10</v>
      </c>
      <c r="U298" s="46">
        <v>45237</v>
      </c>
      <c r="V298" s="46">
        <v>45238</v>
      </c>
      <c r="W298" s="50"/>
      <c r="X298" s="24">
        <v>45238.375</v>
      </c>
      <c r="Y298" s="24">
        <v>45238.461805555555</v>
      </c>
      <c r="Z298" s="25">
        <f t="shared" si="283"/>
        <v>8.6805555554747116E-2</v>
      </c>
      <c r="AA298" s="24">
        <v>45238.395833333336</v>
      </c>
      <c r="AB298" s="24">
        <v>45238.461805555555</v>
      </c>
      <c r="AC298" s="25">
        <f t="shared" si="284"/>
        <v>6.5972222218988463E-2</v>
      </c>
    </row>
    <row r="299" spans="1:29" x14ac:dyDescent="0.25">
      <c r="A299" s="12">
        <v>45238</v>
      </c>
      <c r="B299" s="90">
        <v>295</v>
      </c>
      <c r="C299" s="90">
        <v>8378218</v>
      </c>
      <c r="D299" s="90">
        <v>4909221120</v>
      </c>
      <c r="E299" s="90" t="s">
        <v>1478</v>
      </c>
      <c r="F299" s="46">
        <v>45199</v>
      </c>
      <c r="G299" s="92" t="s">
        <v>1488</v>
      </c>
      <c r="H299" s="80" t="s">
        <v>132</v>
      </c>
      <c r="I299" s="17">
        <v>5230831</v>
      </c>
      <c r="J299" s="17" t="s">
        <v>35</v>
      </c>
      <c r="K299" s="50"/>
      <c r="L299" s="13">
        <v>0</v>
      </c>
      <c r="M299" s="80">
        <v>240</v>
      </c>
      <c r="N299" s="90">
        <v>80</v>
      </c>
      <c r="O299" s="88">
        <f t="shared" si="285"/>
        <v>19200</v>
      </c>
      <c r="P299" s="88" t="s">
        <v>477</v>
      </c>
      <c r="Q299" s="13" t="s">
        <v>247</v>
      </c>
      <c r="R299" s="13" t="s">
        <v>997</v>
      </c>
      <c r="S299" s="90" t="s">
        <v>1012</v>
      </c>
      <c r="T299" s="90">
        <v>11</v>
      </c>
      <c r="U299" s="46">
        <v>45237</v>
      </c>
      <c r="V299" s="46">
        <v>45238</v>
      </c>
      <c r="W299" s="50"/>
      <c r="X299" s="24">
        <v>45238.395833333336</v>
      </c>
      <c r="Y299" s="24">
        <v>45238.541666666664</v>
      </c>
      <c r="Z299" s="25">
        <f t="shared" si="283"/>
        <v>0.14583333332848269</v>
      </c>
      <c r="AA299" s="24">
        <v>45238.5</v>
      </c>
      <c r="AB299" s="24">
        <v>45238.541666666664</v>
      </c>
      <c r="AC299" s="25">
        <f t="shared" si="284"/>
        <v>4.1666666664241347E-2</v>
      </c>
    </row>
    <row r="300" spans="1:29" x14ac:dyDescent="0.25">
      <c r="A300" s="12">
        <v>45238</v>
      </c>
      <c r="B300" s="90">
        <v>296</v>
      </c>
      <c r="C300" s="90">
        <v>8378218</v>
      </c>
      <c r="D300" s="90">
        <v>4909221120</v>
      </c>
      <c r="E300" s="90" t="s">
        <v>1478</v>
      </c>
      <c r="F300" s="46">
        <v>45199</v>
      </c>
      <c r="G300" s="92" t="s">
        <v>1488</v>
      </c>
      <c r="H300" s="80" t="s">
        <v>132</v>
      </c>
      <c r="I300" s="17">
        <v>5230831</v>
      </c>
      <c r="J300" s="17" t="s">
        <v>35</v>
      </c>
      <c r="K300" s="50"/>
      <c r="L300" s="13">
        <v>0</v>
      </c>
      <c r="M300" s="80">
        <v>240</v>
      </c>
      <c r="N300" s="90">
        <v>80</v>
      </c>
      <c r="O300" s="89">
        <f t="shared" si="285"/>
        <v>19200</v>
      </c>
      <c r="P300" s="89" t="s">
        <v>477</v>
      </c>
      <c r="Q300" s="13" t="s">
        <v>247</v>
      </c>
      <c r="R300" s="13" t="s">
        <v>997</v>
      </c>
      <c r="S300" s="90" t="s">
        <v>275</v>
      </c>
      <c r="T300" s="90">
        <v>9</v>
      </c>
      <c r="U300" s="46">
        <v>45237</v>
      </c>
      <c r="V300" s="46">
        <v>45238</v>
      </c>
      <c r="W300" s="50"/>
      <c r="X300" s="24">
        <v>45238.395833333336</v>
      </c>
      <c r="Y300" s="24">
        <v>45238.548611111109</v>
      </c>
      <c r="Z300" s="25">
        <f t="shared" si="283"/>
        <v>0.15277777777373558</v>
      </c>
      <c r="AA300" s="24">
        <v>45238.5</v>
      </c>
      <c r="AB300" s="24">
        <v>45238.548611111109</v>
      </c>
      <c r="AC300" s="25">
        <f t="shared" si="284"/>
        <v>4.8611111109494232E-2</v>
      </c>
    </row>
    <row r="301" spans="1:29" x14ac:dyDescent="0.25">
      <c r="A301" s="12">
        <v>45239</v>
      </c>
      <c r="B301" s="90">
        <v>297</v>
      </c>
      <c r="C301" s="90">
        <v>8367062</v>
      </c>
      <c r="D301" s="90">
        <v>4909232698</v>
      </c>
      <c r="E301" s="90" t="s">
        <v>1489</v>
      </c>
      <c r="F301" s="46">
        <v>45208</v>
      </c>
      <c r="G301" s="90" t="s">
        <v>1443</v>
      </c>
      <c r="H301" s="80" t="s">
        <v>1418</v>
      </c>
      <c r="I301" s="17">
        <v>5212252</v>
      </c>
      <c r="J301" s="17" t="s">
        <v>23</v>
      </c>
      <c r="K301" s="50"/>
      <c r="L301" s="13">
        <v>0</v>
      </c>
      <c r="M301" s="80">
        <v>25</v>
      </c>
      <c r="N301" s="90">
        <v>488</v>
      </c>
      <c r="O301" s="80">
        <f t="shared" si="285"/>
        <v>12200</v>
      </c>
      <c r="P301" s="89" t="s">
        <v>477</v>
      </c>
      <c r="Q301" s="13" t="s">
        <v>159</v>
      </c>
      <c r="R301" s="89" t="s">
        <v>209</v>
      </c>
      <c r="S301" s="90" t="s">
        <v>715</v>
      </c>
      <c r="T301" s="90">
        <v>21430</v>
      </c>
      <c r="U301" s="46">
        <v>45238</v>
      </c>
      <c r="V301" s="46">
        <v>45239</v>
      </c>
      <c r="W301" s="50"/>
      <c r="X301" s="24">
        <v>45239.375</v>
      </c>
      <c r="Y301" s="24">
        <v>45239.4375</v>
      </c>
      <c r="Z301" s="25">
        <f t="shared" si="283"/>
        <v>6.25E-2</v>
      </c>
      <c r="AA301" s="24">
        <v>45239.416666666664</v>
      </c>
      <c r="AB301" s="24">
        <v>45239.4375</v>
      </c>
      <c r="AC301" s="25">
        <f t="shared" si="284"/>
        <v>2.0833333335758653E-2</v>
      </c>
    </row>
    <row r="302" spans="1:29" x14ac:dyDescent="0.25">
      <c r="A302" s="12">
        <v>45239</v>
      </c>
      <c r="B302" s="90">
        <v>297</v>
      </c>
      <c r="C302" s="90">
        <v>8367062</v>
      </c>
      <c r="D302" s="90">
        <v>4909232698</v>
      </c>
      <c r="E302" s="90" t="s">
        <v>1489</v>
      </c>
      <c r="F302" s="46">
        <v>45208</v>
      </c>
      <c r="G302" s="90" t="s">
        <v>1490</v>
      </c>
      <c r="H302" s="80" t="s">
        <v>1418</v>
      </c>
      <c r="I302" s="17">
        <v>5212252</v>
      </c>
      <c r="J302" s="17" t="s">
        <v>23</v>
      </c>
      <c r="K302" s="50"/>
      <c r="L302" s="13">
        <v>0</v>
      </c>
      <c r="M302" s="80">
        <v>25</v>
      </c>
      <c r="N302" s="90">
        <v>401</v>
      </c>
      <c r="O302" s="80">
        <f t="shared" si="285"/>
        <v>10025</v>
      </c>
      <c r="P302" s="89" t="s">
        <v>477</v>
      </c>
      <c r="Q302" s="13" t="s">
        <v>159</v>
      </c>
      <c r="R302" s="89" t="s">
        <v>209</v>
      </c>
      <c r="S302" s="90" t="s">
        <v>715</v>
      </c>
      <c r="T302" s="90">
        <v>21430</v>
      </c>
      <c r="U302" s="46">
        <v>45238</v>
      </c>
      <c r="V302" s="46">
        <v>45239</v>
      </c>
      <c r="W302" s="50"/>
      <c r="X302" s="24">
        <v>45239.375</v>
      </c>
      <c r="Y302" s="24">
        <v>45239.4375</v>
      </c>
      <c r="Z302" s="25">
        <f t="shared" ref="Z302:Z306" si="286">Y302-X302</f>
        <v>6.25E-2</v>
      </c>
      <c r="AA302" s="24">
        <v>45239.416666666664</v>
      </c>
      <c r="AB302" s="24">
        <v>45239.4375</v>
      </c>
      <c r="AC302" s="25">
        <f t="shared" ref="AC302:AC306" si="287">AB302-AA302</f>
        <v>2.0833333335758653E-2</v>
      </c>
    </row>
    <row r="303" spans="1:29" x14ac:dyDescent="0.25">
      <c r="A303" s="12">
        <v>45239</v>
      </c>
      <c r="B303" s="90">
        <v>297</v>
      </c>
      <c r="C303" s="90">
        <v>8367062</v>
      </c>
      <c r="D303" s="90">
        <v>4909232698</v>
      </c>
      <c r="E303" s="90" t="s">
        <v>1489</v>
      </c>
      <c r="F303" s="46">
        <v>45208</v>
      </c>
      <c r="G303" s="90" t="s">
        <v>1491</v>
      </c>
      <c r="H303" s="80" t="s">
        <v>1418</v>
      </c>
      <c r="I303" s="17">
        <v>5212252</v>
      </c>
      <c r="J303" s="17" t="s">
        <v>23</v>
      </c>
      <c r="K303" s="50"/>
      <c r="L303" s="13">
        <v>0</v>
      </c>
      <c r="M303" s="80">
        <v>25</v>
      </c>
      <c r="N303" s="90">
        <v>151</v>
      </c>
      <c r="O303" s="80">
        <f t="shared" si="285"/>
        <v>3775</v>
      </c>
      <c r="P303" s="89" t="s">
        <v>477</v>
      </c>
      <c r="Q303" s="13" t="s">
        <v>159</v>
      </c>
      <c r="R303" s="89" t="s">
        <v>209</v>
      </c>
      <c r="S303" s="90" t="s">
        <v>715</v>
      </c>
      <c r="T303" s="90">
        <v>21430</v>
      </c>
      <c r="U303" s="46">
        <v>45238</v>
      </c>
      <c r="V303" s="46">
        <v>45239</v>
      </c>
      <c r="W303" s="50"/>
      <c r="X303" s="24">
        <v>45239.375</v>
      </c>
      <c r="Y303" s="24">
        <v>45239.4375</v>
      </c>
      <c r="Z303" s="25">
        <f t="shared" si="286"/>
        <v>6.25E-2</v>
      </c>
      <c r="AA303" s="24">
        <v>45239.416666666664</v>
      </c>
      <c r="AB303" s="24">
        <v>45239.4375</v>
      </c>
      <c r="AC303" s="25">
        <f t="shared" si="287"/>
        <v>2.0833333335758653E-2</v>
      </c>
    </row>
    <row r="304" spans="1:29" x14ac:dyDescent="0.25">
      <c r="A304" s="12">
        <v>45239</v>
      </c>
      <c r="B304" s="90">
        <v>298</v>
      </c>
      <c r="C304" s="90">
        <v>8367062</v>
      </c>
      <c r="D304" s="90">
        <v>4909232698</v>
      </c>
      <c r="E304" s="90" t="s">
        <v>1489</v>
      </c>
      <c r="F304" s="46">
        <v>45208</v>
      </c>
      <c r="G304" s="90" t="s">
        <v>1490</v>
      </c>
      <c r="H304" s="80" t="s">
        <v>1418</v>
      </c>
      <c r="I304" s="17">
        <v>5212252</v>
      </c>
      <c r="J304" s="17" t="s">
        <v>23</v>
      </c>
      <c r="K304" s="50"/>
      <c r="L304" s="13">
        <v>0</v>
      </c>
      <c r="M304" s="80">
        <v>25</v>
      </c>
      <c r="N304" s="90">
        <v>1040</v>
      </c>
      <c r="O304" s="80">
        <f t="shared" si="285"/>
        <v>26000</v>
      </c>
      <c r="P304" s="89" t="s">
        <v>477</v>
      </c>
      <c r="Q304" s="13" t="s">
        <v>159</v>
      </c>
      <c r="R304" s="89" t="s">
        <v>209</v>
      </c>
      <c r="S304" s="90" t="s">
        <v>712</v>
      </c>
      <c r="T304" s="90">
        <v>21431</v>
      </c>
      <c r="U304" s="46">
        <v>45238</v>
      </c>
      <c r="V304" s="46">
        <v>45239</v>
      </c>
      <c r="W304" s="50"/>
      <c r="X304" s="24">
        <v>45239.375</v>
      </c>
      <c r="Y304" s="24">
        <v>45239.465277777781</v>
      </c>
      <c r="Z304" s="25">
        <f t="shared" si="286"/>
        <v>9.0277777781011537E-2</v>
      </c>
      <c r="AA304" s="24">
        <v>45239.440972222219</v>
      </c>
      <c r="AB304" s="24">
        <v>45239.465277777781</v>
      </c>
      <c r="AC304" s="25">
        <f t="shared" si="287"/>
        <v>2.4305555562023073E-2</v>
      </c>
    </row>
    <row r="305" spans="1:29" x14ac:dyDescent="0.25">
      <c r="A305" s="12">
        <v>45239</v>
      </c>
      <c r="B305" s="90">
        <v>299</v>
      </c>
      <c r="C305" s="90">
        <v>8381635</v>
      </c>
      <c r="D305" s="90">
        <v>4909232699</v>
      </c>
      <c r="E305" s="90" t="s">
        <v>1492</v>
      </c>
      <c r="F305" s="46">
        <v>45197</v>
      </c>
      <c r="G305" s="90">
        <v>1230455862</v>
      </c>
      <c r="H305" s="80" t="s">
        <v>1418</v>
      </c>
      <c r="I305" s="17">
        <v>5205449</v>
      </c>
      <c r="J305" s="17" t="s">
        <v>39</v>
      </c>
      <c r="K305" s="50"/>
      <c r="L305" s="13">
        <v>0</v>
      </c>
      <c r="M305" s="80">
        <v>25</v>
      </c>
      <c r="N305" s="90">
        <v>1080</v>
      </c>
      <c r="O305" s="80">
        <f t="shared" si="285"/>
        <v>27000</v>
      </c>
      <c r="P305" s="89" t="s">
        <v>477</v>
      </c>
      <c r="Q305" s="80" t="s">
        <v>247</v>
      </c>
      <c r="R305" s="89" t="s">
        <v>209</v>
      </c>
      <c r="S305" s="90" t="s">
        <v>1493</v>
      </c>
      <c r="T305" s="90">
        <v>15</v>
      </c>
      <c r="U305" s="46">
        <v>45238</v>
      </c>
      <c r="V305" s="46">
        <v>45239</v>
      </c>
      <c r="W305" s="50"/>
      <c r="X305" s="24">
        <v>45239.375</v>
      </c>
      <c r="Y305" s="24">
        <v>45239.493055555555</v>
      </c>
      <c r="Z305" s="25">
        <f t="shared" si="286"/>
        <v>0.11805555555474712</v>
      </c>
      <c r="AA305" s="24">
        <v>45239.472222222219</v>
      </c>
      <c r="AB305" s="24">
        <v>45239.493055555555</v>
      </c>
      <c r="AC305" s="25">
        <f t="shared" si="287"/>
        <v>2.0833333335758653E-2</v>
      </c>
    </row>
    <row r="306" spans="1:29" x14ac:dyDescent="0.25">
      <c r="A306" s="12">
        <v>45239</v>
      </c>
      <c r="B306" s="90">
        <v>300</v>
      </c>
      <c r="C306" s="90">
        <v>8374281</v>
      </c>
      <c r="D306" s="90">
        <v>4909232910</v>
      </c>
      <c r="E306" s="90" t="s">
        <v>1494</v>
      </c>
      <c r="F306" s="46">
        <v>45190</v>
      </c>
      <c r="G306" s="92" t="s">
        <v>1502</v>
      </c>
      <c r="H306" s="13" t="s">
        <v>132</v>
      </c>
      <c r="I306" s="17">
        <v>5306988</v>
      </c>
      <c r="J306" s="17" t="s">
        <v>55</v>
      </c>
      <c r="K306" s="50"/>
      <c r="L306" s="80">
        <v>0</v>
      </c>
      <c r="M306" s="80">
        <v>200</v>
      </c>
      <c r="N306" s="51">
        <v>50</v>
      </c>
      <c r="O306" s="80">
        <f t="shared" si="285"/>
        <v>10000</v>
      </c>
      <c r="P306" s="89" t="s">
        <v>477</v>
      </c>
      <c r="Q306" s="80" t="s">
        <v>247</v>
      </c>
      <c r="R306" s="13" t="s">
        <v>997</v>
      </c>
      <c r="S306" s="90" t="s">
        <v>431</v>
      </c>
      <c r="T306" s="90">
        <v>18</v>
      </c>
      <c r="U306" s="46">
        <v>45238</v>
      </c>
      <c r="V306" s="46">
        <v>45239</v>
      </c>
      <c r="W306" s="50"/>
      <c r="X306" s="24">
        <v>45239.375</v>
      </c>
      <c r="Y306" s="24">
        <v>45239.5</v>
      </c>
      <c r="Z306" s="25">
        <f t="shared" si="286"/>
        <v>0.125</v>
      </c>
      <c r="AA306" s="24">
        <v>45239.416666666664</v>
      </c>
      <c r="AB306" s="24">
        <v>45239.5</v>
      </c>
      <c r="AC306" s="25">
        <f t="shared" si="287"/>
        <v>8.3333333335758653E-2</v>
      </c>
    </row>
    <row r="307" spans="1:29" x14ac:dyDescent="0.25">
      <c r="A307" s="12">
        <v>45239</v>
      </c>
      <c r="B307" s="90">
        <v>300</v>
      </c>
      <c r="C307" s="90">
        <v>8374281</v>
      </c>
      <c r="D307" s="90">
        <v>4909232910</v>
      </c>
      <c r="E307" s="90" t="s">
        <v>1494</v>
      </c>
      <c r="F307" s="46">
        <v>45190</v>
      </c>
      <c r="G307" s="96" t="s">
        <v>1503</v>
      </c>
      <c r="H307" s="13" t="s">
        <v>132</v>
      </c>
      <c r="I307" s="17">
        <v>5306988</v>
      </c>
      <c r="J307" s="17" t="s">
        <v>55</v>
      </c>
      <c r="K307" s="50"/>
      <c r="L307" s="80">
        <v>0</v>
      </c>
      <c r="M307" s="80">
        <v>200</v>
      </c>
      <c r="N307" s="51">
        <v>30</v>
      </c>
      <c r="O307" s="80">
        <f t="shared" si="285"/>
        <v>6000</v>
      </c>
      <c r="P307" s="89" t="s">
        <v>477</v>
      </c>
      <c r="Q307" s="80" t="s">
        <v>247</v>
      </c>
      <c r="R307" s="13" t="s">
        <v>997</v>
      </c>
      <c r="S307" s="90" t="s">
        <v>431</v>
      </c>
      <c r="T307" s="90">
        <v>18</v>
      </c>
      <c r="U307" s="46">
        <v>45238</v>
      </c>
      <c r="V307" s="46">
        <v>45239</v>
      </c>
      <c r="W307" s="50"/>
      <c r="X307" s="24">
        <v>45239.375</v>
      </c>
      <c r="Y307" s="24">
        <v>45239.5</v>
      </c>
      <c r="Z307" s="25">
        <f t="shared" ref="Z307:Z308" si="288">Y307-X307</f>
        <v>0.125</v>
      </c>
      <c r="AA307" s="24">
        <v>45239.416666666664</v>
      </c>
      <c r="AB307" s="24">
        <v>45239.5</v>
      </c>
      <c r="AC307" s="25">
        <f t="shared" ref="AC307:AC308" si="289">AB307-AA307</f>
        <v>8.3333333335758653E-2</v>
      </c>
    </row>
    <row r="308" spans="1:29" x14ac:dyDescent="0.25">
      <c r="A308" s="12">
        <v>45239</v>
      </c>
      <c r="B308" s="90">
        <v>301</v>
      </c>
      <c r="C308" s="90">
        <v>8374281</v>
      </c>
      <c r="D308" s="90">
        <v>4909232910</v>
      </c>
      <c r="E308" s="90" t="s">
        <v>1494</v>
      </c>
      <c r="F308" s="46">
        <v>45190</v>
      </c>
      <c r="G308" s="92" t="s">
        <v>1503</v>
      </c>
      <c r="H308" s="13" t="s">
        <v>132</v>
      </c>
      <c r="I308" s="17">
        <v>5306988</v>
      </c>
      <c r="J308" s="17" t="s">
        <v>55</v>
      </c>
      <c r="K308" s="50"/>
      <c r="L308" s="80">
        <v>0</v>
      </c>
      <c r="M308" s="80">
        <v>200</v>
      </c>
      <c r="N308" s="51">
        <v>10</v>
      </c>
      <c r="O308" s="80">
        <f t="shared" si="285"/>
        <v>2000</v>
      </c>
      <c r="P308" s="89" t="s">
        <v>477</v>
      </c>
      <c r="Q308" s="80" t="s">
        <v>247</v>
      </c>
      <c r="R308" s="13" t="s">
        <v>997</v>
      </c>
      <c r="S308" s="90" t="s">
        <v>275</v>
      </c>
      <c r="T308" s="90">
        <v>17</v>
      </c>
      <c r="U308" s="46">
        <v>45238</v>
      </c>
      <c r="V308" s="46">
        <v>45239</v>
      </c>
      <c r="W308" s="50"/>
      <c r="X308" s="24">
        <v>45239.375</v>
      </c>
      <c r="Y308" s="24">
        <v>45239.5625</v>
      </c>
      <c r="Z308" s="25">
        <f t="shared" si="288"/>
        <v>0.1875</v>
      </c>
      <c r="AA308" s="24">
        <v>45239.520833333336</v>
      </c>
      <c r="AB308" s="24">
        <v>45239.5625</v>
      </c>
      <c r="AC308" s="25">
        <f t="shared" si="289"/>
        <v>4.1666666664241347E-2</v>
      </c>
    </row>
    <row r="309" spans="1:29" x14ac:dyDescent="0.25">
      <c r="A309" s="12">
        <v>45239</v>
      </c>
      <c r="B309" s="90">
        <v>301</v>
      </c>
      <c r="C309" s="90">
        <v>8374281</v>
      </c>
      <c r="D309" s="90">
        <v>4909232910</v>
      </c>
      <c r="E309" s="90" t="s">
        <v>1494</v>
      </c>
      <c r="F309" s="46">
        <v>45190</v>
      </c>
      <c r="G309" s="92" t="s">
        <v>1504</v>
      </c>
      <c r="H309" s="13" t="s">
        <v>132</v>
      </c>
      <c r="I309" s="17">
        <v>5306988</v>
      </c>
      <c r="J309" s="17" t="s">
        <v>55</v>
      </c>
      <c r="K309" s="50"/>
      <c r="L309" s="80">
        <v>0</v>
      </c>
      <c r="M309" s="80">
        <v>200</v>
      </c>
      <c r="N309" s="51">
        <v>20</v>
      </c>
      <c r="O309" s="80">
        <f t="shared" si="285"/>
        <v>4000</v>
      </c>
      <c r="P309" s="89" t="s">
        <v>477</v>
      </c>
      <c r="Q309" s="80" t="s">
        <v>247</v>
      </c>
      <c r="R309" s="13" t="s">
        <v>997</v>
      </c>
      <c r="S309" s="90" t="s">
        <v>275</v>
      </c>
      <c r="T309" s="90">
        <v>17</v>
      </c>
      <c r="U309" s="46">
        <v>45238</v>
      </c>
      <c r="V309" s="46">
        <v>45239</v>
      </c>
      <c r="W309" s="50"/>
      <c r="X309" s="24">
        <v>45239.375</v>
      </c>
      <c r="Y309" s="24">
        <v>45239.5625</v>
      </c>
      <c r="Z309" s="25">
        <f t="shared" ref="Z309:Z319" si="290">Y309-X309</f>
        <v>0.1875</v>
      </c>
      <c r="AA309" s="24">
        <v>45239.520833333336</v>
      </c>
      <c r="AB309" s="24">
        <v>45239.5625</v>
      </c>
      <c r="AC309" s="25">
        <f t="shared" ref="AC309:AC319" si="291">AB309-AA309</f>
        <v>4.1666666664241347E-2</v>
      </c>
    </row>
    <row r="310" spans="1:29" x14ac:dyDescent="0.25">
      <c r="A310" s="12">
        <v>45239</v>
      </c>
      <c r="B310" s="90">
        <v>301</v>
      </c>
      <c r="C310" s="90">
        <v>8374281</v>
      </c>
      <c r="D310" s="90">
        <v>4909232910</v>
      </c>
      <c r="E310" s="90" t="s">
        <v>1494</v>
      </c>
      <c r="F310" s="46">
        <v>45190</v>
      </c>
      <c r="G310" s="92" t="s">
        <v>1505</v>
      </c>
      <c r="H310" s="13" t="s">
        <v>132</v>
      </c>
      <c r="I310" s="17">
        <v>5306988</v>
      </c>
      <c r="J310" s="17" t="s">
        <v>55</v>
      </c>
      <c r="K310" s="50"/>
      <c r="L310" s="80">
        <v>0</v>
      </c>
      <c r="M310" s="80">
        <v>200</v>
      </c>
      <c r="N310" s="51">
        <v>50</v>
      </c>
      <c r="O310" s="80">
        <f t="shared" si="285"/>
        <v>10000</v>
      </c>
      <c r="P310" s="89" t="s">
        <v>477</v>
      </c>
      <c r="Q310" s="80" t="s">
        <v>247</v>
      </c>
      <c r="R310" s="13" t="s">
        <v>997</v>
      </c>
      <c r="S310" s="90" t="s">
        <v>275</v>
      </c>
      <c r="T310" s="90">
        <v>17</v>
      </c>
      <c r="U310" s="46">
        <v>45238</v>
      </c>
      <c r="V310" s="46">
        <v>45239</v>
      </c>
      <c r="W310" s="50"/>
      <c r="X310" s="24">
        <v>45239.375</v>
      </c>
      <c r="Y310" s="24">
        <v>45239.5625</v>
      </c>
      <c r="Z310" s="25">
        <f t="shared" si="290"/>
        <v>0.1875</v>
      </c>
      <c r="AA310" s="24">
        <v>45239.520833333336</v>
      </c>
      <c r="AB310" s="24">
        <v>45239.5625</v>
      </c>
      <c r="AC310" s="25">
        <f t="shared" si="291"/>
        <v>4.1666666664241347E-2</v>
      </c>
    </row>
    <row r="311" spans="1:29" x14ac:dyDescent="0.25">
      <c r="A311" s="12">
        <v>45239</v>
      </c>
      <c r="B311" s="90">
        <v>302</v>
      </c>
      <c r="C311" s="90">
        <v>8381635</v>
      </c>
      <c r="D311" s="90">
        <v>4909232699</v>
      </c>
      <c r="E311" s="90" t="s">
        <v>1492</v>
      </c>
      <c r="F311" s="46">
        <v>45197</v>
      </c>
      <c r="G311" s="92">
        <v>1230455862</v>
      </c>
      <c r="H311" s="89" t="s">
        <v>192</v>
      </c>
      <c r="I311" s="17">
        <v>5205449</v>
      </c>
      <c r="J311" s="17" t="s">
        <v>39</v>
      </c>
      <c r="K311" s="50"/>
      <c r="L311" s="80">
        <v>0</v>
      </c>
      <c r="M311" s="80">
        <v>25</v>
      </c>
      <c r="N311" s="90">
        <v>1080</v>
      </c>
      <c r="O311" s="80">
        <f t="shared" si="285"/>
        <v>27000</v>
      </c>
      <c r="P311" s="89" t="s">
        <v>477</v>
      </c>
      <c r="Q311" s="80" t="s">
        <v>247</v>
      </c>
      <c r="R311" s="89" t="s">
        <v>209</v>
      </c>
      <c r="S311" s="90" t="s">
        <v>1495</v>
      </c>
      <c r="T311" s="90">
        <v>16</v>
      </c>
      <c r="U311" s="46">
        <v>45238</v>
      </c>
      <c r="V311" s="46">
        <v>45239</v>
      </c>
      <c r="W311" s="50"/>
      <c r="X311" s="24">
        <v>45239.375</v>
      </c>
      <c r="Y311" s="24">
        <v>45239.416666666664</v>
      </c>
      <c r="Z311" s="25">
        <f t="shared" si="290"/>
        <v>4.1666666664241347E-2</v>
      </c>
      <c r="AA311" s="24">
        <v>45239.59375</v>
      </c>
      <c r="AB311" s="24">
        <v>45239.625</v>
      </c>
      <c r="AC311" s="25">
        <f t="shared" si="291"/>
        <v>3.125E-2</v>
      </c>
    </row>
    <row r="312" spans="1:29" x14ac:dyDescent="0.25">
      <c r="A312" s="12">
        <v>45240</v>
      </c>
      <c r="B312" s="80">
        <v>303</v>
      </c>
      <c r="C312" s="80">
        <v>8516509</v>
      </c>
      <c r="D312" s="95"/>
      <c r="E312" s="80" t="s">
        <v>1509</v>
      </c>
      <c r="F312" s="20">
        <v>45207</v>
      </c>
      <c r="G312" s="93" t="s">
        <v>1512</v>
      </c>
      <c r="H312" s="13" t="s">
        <v>132</v>
      </c>
      <c r="I312" s="17">
        <v>5230874</v>
      </c>
      <c r="J312" s="17" t="s">
        <v>1316</v>
      </c>
      <c r="K312" s="95"/>
      <c r="L312" s="80">
        <v>0</v>
      </c>
      <c r="M312" s="80">
        <v>250</v>
      </c>
      <c r="N312" s="80">
        <v>80</v>
      </c>
      <c r="O312" s="80">
        <f t="shared" si="285"/>
        <v>20000</v>
      </c>
      <c r="P312" s="95" t="s">
        <v>477</v>
      </c>
      <c r="Q312" s="80" t="s">
        <v>247</v>
      </c>
      <c r="R312" s="13" t="s">
        <v>997</v>
      </c>
      <c r="S312" s="80" t="s">
        <v>431</v>
      </c>
      <c r="T312" s="80">
        <v>22</v>
      </c>
      <c r="U312" s="20">
        <v>45239</v>
      </c>
      <c r="V312" s="20">
        <v>45240</v>
      </c>
      <c r="W312" s="95"/>
      <c r="X312" s="24">
        <v>45240.375</v>
      </c>
      <c r="Y312" s="24">
        <v>45240.458333333336</v>
      </c>
      <c r="Z312" s="25">
        <f t="shared" si="290"/>
        <v>8.3333333335758653E-2</v>
      </c>
      <c r="AA312" s="24">
        <v>45240.402777777781</v>
      </c>
      <c r="AB312" s="24">
        <v>45240.458333333336</v>
      </c>
      <c r="AC312" s="25">
        <f t="shared" si="291"/>
        <v>5.5555555554747116E-2</v>
      </c>
    </row>
    <row r="313" spans="1:29" x14ac:dyDescent="0.25">
      <c r="A313" s="12">
        <v>45240</v>
      </c>
      <c r="B313" s="80">
        <v>304</v>
      </c>
      <c r="C313" s="80">
        <v>8516509</v>
      </c>
      <c r="D313" s="95"/>
      <c r="E313" s="80" t="s">
        <v>1509</v>
      </c>
      <c r="F313" s="20">
        <v>45207</v>
      </c>
      <c r="G313" s="93" t="s">
        <v>1295</v>
      </c>
      <c r="H313" s="13" t="s">
        <v>132</v>
      </c>
      <c r="I313" s="17">
        <v>5230874</v>
      </c>
      <c r="J313" s="17" t="s">
        <v>1316</v>
      </c>
      <c r="K313" s="95"/>
      <c r="L313" s="80">
        <v>0</v>
      </c>
      <c r="M313" s="80">
        <v>250</v>
      </c>
      <c r="N313" s="80">
        <v>78</v>
      </c>
      <c r="O313" s="80">
        <f t="shared" si="285"/>
        <v>19500</v>
      </c>
      <c r="P313" s="95" t="s">
        <v>477</v>
      </c>
      <c r="Q313" s="80" t="s">
        <v>247</v>
      </c>
      <c r="R313" s="13" t="s">
        <v>997</v>
      </c>
      <c r="S313" s="80" t="s">
        <v>275</v>
      </c>
      <c r="T313" s="80">
        <v>21</v>
      </c>
      <c r="U313" s="20">
        <v>45239</v>
      </c>
      <c r="V313" s="20">
        <v>45240</v>
      </c>
      <c r="W313" s="95"/>
      <c r="X313" s="24">
        <v>45240.375</v>
      </c>
      <c r="Y313" s="24">
        <v>45240.541666666664</v>
      </c>
      <c r="Z313" s="25">
        <f t="shared" si="290"/>
        <v>0.16666666666424135</v>
      </c>
      <c r="AA313" s="24">
        <v>45240.472222222219</v>
      </c>
      <c r="AB313" s="24">
        <v>45240.541666666664</v>
      </c>
      <c r="AC313" s="25">
        <f t="shared" si="291"/>
        <v>6.9444444445252884E-2</v>
      </c>
    </row>
    <row r="314" spans="1:29" x14ac:dyDescent="0.25">
      <c r="A314" s="12">
        <v>45240</v>
      </c>
      <c r="B314" s="80">
        <v>304</v>
      </c>
      <c r="C314" s="80">
        <v>8516509</v>
      </c>
      <c r="D314" s="98"/>
      <c r="E314" s="80" t="s">
        <v>1509</v>
      </c>
      <c r="F314" s="20">
        <v>45207</v>
      </c>
      <c r="G314" s="93" t="s">
        <v>1512</v>
      </c>
      <c r="H314" s="13" t="s">
        <v>132</v>
      </c>
      <c r="I314" s="17">
        <v>5230874</v>
      </c>
      <c r="J314" s="17" t="s">
        <v>1316</v>
      </c>
      <c r="K314" s="98"/>
      <c r="L314" s="80">
        <v>0</v>
      </c>
      <c r="M314" s="80">
        <v>250</v>
      </c>
      <c r="N314" s="80">
        <v>2</v>
      </c>
      <c r="O314" s="80">
        <f t="shared" si="285"/>
        <v>500</v>
      </c>
      <c r="P314" s="98" t="s">
        <v>477</v>
      </c>
      <c r="Q314" s="80" t="s">
        <v>247</v>
      </c>
      <c r="R314" s="13" t="s">
        <v>997</v>
      </c>
      <c r="S314" s="80" t="s">
        <v>275</v>
      </c>
      <c r="T314" s="80">
        <v>21</v>
      </c>
      <c r="U314" s="20">
        <v>45239</v>
      </c>
      <c r="V314" s="20">
        <v>45240</v>
      </c>
      <c r="W314" s="98"/>
      <c r="X314" s="24">
        <v>45240.375</v>
      </c>
      <c r="Y314" s="24">
        <v>45240.541666666664</v>
      </c>
      <c r="Z314" s="25">
        <f t="shared" si="290"/>
        <v>0.16666666666424135</v>
      </c>
      <c r="AA314" s="24">
        <v>45240.472222222219</v>
      </c>
      <c r="AB314" s="24">
        <v>45240.541666666664</v>
      </c>
      <c r="AC314" s="25">
        <f t="shared" si="291"/>
        <v>6.9444444445252884E-2</v>
      </c>
    </row>
    <row r="315" spans="1:29" x14ac:dyDescent="0.25">
      <c r="A315" s="12">
        <v>45240</v>
      </c>
      <c r="B315" s="80">
        <v>305</v>
      </c>
      <c r="C315" s="80">
        <v>8516527</v>
      </c>
      <c r="D315" s="90">
        <v>4909261539</v>
      </c>
      <c r="E315" s="80" t="s">
        <v>1510</v>
      </c>
      <c r="F315" s="20">
        <v>45207</v>
      </c>
      <c r="G315" s="93" t="s">
        <v>1513</v>
      </c>
      <c r="H315" s="13" t="s">
        <v>132</v>
      </c>
      <c r="I315" s="17">
        <v>5230874</v>
      </c>
      <c r="J315" s="17" t="s">
        <v>1316</v>
      </c>
      <c r="K315" s="95"/>
      <c r="L315" s="80">
        <v>0</v>
      </c>
      <c r="M315" s="80">
        <v>250</v>
      </c>
      <c r="N315" s="80">
        <v>20</v>
      </c>
      <c r="O315" s="80">
        <f t="shared" si="285"/>
        <v>5000</v>
      </c>
      <c r="P315" s="95" t="s">
        <v>477</v>
      </c>
      <c r="Q315" s="80" t="s">
        <v>247</v>
      </c>
      <c r="R315" s="13" t="s">
        <v>997</v>
      </c>
      <c r="S315" s="80" t="s">
        <v>813</v>
      </c>
      <c r="T315" s="80">
        <v>23</v>
      </c>
      <c r="U315" s="20">
        <v>45239</v>
      </c>
      <c r="V315" s="20">
        <v>45240</v>
      </c>
      <c r="W315" s="95"/>
      <c r="X315" s="24">
        <v>45240.375</v>
      </c>
      <c r="Y315" s="24">
        <v>45240.5625</v>
      </c>
      <c r="Z315" s="25">
        <f t="shared" si="290"/>
        <v>0.1875</v>
      </c>
      <c r="AA315" s="24">
        <v>45240.513888888891</v>
      </c>
      <c r="AB315" s="24">
        <v>45240.5625</v>
      </c>
      <c r="AC315" s="25">
        <f t="shared" si="291"/>
        <v>4.8611111109494232E-2</v>
      </c>
    </row>
    <row r="316" spans="1:29" x14ac:dyDescent="0.25">
      <c r="A316" s="12">
        <v>45240</v>
      </c>
      <c r="B316" s="80">
        <v>305</v>
      </c>
      <c r="C316" s="80">
        <v>8516527</v>
      </c>
      <c r="D316" s="90">
        <v>4909261539</v>
      </c>
      <c r="E316" s="80" t="s">
        <v>1510</v>
      </c>
      <c r="F316" s="20">
        <v>45207</v>
      </c>
      <c r="G316" s="93" t="s">
        <v>1512</v>
      </c>
      <c r="H316" s="13" t="s">
        <v>132</v>
      </c>
      <c r="I316" s="17">
        <v>5230874</v>
      </c>
      <c r="J316" s="17" t="s">
        <v>1316</v>
      </c>
      <c r="K316" s="95"/>
      <c r="L316" s="80">
        <v>0</v>
      </c>
      <c r="M316" s="80">
        <v>250</v>
      </c>
      <c r="N316" s="80">
        <v>17</v>
      </c>
      <c r="O316" s="80">
        <f t="shared" si="285"/>
        <v>4250</v>
      </c>
      <c r="P316" s="95" t="s">
        <v>477</v>
      </c>
      <c r="Q316" s="80" t="s">
        <v>247</v>
      </c>
      <c r="R316" s="13" t="s">
        <v>997</v>
      </c>
      <c r="S316" s="80" t="s">
        <v>813</v>
      </c>
      <c r="T316" s="80">
        <v>23</v>
      </c>
      <c r="U316" s="20">
        <v>45239</v>
      </c>
      <c r="V316" s="20">
        <v>45240</v>
      </c>
      <c r="W316" s="95"/>
      <c r="X316" s="24">
        <v>45240.375</v>
      </c>
      <c r="Y316" s="24">
        <v>45240.5625</v>
      </c>
      <c r="Z316" s="25">
        <f t="shared" ref="Z316:Z317" si="292">Y316-X316</f>
        <v>0.1875</v>
      </c>
      <c r="AA316" s="24">
        <v>45240.513888888891</v>
      </c>
      <c r="AB316" s="24">
        <v>45240.5625</v>
      </c>
      <c r="AC316" s="25">
        <f t="shared" ref="AC316:AC317" si="293">AB316-AA316</f>
        <v>4.8611111109494232E-2</v>
      </c>
    </row>
    <row r="317" spans="1:29" x14ac:dyDescent="0.25">
      <c r="A317" s="12">
        <v>45240</v>
      </c>
      <c r="B317" s="80">
        <v>305</v>
      </c>
      <c r="C317" s="80">
        <v>8516527</v>
      </c>
      <c r="D317" s="90">
        <v>4909261539</v>
      </c>
      <c r="E317" s="80" t="s">
        <v>1510</v>
      </c>
      <c r="F317" s="20">
        <v>45207</v>
      </c>
      <c r="G317" s="93" t="s">
        <v>1514</v>
      </c>
      <c r="H317" s="13" t="s">
        <v>132</v>
      </c>
      <c r="I317" s="17">
        <v>5230874</v>
      </c>
      <c r="J317" s="17" t="s">
        <v>1316</v>
      </c>
      <c r="K317" s="95"/>
      <c r="L317" s="80">
        <v>0</v>
      </c>
      <c r="M317" s="80">
        <v>250</v>
      </c>
      <c r="N317" s="80">
        <v>43</v>
      </c>
      <c r="O317" s="80">
        <f t="shared" si="285"/>
        <v>10750</v>
      </c>
      <c r="P317" s="95" t="s">
        <v>477</v>
      </c>
      <c r="Q317" s="80" t="s">
        <v>247</v>
      </c>
      <c r="R317" s="13" t="s">
        <v>997</v>
      </c>
      <c r="S317" s="80" t="s">
        <v>813</v>
      </c>
      <c r="T317" s="80">
        <v>23</v>
      </c>
      <c r="U317" s="20">
        <v>45239</v>
      </c>
      <c r="V317" s="20">
        <v>45240</v>
      </c>
      <c r="W317" s="95"/>
      <c r="X317" s="24">
        <v>45240.375</v>
      </c>
      <c r="Y317" s="24">
        <v>45240.5625</v>
      </c>
      <c r="Z317" s="25">
        <f t="shared" si="292"/>
        <v>0.1875</v>
      </c>
      <c r="AA317" s="24">
        <v>45240.513888888891</v>
      </c>
      <c r="AB317" s="24">
        <v>45240.5625</v>
      </c>
      <c r="AC317" s="25">
        <f t="shared" si="293"/>
        <v>4.8611111109494232E-2</v>
      </c>
    </row>
    <row r="318" spans="1:29" x14ac:dyDescent="0.25">
      <c r="A318" s="12">
        <v>45240</v>
      </c>
      <c r="B318" s="80">
        <v>306</v>
      </c>
      <c r="C318" s="80">
        <v>8516527</v>
      </c>
      <c r="D318" s="90">
        <v>4909261539</v>
      </c>
      <c r="E318" s="80" t="s">
        <v>1510</v>
      </c>
      <c r="F318" s="20">
        <v>45207</v>
      </c>
      <c r="G318" s="93" t="s">
        <v>1513</v>
      </c>
      <c r="H318" s="13" t="s">
        <v>132</v>
      </c>
      <c r="I318" s="17">
        <v>5230874</v>
      </c>
      <c r="J318" s="17" t="s">
        <v>1316</v>
      </c>
      <c r="K318" s="95"/>
      <c r="L318" s="80">
        <v>0</v>
      </c>
      <c r="M318" s="80">
        <v>250</v>
      </c>
      <c r="N318" s="80">
        <v>80</v>
      </c>
      <c r="O318" s="80">
        <f t="shared" si="285"/>
        <v>20000</v>
      </c>
      <c r="P318" s="95" t="s">
        <v>477</v>
      </c>
      <c r="Q318" s="80" t="s">
        <v>247</v>
      </c>
      <c r="R318" s="13" t="s">
        <v>997</v>
      </c>
      <c r="S318" s="80" t="s">
        <v>1511</v>
      </c>
      <c r="T318" s="80">
        <v>24</v>
      </c>
      <c r="U318" s="20">
        <v>45239</v>
      </c>
      <c r="V318" s="20">
        <v>45240</v>
      </c>
      <c r="W318" s="95"/>
      <c r="X318" s="24">
        <v>45240.375</v>
      </c>
      <c r="Y318" s="24">
        <v>45240.722222222219</v>
      </c>
      <c r="Z318" s="25">
        <f t="shared" si="290"/>
        <v>0.34722222221898846</v>
      </c>
      <c r="AA318" s="24">
        <v>45240.673611111109</v>
      </c>
      <c r="AB318" s="24">
        <v>45240.722222222219</v>
      </c>
      <c r="AC318" s="25">
        <f t="shared" si="291"/>
        <v>4.8611111109494232E-2</v>
      </c>
    </row>
    <row r="319" spans="1:29" x14ac:dyDescent="0.25">
      <c r="A319" s="12">
        <v>45243</v>
      </c>
      <c r="B319" s="80">
        <v>307</v>
      </c>
      <c r="C319" s="80">
        <v>8588158</v>
      </c>
      <c r="D319" s="50"/>
      <c r="E319" s="80" t="s">
        <v>1515</v>
      </c>
      <c r="F319" s="46">
        <v>45209</v>
      </c>
      <c r="G319" s="50" t="s">
        <v>1516</v>
      </c>
      <c r="H319" s="100" t="s">
        <v>192</v>
      </c>
      <c r="I319" s="67" t="s">
        <v>30</v>
      </c>
      <c r="J319" s="67" t="s">
        <v>1519</v>
      </c>
      <c r="K319" s="50"/>
      <c r="L319" s="80">
        <v>0</v>
      </c>
      <c r="M319" s="80">
        <v>25</v>
      </c>
      <c r="N319" s="80">
        <v>240</v>
      </c>
      <c r="O319" s="80">
        <f t="shared" si="285"/>
        <v>6000</v>
      </c>
      <c r="P319" s="100" t="s">
        <v>477</v>
      </c>
      <c r="Q319" s="80" t="s">
        <v>247</v>
      </c>
      <c r="R319" s="100" t="s">
        <v>209</v>
      </c>
      <c r="S319" s="80" t="s">
        <v>704</v>
      </c>
      <c r="T319" s="80">
        <v>29</v>
      </c>
      <c r="U319" s="46">
        <v>45241</v>
      </c>
      <c r="V319" s="46">
        <v>45243</v>
      </c>
      <c r="W319" s="50"/>
      <c r="X319" s="24">
        <v>45243.375</v>
      </c>
      <c r="Y319" s="24">
        <v>45243.451388888891</v>
      </c>
      <c r="Z319" s="25">
        <f t="shared" si="290"/>
        <v>7.6388888890505768E-2</v>
      </c>
      <c r="AA319" s="24">
        <v>45243.402777777781</v>
      </c>
      <c r="AB319" s="24">
        <v>45243.430555555555</v>
      </c>
      <c r="AC319" s="25">
        <f t="shared" si="291"/>
        <v>2.7777777773735579E-2</v>
      </c>
    </row>
    <row r="320" spans="1:29" x14ac:dyDescent="0.25">
      <c r="A320" s="12">
        <v>45243</v>
      </c>
      <c r="B320" s="80">
        <v>307</v>
      </c>
      <c r="C320" s="80">
        <v>8588158</v>
      </c>
      <c r="D320" s="50"/>
      <c r="E320" s="80" t="s">
        <v>1515</v>
      </c>
      <c r="F320" s="46">
        <v>45209</v>
      </c>
      <c r="G320" s="50" t="s">
        <v>1517</v>
      </c>
      <c r="H320" s="100" t="s">
        <v>192</v>
      </c>
      <c r="I320" s="17">
        <v>5212252</v>
      </c>
      <c r="J320" s="17" t="s">
        <v>23</v>
      </c>
      <c r="K320" s="50"/>
      <c r="L320" s="80">
        <v>0</v>
      </c>
      <c r="M320" s="80">
        <v>25</v>
      </c>
      <c r="N320" s="80">
        <v>711</v>
      </c>
      <c r="O320" s="80">
        <f t="shared" si="285"/>
        <v>17775</v>
      </c>
      <c r="P320" s="100" t="s">
        <v>477</v>
      </c>
      <c r="Q320" s="80" t="s">
        <v>247</v>
      </c>
      <c r="R320" s="100" t="s">
        <v>209</v>
      </c>
      <c r="S320" s="80" t="s">
        <v>704</v>
      </c>
      <c r="T320" s="80">
        <v>29</v>
      </c>
      <c r="U320" s="46">
        <v>45241</v>
      </c>
      <c r="V320" s="46">
        <v>45243</v>
      </c>
      <c r="W320" s="50"/>
      <c r="X320" s="24">
        <v>45243.375</v>
      </c>
      <c r="Y320" s="24">
        <v>45243.451388888891</v>
      </c>
      <c r="Z320" s="25">
        <f t="shared" ref="Z320:Z322" si="294">Y320-X320</f>
        <v>7.6388888890505768E-2</v>
      </c>
      <c r="AA320" s="24">
        <v>45243.402777777781</v>
      </c>
      <c r="AB320" s="24">
        <v>45243.430555555555</v>
      </c>
      <c r="AC320" s="25">
        <f t="shared" ref="AC320:AC322" si="295">AB320-AA320</f>
        <v>2.7777777773735579E-2</v>
      </c>
    </row>
    <row r="321" spans="1:29" x14ac:dyDescent="0.25">
      <c r="A321" s="12">
        <v>45243</v>
      </c>
      <c r="B321" s="80">
        <v>307</v>
      </c>
      <c r="C321" s="80">
        <v>8588158</v>
      </c>
      <c r="D321" s="50"/>
      <c r="E321" s="80" t="s">
        <v>1515</v>
      </c>
      <c r="F321" s="46">
        <v>45209</v>
      </c>
      <c r="G321" s="50" t="s">
        <v>1518</v>
      </c>
      <c r="H321" s="100" t="s">
        <v>192</v>
      </c>
      <c r="I321" s="17">
        <v>5212252</v>
      </c>
      <c r="J321" s="17" t="s">
        <v>23</v>
      </c>
      <c r="K321" s="50"/>
      <c r="L321" s="80">
        <v>0</v>
      </c>
      <c r="M321" s="80">
        <v>25</v>
      </c>
      <c r="N321" s="80">
        <v>89</v>
      </c>
      <c r="O321" s="80">
        <f t="shared" si="285"/>
        <v>2225</v>
      </c>
      <c r="P321" s="100" t="s">
        <v>477</v>
      </c>
      <c r="Q321" s="80" t="s">
        <v>247</v>
      </c>
      <c r="R321" s="100" t="s">
        <v>209</v>
      </c>
      <c r="S321" s="80" t="s">
        <v>704</v>
      </c>
      <c r="T321" s="80">
        <v>29</v>
      </c>
      <c r="U321" s="46">
        <v>45241</v>
      </c>
      <c r="V321" s="46">
        <v>45243</v>
      </c>
      <c r="W321" s="50"/>
      <c r="X321" s="24">
        <v>45243.375</v>
      </c>
      <c r="Y321" s="24">
        <v>45243.451388888891</v>
      </c>
      <c r="Z321" s="25">
        <f t="shared" si="294"/>
        <v>7.6388888890505768E-2</v>
      </c>
      <c r="AA321" s="24">
        <v>45243.402777777781</v>
      </c>
      <c r="AB321" s="24">
        <v>45243.430555555555</v>
      </c>
      <c r="AC321" s="25">
        <f t="shared" si="295"/>
        <v>2.7777777773735579E-2</v>
      </c>
    </row>
    <row r="322" spans="1:29" x14ac:dyDescent="0.25">
      <c r="A322" s="12">
        <v>45243</v>
      </c>
      <c r="B322" s="80">
        <v>308</v>
      </c>
      <c r="C322" s="80">
        <v>8590364</v>
      </c>
      <c r="D322" s="50"/>
      <c r="E322" s="80" t="s">
        <v>1520</v>
      </c>
      <c r="F322" s="46">
        <v>45208</v>
      </c>
      <c r="G322" s="90" t="s">
        <v>1521</v>
      </c>
      <c r="H322" s="100" t="s">
        <v>192</v>
      </c>
      <c r="I322" s="17">
        <v>5212252</v>
      </c>
      <c r="J322" s="17" t="s">
        <v>23</v>
      </c>
      <c r="K322" s="50"/>
      <c r="L322" s="80">
        <v>0</v>
      </c>
      <c r="M322" s="80">
        <v>25</v>
      </c>
      <c r="N322" s="80">
        <v>733</v>
      </c>
      <c r="O322" s="80">
        <f t="shared" si="285"/>
        <v>18325</v>
      </c>
      <c r="P322" s="100" t="s">
        <v>477</v>
      </c>
      <c r="Q322" s="80" t="s">
        <v>247</v>
      </c>
      <c r="R322" s="100" t="s">
        <v>209</v>
      </c>
      <c r="S322" s="80" t="s">
        <v>1522</v>
      </c>
      <c r="T322" s="80">
        <v>27</v>
      </c>
      <c r="U322" s="46">
        <v>45241</v>
      </c>
      <c r="V322" s="46">
        <v>45243</v>
      </c>
      <c r="W322" s="50"/>
      <c r="X322" s="24">
        <v>45243.416666666664</v>
      </c>
      <c r="Y322" s="24">
        <v>45243.461805555555</v>
      </c>
      <c r="Z322" s="25">
        <f t="shared" si="294"/>
        <v>4.5138888890505768E-2</v>
      </c>
      <c r="AA322" s="24">
        <v>45243.427083333336</v>
      </c>
      <c r="AB322" s="24">
        <v>45243.458333333336</v>
      </c>
      <c r="AC322" s="25">
        <f t="shared" si="295"/>
        <v>3.125E-2</v>
      </c>
    </row>
    <row r="323" spans="1:29" x14ac:dyDescent="0.25">
      <c r="A323" s="12">
        <v>45243</v>
      </c>
      <c r="B323" s="80">
        <v>308</v>
      </c>
      <c r="C323" s="80">
        <v>8590364</v>
      </c>
      <c r="D323" s="50"/>
      <c r="E323" s="80" t="s">
        <v>1520</v>
      </c>
      <c r="F323" s="46">
        <v>45208</v>
      </c>
      <c r="G323" s="90" t="s">
        <v>1491</v>
      </c>
      <c r="H323" s="100" t="s">
        <v>192</v>
      </c>
      <c r="I323" s="17">
        <v>5212252</v>
      </c>
      <c r="J323" s="17" t="s">
        <v>23</v>
      </c>
      <c r="K323" s="50"/>
      <c r="L323" s="80">
        <v>0</v>
      </c>
      <c r="M323" s="80">
        <v>25</v>
      </c>
      <c r="N323" s="80">
        <v>268</v>
      </c>
      <c r="O323" s="80">
        <f t="shared" si="285"/>
        <v>6700</v>
      </c>
      <c r="P323" s="100" t="s">
        <v>477</v>
      </c>
      <c r="Q323" s="80" t="s">
        <v>247</v>
      </c>
      <c r="R323" s="100" t="s">
        <v>209</v>
      </c>
      <c r="S323" s="80" t="s">
        <v>1522</v>
      </c>
      <c r="T323" s="80">
        <v>27</v>
      </c>
      <c r="U323" s="46">
        <v>45241</v>
      </c>
      <c r="V323" s="46">
        <v>45243</v>
      </c>
      <c r="W323" s="50"/>
      <c r="X323" s="24">
        <v>45243.416666666664</v>
      </c>
      <c r="Y323" s="24">
        <v>45243.461805555555</v>
      </c>
      <c r="Z323" s="25">
        <f t="shared" ref="Z323:Z327" si="296">Y323-X323</f>
        <v>4.5138888890505768E-2</v>
      </c>
      <c r="AA323" s="24">
        <v>45243.427083333336</v>
      </c>
      <c r="AB323" s="24">
        <v>45243.458333333336</v>
      </c>
      <c r="AC323" s="25">
        <f t="shared" ref="AC323:AC327" si="297">AB323-AA323</f>
        <v>3.125E-2</v>
      </c>
    </row>
    <row r="324" spans="1:29" x14ac:dyDescent="0.25">
      <c r="A324" s="12">
        <v>45243</v>
      </c>
      <c r="B324" s="80">
        <v>308</v>
      </c>
      <c r="C324" s="80">
        <v>8590364</v>
      </c>
      <c r="D324" s="50"/>
      <c r="E324" s="80" t="s">
        <v>1520</v>
      </c>
      <c r="F324" s="46">
        <v>45208</v>
      </c>
      <c r="G324" s="90" t="s">
        <v>844</v>
      </c>
      <c r="H324" s="100" t="s">
        <v>192</v>
      </c>
      <c r="I324" s="17">
        <v>5212252</v>
      </c>
      <c r="J324" s="17" t="s">
        <v>23</v>
      </c>
      <c r="K324" s="50"/>
      <c r="L324" s="80">
        <v>0</v>
      </c>
      <c r="M324" s="80">
        <v>25</v>
      </c>
      <c r="N324" s="80">
        <v>39</v>
      </c>
      <c r="O324" s="80">
        <f t="shared" si="285"/>
        <v>975</v>
      </c>
      <c r="P324" s="100" t="s">
        <v>477</v>
      </c>
      <c r="Q324" s="80" t="s">
        <v>247</v>
      </c>
      <c r="R324" s="100" t="s">
        <v>209</v>
      </c>
      <c r="S324" s="80" t="s">
        <v>1522</v>
      </c>
      <c r="T324" s="80">
        <v>27</v>
      </c>
      <c r="U324" s="46">
        <v>45241</v>
      </c>
      <c r="V324" s="46">
        <v>45243</v>
      </c>
      <c r="W324" s="50"/>
      <c r="X324" s="24">
        <v>45243.416666666664</v>
      </c>
      <c r="Y324" s="24">
        <v>45243.461805555555</v>
      </c>
      <c r="Z324" s="25">
        <f t="shared" si="296"/>
        <v>4.5138888890505768E-2</v>
      </c>
      <c r="AA324" s="24">
        <v>45243.427083333336</v>
      </c>
      <c r="AB324" s="24">
        <v>45243.458333333336</v>
      </c>
      <c r="AC324" s="25">
        <f t="shared" si="297"/>
        <v>3.125E-2</v>
      </c>
    </row>
    <row r="325" spans="1:29" x14ac:dyDescent="0.25">
      <c r="A325" s="12">
        <v>45243</v>
      </c>
      <c r="B325" s="80">
        <v>309</v>
      </c>
      <c r="C325" s="80">
        <v>8590364</v>
      </c>
      <c r="D325" s="50"/>
      <c r="E325" s="80" t="s">
        <v>1520</v>
      </c>
      <c r="F325" s="46">
        <v>45208</v>
      </c>
      <c r="G325" s="90" t="s">
        <v>1491</v>
      </c>
      <c r="H325" s="100" t="s">
        <v>192</v>
      </c>
      <c r="I325" s="17">
        <v>5212252</v>
      </c>
      <c r="J325" s="17" t="s">
        <v>23</v>
      </c>
      <c r="K325" s="50"/>
      <c r="L325" s="80">
        <v>0</v>
      </c>
      <c r="M325" s="80">
        <v>25</v>
      </c>
      <c r="N325" s="80">
        <v>1040</v>
      </c>
      <c r="O325" s="80">
        <f t="shared" si="285"/>
        <v>26000</v>
      </c>
      <c r="P325" s="100" t="s">
        <v>477</v>
      </c>
      <c r="Q325" s="80" t="s">
        <v>247</v>
      </c>
      <c r="R325" s="100" t="s">
        <v>209</v>
      </c>
      <c r="S325" s="80" t="s">
        <v>1523</v>
      </c>
      <c r="T325" s="80">
        <v>28</v>
      </c>
      <c r="U325" s="46">
        <v>45241</v>
      </c>
      <c r="V325" s="46">
        <v>45243</v>
      </c>
      <c r="W325" s="50"/>
      <c r="X325" s="24">
        <v>45243.416666666664</v>
      </c>
      <c r="Y325" s="24">
        <v>45243.506944444445</v>
      </c>
      <c r="Z325" s="25">
        <f t="shared" si="296"/>
        <v>9.0277777781011537E-2</v>
      </c>
      <c r="AA325" s="24">
        <v>45243.409722222219</v>
      </c>
      <c r="AB325" s="24">
        <v>45243.5</v>
      </c>
      <c r="AC325" s="25">
        <f t="shared" si="297"/>
        <v>9.0277777781011537E-2</v>
      </c>
    </row>
    <row r="326" spans="1:29" x14ac:dyDescent="0.25">
      <c r="A326" s="12">
        <v>45243</v>
      </c>
      <c r="B326" s="80">
        <v>310</v>
      </c>
      <c r="C326" s="80">
        <v>8572068</v>
      </c>
      <c r="D326" s="80">
        <v>4909375649</v>
      </c>
      <c r="E326" s="80" t="s">
        <v>1531</v>
      </c>
      <c r="F326" s="20">
        <v>45208</v>
      </c>
      <c r="G326" s="80" t="s">
        <v>1534</v>
      </c>
      <c r="H326" s="80" t="s">
        <v>192</v>
      </c>
      <c r="I326" s="17">
        <v>5212252</v>
      </c>
      <c r="J326" s="17" t="s">
        <v>23</v>
      </c>
      <c r="K326" s="101"/>
      <c r="L326" s="80">
        <v>0</v>
      </c>
      <c r="M326" s="80">
        <v>25</v>
      </c>
      <c r="N326" s="80">
        <v>1040</v>
      </c>
      <c r="O326" s="80">
        <f t="shared" si="285"/>
        <v>26000</v>
      </c>
      <c r="P326" s="101" t="s">
        <v>477</v>
      </c>
      <c r="Q326" s="80" t="s">
        <v>247</v>
      </c>
      <c r="R326" s="101" t="s">
        <v>209</v>
      </c>
      <c r="S326" s="80" t="s">
        <v>316</v>
      </c>
      <c r="T326" s="80">
        <v>999</v>
      </c>
      <c r="U326" s="20">
        <v>45246</v>
      </c>
      <c r="V326" s="20">
        <v>45247</v>
      </c>
      <c r="W326" s="101"/>
      <c r="X326" s="24">
        <v>45247.395833333336</v>
      </c>
      <c r="Y326" s="24">
        <v>45247.430555555555</v>
      </c>
      <c r="Z326" s="25">
        <f t="shared" si="296"/>
        <v>3.4722222218988463E-2</v>
      </c>
      <c r="AA326" s="24">
        <v>45247.402777777781</v>
      </c>
      <c r="AB326" s="24">
        <v>45247.430555555555</v>
      </c>
      <c r="AC326" s="25">
        <f t="shared" si="297"/>
        <v>2.7777777773735579E-2</v>
      </c>
    </row>
    <row r="327" spans="1:29" x14ac:dyDescent="0.25">
      <c r="A327" s="12">
        <v>45243</v>
      </c>
      <c r="B327" s="80">
        <v>311</v>
      </c>
      <c r="C327" s="80">
        <v>8477407</v>
      </c>
      <c r="D327" s="80">
        <v>4909375649</v>
      </c>
      <c r="E327" s="80" t="s">
        <v>1532</v>
      </c>
      <c r="F327" s="20">
        <v>45212</v>
      </c>
      <c r="G327" s="80" t="s">
        <v>1517</v>
      </c>
      <c r="H327" s="80" t="s">
        <v>192</v>
      </c>
      <c r="I327" s="17">
        <v>5212252</v>
      </c>
      <c r="J327" s="17" t="s">
        <v>23</v>
      </c>
      <c r="K327" s="101"/>
      <c r="L327" s="80">
        <v>0</v>
      </c>
      <c r="M327" s="80">
        <v>25</v>
      </c>
      <c r="N327" s="80">
        <v>554</v>
      </c>
      <c r="O327" s="80">
        <f t="shared" si="285"/>
        <v>13850</v>
      </c>
      <c r="P327" s="101" t="s">
        <v>477</v>
      </c>
      <c r="Q327" s="80" t="s">
        <v>159</v>
      </c>
      <c r="R327" s="101" t="s">
        <v>209</v>
      </c>
      <c r="S327" s="80" t="s">
        <v>1535</v>
      </c>
      <c r="T327" s="80">
        <v>2765</v>
      </c>
      <c r="U327" s="20">
        <v>45246</v>
      </c>
      <c r="V327" s="20">
        <v>45247</v>
      </c>
      <c r="W327" s="101"/>
      <c r="X327" s="24">
        <v>45247.395833333336</v>
      </c>
      <c r="Y327" s="24">
        <v>45247.458333333336</v>
      </c>
      <c r="Z327" s="25">
        <f t="shared" si="296"/>
        <v>6.25E-2</v>
      </c>
      <c r="AA327" s="24">
        <v>45247.427083333336</v>
      </c>
      <c r="AB327" s="24">
        <v>45247.458333333336</v>
      </c>
      <c r="AC327" s="25">
        <f t="shared" si="297"/>
        <v>3.125E-2</v>
      </c>
    </row>
    <row r="328" spans="1:29" x14ac:dyDescent="0.25">
      <c r="A328" s="12">
        <v>45243</v>
      </c>
      <c r="B328" s="80">
        <v>311</v>
      </c>
      <c r="C328" s="80">
        <v>8477407</v>
      </c>
      <c r="D328" s="80">
        <v>4909375649</v>
      </c>
      <c r="E328" s="80" t="s">
        <v>1532</v>
      </c>
      <c r="F328" s="20">
        <v>45212</v>
      </c>
      <c r="G328" s="80" t="s">
        <v>1533</v>
      </c>
      <c r="H328" s="80" t="s">
        <v>192</v>
      </c>
      <c r="I328" s="17">
        <v>5212252</v>
      </c>
      <c r="J328" s="17" t="s">
        <v>23</v>
      </c>
      <c r="K328" s="101"/>
      <c r="L328" s="80">
        <v>0</v>
      </c>
      <c r="M328" s="80">
        <v>25</v>
      </c>
      <c r="N328" s="80">
        <v>404</v>
      </c>
      <c r="O328" s="80">
        <f t="shared" si="285"/>
        <v>10100</v>
      </c>
      <c r="P328" s="101" t="s">
        <v>477</v>
      </c>
      <c r="Q328" s="80" t="s">
        <v>159</v>
      </c>
      <c r="R328" s="101" t="s">
        <v>209</v>
      </c>
      <c r="S328" s="80" t="s">
        <v>1535</v>
      </c>
      <c r="T328" s="80">
        <v>2765</v>
      </c>
      <c r="U328" s="20">
        <v>45246</v>
      </c>
      <c r="V328" s="20">
        <v>45247</v>
      </c>
      <c r="W328" s="101"/>
      <c r="X328" s="24">
        <v>45247.395833333336</v>
      </c>
      <c r="Y328" s="24">
        <v>45247.458333333336</v>
      </c>
      <c r="Z328" s="25">
        <f t="shared" ref="Z328:Z334" si="298">Y328-X328</f>
        <v>6.25E-2</v>
      </c>
      <c r="AA328" s="24">
        <v>45247.427083333336</v>
      </c>
      <c r="AB328" s="24">
        <v>45247.458333333336</v>
      </c>
      <c r="AC328" s="25">
        <f t="shared" ref="AC328:AC334" si="299">AB328-AA328</f>
        <v>3.125E-2</v>
      </c>
    </row>
    <row r="329" spans="1:29" x14ac:dyDescent="0.25">
      <c r="A329" s="12">
        <v>45243</v>
      </c>
      <c r="B329" s="80">
        <v>311</v>
      </c>
      <c r="C329" s="80">
        <v>8477407</v>
      </c>
      <c r="D329" s="80">
        <v>4909375649</v>
      </c>
      <c r="E329" s="80" t="s">
        <v>1532</v>
      </c>
      <c r="F329" s="20">
        <v>45212</v>
      </c>
      <c r="G329" s="80" t="s">
        <v>1534</v>
      </c>
      <c r="H329" s="80" t="s">
        <v>192</v>
      </c>
      <c r="I329" s="17">
        <v>5212252</v>
      </c>
      <c r="J329" s="17" t="s">
        <v>23</v>
      </c>
      <c r="K329" s="101"/>
      <c r="L329" s="80">
        <v>0</v>
      </c>
      <c r="M329" s="80">
        <v>25</v>
      </c>
      <c r="N329" s="80">
        <v>82</v>
      </c>
      <c r="O329" s="80">
        <f t="shared" si="285"/>
        <v>2050</v>
      </c>
      <c r="P329" s="101" t="s">
        <v>477</v>
      </c>
      <c r="Q329" s="80" t="s">
        <v>159</v>
      </c>
      <c r="R329" s="101" t="s">
        <v>209</v>
      </c>
      <c r="S329" s="80" t="s">
        <v>1535</v>
      </c>
      <c r="T329" s="80">
        <v>2765</v>
      </c>
      <c r="U329" s="20">
        <v>45246</v>
      </c>
      <c r="V329" s="20">
        <v>45247</v>
      </c>
      <c r="W329" s="101"/>
      <c r="X329" s="24">
        <v>45247.395833333336</v>
      </c>
      <c r="Y329" s="24">
        <v>45247.458333333336</v>
      </c>
      <c r="Z329" s="25">
        <f t="shared" si="298"/>
        <v>6.25E-2</v>
      </c>
      <c r="AA329" s="24">
        <v>45247.427083333336</v>
      </c>
      <c r="AB329" s="24">
        <v>45247.458333333336</v>
      </c>
      <c r="AC329" s="25">
        <f t="shared" si="299"/>
        <v>3.125E-2</v>
      </c>
    </row>
    <row r="330" spans="1:29" x14ac:dyDescent="0.25">
      <c r="A330" s="12">
        <v>45243</v>
      </c>
      <c r="B330" s="80">
        <v>312</v>
      </c>
      <c r="C330" s="80">
        <v>8648192</v>
      </c>
      <c r="D330" s="101"/>
      <c r="E330" s="101">
        <v>91524839</v>
      </c>
      <c r="F330" s="20">
        <v>45195</v>
      </c>
      <c r="G330" s="80" t="s">
        <v>1536</v>
      </c>
      <c r="H330" s="80" t="s">
        <v>132</v>
      </c>
      <c r="I330" s="17">
        <v>5309040</v>
      </c>
      <c r="J330" s="17" t="s">
        <v>105</v>
      </c>
      <c r="K330" s="101"/>
      <c r="L330" s="80">
        <v>0</v>
      </c>
      <c r="M330" s="80">
        <v>250</v>
      </c>
      <c r="N330" s="80">
        <v>80</v>
      </c>
      <c r="O330" s="80">
        <f t="shared" si="285"/>
        <v>20000</v>
      </c>
      <c r="P330" s="101" t="s">
        <v>477</v>
      </c>
      <c r="Q330" s="80" t="s">
        <v>247</v>
      </c>
      <c r="R330" s="13" t="s">
        <v>997</v>
      </c>
      <c r="S330" s="80" t="s">
        <v>431</v>
      </c>
      <c r="T330" s="80">
        <v>999</v>
      </c>
      <c r="U330" s="20">
        <v>45246</v>
      </c>
      <c r="V330" s="20">
        <v>45247</v>
      </c>
      <c r="W330" s="101"/>
      <c r="X330" s="24">
        <v>45247.395833333336</v>
      </c>
      <c r="Y330" s="24">
        <v>45247.486111111109</v>
      </c>
      <c r="Z330" s="25">
        <f t="shared" si="298"/>
        <v>9.0277777773735579E-2</v>
      </c>
      <c r="AA330" s="24">
        <v>45247.461805555555</v>
      </c>
      <c r="AB330" s="24">
        <v>45247.486111111109</v>
      </c>
      <c r="AC330" s="25">
        <f t="shared" si="299"/>
        <v>2.4305555554747116E-2</v>
      </c>
    </row>
    <row r="331" spans="1:29" x14ac:dyDescent="0.25">
      <c r="A331" s="12">
        <v>45243</v>
      </c>
      <c r="B331" s="80">
        <v>313</v>
      </c>
      <c r="C331" s="80">
        <v>8656376</v>
      </c>
      <c r="D331" s="80">
        <v>4909375953</v>
      </c>
      <c r="E331" s="80" t="s">
        <v>1537</v>
      </c>
      <c r="F331" s="20">
        <v>45215</v>
      </c>
      <c r="G331" s="93" t="s">
        <v>1538</v>
      </c>
      <c r="H331" s="80" t="s">
        <v>132</v>
      </c>
      <c r="I331" s="17">
        <v>5230874</v>
      </c>
      <c r="J331" s="17" t="s">
        <v>1316</v>
      </c>
      <c r="K331" s="101"/>
      <c r="L331" s="80">
        <v>0</v>
      </c>
      <c r="M331" s="80">
        <v>250</v>
      </c>
      <c r="N331" s="80">
        <v>80</v>
      </c>
      <c r="O331" s="80">
        <f t="shared" si="285"/>
        <v>20000</v>
      </c>
      <c r="P331" s="101" t="s">
        <v>477</v>
      </c>
      <c r="Q331" s="80" t="s">
        <v>771</v>
      </c>
      <c r="R331" s="13" t="s">
        <v>997</v>
      </c>
      <c r="S331" s="80" t="s">
        <v>1098</v>
      </c>
      <c r="T331" s="80">
        <v>691</v>
      </c>
      <c r="U331" s="20">
        <v>45246</v>
      </c>
      <c r="V331" s="20">
        <v>45247</v>
      </c>
      <c r="W331" s="101"/>
      <c r="X331" s="24">
        <v>45247.395833333336</v>
      </c>
      <c r="Y331" s="24">
        <v>45247.715277777781</v>
      </c>
      <c r="Z331" s="25">
        <f t="shared" si="298"/>
        <v>0.31944444444525288</v>
      </c>
      <c r="AA331" s="24">
        <v>45247.659722222219</v>
      </c>
      <c r="AB331" s="24">
        <v>45247.715277777781</v>
      </c>
      <c r="AC331" s="25">
        <f t="shared" si="299"/>
        <v>5.5555555562023073E-2</v>
      </c>
    </row>
    <row r="332" spans="1:29" x14ac:dyDescent="0.25">
      <c r="A332" s="12">
        <v>45243</v>
      </c>
      <c r="B332" s="80">
        <v>314</v>
      </c>
      <c r="C332" s="80">
        <v>8477407</v>
      </c>
      <c r="D332" s="80">
        <v>4909375955</v>
      </c>
      <c r="E332" s="80" t="s">
        <v>1532</v>
      </c>
      <c r="F332" s="20">
        <v>45212</v>
      </c>
      <c r="G332" s="80" t="s">
        <v>1533</v>
      </c>
      <c r="H332" s="80" t="s">
        <v>192</v>
      </c>
      <c r="I332" s="17">
        <v>5212252</v>
      </c>
      <c r="J332" s="17" t="s">
        <v>23</v>
      </c>
      <c r="K332" s="101"/>
      <c r="L332" s="80">
        <v>0</v>
      </c>
      <c r="M332" s="80">
        <v>25</v>
      </c>
      <c r="N332" s="80">
        <v>1040</v>
      </c>
      <c r="O332" s="80">
        <f t="shared" si="285"/>
        <v>26000</v>
      </c>
      <c r="P332" s="101" t="s">
        <v>477</v>
      </c>
      <c r="Q332" s="80" t="s">
        <v>159</v>
      </c>
      <c r="R332" s="101" t="s">
        <v>209</v>
      </c>
      <c r="S332" s="80" t="s">
        <v>1539</v>
      </c>
      <c r="T332" s="80">
        <v>2766</v>
      </c>
      <c r="U332" s="20">
        <v>45246</v>
      </c>
      <c r="V332" s="20">
        <v>45247</v>
      </c>
      <c r="W332" s="101"/>
      <c r="X332" s="24">
        <v>45247.395833333336</v>
      </c>
      <c r="Y332" s="24">
        <v>45247.833333333336</v>
      </c>
      <c r="Z332" s="25">
        <f t="shared" si="298"/>
        <v>0.4375</v>
      </c>
      <c r="AA332" s="24">
        <v>45247.798611111109</v>
      </c>
      <c r="AB332" s="24">
        <v>45247.833333333336</v>
      </c>
      <c r="AC332" s="25">
        <f t="shared" si="299"/>
        <v>3.4722222226264421E-2</v>
      </c>
    </row>
    <row r="333" spans="1:29" x14ac:dyDescent="0.25">
      <c r="A333" s="12">
        <v>45243</v>
      </c>
      <c r="B333" s="80">
        <v>315</v>
      </c>
      <c r="C333" s="80">
        <v>8648192</v>
      </c>
      <c r="D333" s="80"/>
      <c r="E333" s="101">
        <v>91524839</v>
      </c>
      <c r="F333" s="20">
        <v>45195</v>
      </c>
      <c r="G333" s="80" t="s">
        <v>1536</v>
      </c>
      <c r="H333" s="80" t="s">
        <v>132</v>
      </c>
      <c r="I333" s="17">
        <v>5309040</v>
      </c>
      <c r="J333" s="17" t="s">
        <v>105</v>
      </c>
      <c r="K333" s="101"/>
      <c r="L333" s="80">
        <v>0</v>
      </c>
      <c r="M333" s="80">
        <v>250</v>
      </c>
      <c r="N333" s="80">
        <v>80</v>
      </c>
      <c r="O333" s="80">
        <f t="shared" si="285"/>
        <v>20000</v>
      </c>
      <c r="P333" s="101" t="s">
        <v>477</v>
      </c>
      <c r="Q333" s="80" t="s">
        <v>247</v>
      </c>
      <c r="R333" s="13" t="s">
        <v>997</v>
      </c>
      <c r="S333" s="80" t="s">
        <v>813</v>
      </c>
      <c r="T333" s="80">
        <v>999</v>
      </c>
      <c r="U333" s="20">
        <v>45246</v>
      </c>
      <c r="V333" s="20">
        <v>45247</v>
      </c>
      <c r="W333" s="101"/>
      <c r="X333" s="24">
        <v>45247.395833333336</v>
      </c>
      <c r="Y333" s="24">
        <v>45247.854166666664</v>
      </c>
      <c r="Z333" s="25">
        <f t="shared" si="298"/>
        <v>0.45833333332848269</v>
      </c>
      <c r="AA333" s="24">
        <v>45247.840277777781</v>
      </c>
      <c r="AB333" s="24">
        <v>45247.854166666664</v>
      </c>
      <c r="AC333" s="25">
        <f t="shared" si="299"/>
        <v>1.3888888883229811E-2</v>
      </c>
    </row>
    <row r="334" spans="1:29" x14ac:dyDescent="0.25">
      <c r="A334" s="12">
        <v>45243</v>
      </c>
      <c r="B334" s="80">
        <v>316</v>
      </c>
      <c r="C334" s="80">
        <v>8572068</v>
      </c>
      <c r="D334" s="80">
        <v>4909376071</v>
      </c>
      <c r="E334" s="80" t="s">
        <v>1531</v>
      </c>
      <c r="F334" s="20">
        <v>45208</v>
      </c>
      <c r="G334" s="80" t="s">
        <v>1534</v>
      </c>
      <c r="H334" s="80" t="s">
        <v>192</v>
      </c>
      <c r="I334" s="17">
        <v>5212252</v>
      </c>
      <c r="J334" s="17" t="s">
        <v>23</v>
      </c>
      <c r="K334" s="101"/>
      <c r="L334" s="80">
        <v>0</v>
      </c>
      <c r="M334" s="80">
        <v>25</v>
      </c>
      <c r="N334" s="80">
        <v>330</v>
      </c>
      <c r="O334" s="80">
        <f t="shared" si="285"/>
        <v>8250</v>
      </c>
      <c r="P334" s="101" t="s">
        <v>477</v>
      </c>
      <c r="Q334" s="80" t="s">
        <v>247</v>
      </c>
      <c r="R334" s="101" t="s">
        <v>209</v>
      </c>
      <c r="S334" s="80" t="s">
        <v>1540</v>
      </c>
      <c r="T334" s="80">
        <v>999</v>
      </c>
      <c r="U334" s="20">
        <v>45246</v>
      </c>
      <c r="V334" s="20">
        <v>45247</v>
      </c>
      <c r="W334" s="101"/>
      <c r="X334" s="24">
        <v>45247.395833333336</v>
      </c>
      <c r="Y334" s="24">
        <v>45247.868055555555</v>
      </c>
      <c r="Z334" s="25">
        <f t="shared" si="298"/>
        <v>0.47222222221898846</v>
      </c>
      <c r="AA334" s="24">
        <v>45247.854166666664</v>
      </c>
      <c r="AB334" s="24">
        <v>45247.868055555555</v>
      </c>
      <c r="AC334" s="25">
        <f t="shared" si="299"/>
        <v>1.3888888890505768E-2</v>
      </c>
    </row>
    <row r="335" spans="1:29" x14ac:dyDescent="0.25">
      <c r="A335" s="12">
        <v>45243</v>
      </c>
      <c r="B335" s="80">
        <v>316</v>
      </c>
      <c r="C335" s="80">
        <v>8572068</v>
      </c>
      <c r="D335" s="101"/>
      <c r="E335" s="80" t="s">
        <v>1531</v>
      </c>
      <c r="F335" s="20">
        <v>45208</v>
      </c>
      <c r="G335" s="80" t="s">
        <v>1521</v>
      </c>
      <c r="H335" s="80" t="s">
        <v>192</v>
      </c>
      <c r="I335" s="17">
        <v>5212252</v>
      </c>
      <c r="J335" s="17" t="s">
        <v>23</v>
      </c>
      <c r="K335" s="101"/>
      <c r="L335" s="80">
        <v>0</v>
      </c>
      <c r="M335" s="80">
        <v>25</v>
      </c>
      <c r="N335" s="80">
        <v>710</v>
      </c>
      <c r="O335" s="80">
        <f t="shared" ref="O335:O354" si="300">M335*N335</f>
        <v>17750</v>
      </c>
      <c r="P335" s="101" t="s">
        <v>477</v>
      </c>
      <c r="Q335" s="80" t="s">
        <v>247</v>
      </c>
      <c r="R335" s="101" t="s">
        <v>209</v>
      </c>
      <c r="S335" s="80" t="s">
        <v>1540</v>
      </c>
      <c r="T335" s="80">
        <v>999</v>
      </c>
      <c r="U335" s="20">
        <v>45246</v>
      </c>
      <c r="V335" s="20">
        <v>45247</v>
      </c>
      <c r="W335" s="101"/>
      <c r="X335" s="24">
        <v>45247.395833333336</v>
      </c>
      <c r="Y335" s="24">
        <v>45247.868055555555</v>
      </c>
      <c r="Z335" s="25">
        <f t="shared" ref="Z335:Z339" si="301">Y335-X335</f>
        <v>0.47222222221898846</v>
      </c>
      <c r="AA335" s="24">
        <v>45247.854166666664</v>
      </c>
      <c r="AB335" s="24">
        <v>45247.868055555555</v>
      </c>
      <c r="AC335" s="25">
        <f t="shared" ref="AC335:AC339" si="302">AB335-AA335</f>
        <v>1.3888888890505768E-2</v>
      </c>
    </row>
    <row r="336" spans="1:29" x14ac:dyDescent="0.25">
      <c r="A336" s="12">
        <v>45243</v>
      </c>
      <c r="B336" s="80">
        <v>317</v>
      </c>
      <c r="C336" s="80">
        <v>8648192</v>
      </c>
      <c r="D336" s="101"/>
      <c r="E336" s="101">
        <v>91524839</v>
      </c>
      <c r="F336" s="20">
        <v>45195</v>
      </c>
      <c r="G336" s="80" t="s">
        <v>1536</v>
      </c>
      <c r="H336" s="80" t="s">
        <v>132</v>
      </c>
      <c r="I336" s="17">
        <v>5309040</v>
      </c>
      <c r="J336" s="17" t="s">
        <v>105</v>
      </c>
      <c r="K336" s="101"/>
      <c r="L336" s="80">
        <v>0</v>
      </c>
      <c r="M336" s="80">
        <v>250</v>
      </c>
      <c r="N336" s="80">
        <v>80</v>
      </c>
      <c r="O336" s="80">
        <f t="shared" si="300"/>
        <v>20000</v>
      </c>
      <c r="P336" s="101" t="s">
        <v>477</v>
      </c>
      <c r="Q336" s="80" t="s">
        <v>247</v>
      </c>
      <c r="R336" s="13" t="s">
        <v>997</v>
      </c>
      <c r="S336" s="80" t="s">
        <v>275</v>
      </c>
      <c r="T336" s="80">
        <v>999</v>
      </c>
      <c r="U336" s="20">
        <v>45246</v>
      </c>
      <c r="V336" s="20">
        <v>45247</v>
      </c>
      <c r="W336" s="101"/>
      <c r="X336" s="24">
        <v>45247.395833333336</v>
      </c>
      <c r="Y336" s="24">
        <v>45247.888888888891</v>
      </c>
      <c r="Z336" s="25">
        <f t="shared" si="301"/>
        <v>0.49305555555474712</v>
      </c>
      <c r="AA336" s="24">
        <v>45247.868055555555</v>
      </c>
      <c r="AB336" s="24">
        <v>45247.888888888891</v>
      </c>
      <c r="AC336" s="25">
        <f t="shared" si="302"/>
        <v>2.0833333335758653E-2</v>
      </c>
    </row>
    <row r="337" spans="1:29" x14ac:dyDescent="0.25">
      <c r="A337" s="12">
        <v>45248</v>
      </c>
      <c r="B337" s="80">
        <v>318</v>
      </c>
      <c r="C337" s="80">
        <v>8604214</v>
      </c>
      <c r="D337" s="50"/>
      <c r="E337" s="80" t="s">
        <v>1543</v>
      </c>
      <c r="F337" s="46">
        <v>45224</v>
      </c>
      <c r="G337" s="96" t="s">
        <v>1556</v>
      </c>
      <c r="H337" s="80" t="s">
        <v>132</v>
      </c>
      <c r="I337" s="17">
        <v>5230831</v>
      </c>
      <c r="J337" s="17" t="s">
        <v>35</v>
      </c>
      <c r="K337" s="50"/>
      <c r="L337" s="80">
        <v>0</v>
      </c>
      <c r="M337" s="80">
        <v>240</v>
      </c>
      <c r="N337" s="80">
        <v>80</v>
      </c>
      <c r="O337" s="80">
        <f t="shared" si="300"/>
        <v>19200</v>
      </c>
      <c r="P337" s="102" t="s">
        <v>477</v>
      </c>
      <c r="Q337" s="80" t="s">
        <v>159</v>
      </c>
      <c r="R337" s="13" t="s">
        <v>997</v>
      </c>
      <c r="S337" s="80" t="s">
        <v>1040</v>
      </c>
      <c r="T337" s="80">
        <v>2788</v>
      </c>
      <c r="U337" s="46">
        <v>45247</v>
      </c>
      <c r="V337" s="20">
        <v>45248</v>
      </c>
      <c r="W337" s="50"/>
      <c r="X337" s="24">
        <v>45248.393055555556</v>
      </c>
      <c r="Y337" s="24">
        <v>45248.490277777775</v>
      </c>
      <c r="Z337" s="25">
        <f t="shared" si="301"/>
        <v>9.7222222218988463E-2</v>
      </c>
      <c r="AA337" s="24">
        <v>45248.416666666664</v>
      </c>
      <c r="AB337" s="24">
        <v>45248.489583333336</v>
      </c>
      <c r="AC337" s="25">
        <f t="shared" si="302"/>
        <v>7.2916666671517305E-2</v>
      </c>
    </row>
    <row r="338" spans="1:29" x14ac:dyDescent="0.25">
      <c r="A338" s="12">
        <v>45248</v>
      </c>
      <c r="B338" s="80">
        <v>319</v>
      </c>
      <c r="C338" s="80">
        <v>8477658</v>
      </c>
      <c r="D338" s="50"/>
      <c r="E338" s="80" t="s">
        <v>1544</v>
      </c>
      <c r="F338" s="46">
        <v>45215</v>
      </c>
      <c r="G338" s="50" t="s">
        <v>1518</v>
      </c>
      <c r="H338" s="80" t="s">
        <v>192</v>
      </c>
      <c r="I338" s="17">
        <v>5212252</v>
      </c>
      <c r="J338" s="17" t="s">
        <v>23</v>
      </c>
      <c r="K338" s="50"/>
      <c r="L338" s="80">
        <v>0</v>
      </c>
      <c r="M338" s="80">
        <v>25</v>
      </c>
      <c r="N338" s="80">
        <v>1040</v>
      </c>
      <c r="O338" s="80">
        <f t="shared" si="300"/>
        <v>26000</v>
      </c>
      <c r="P338" s="102" t="s">
        <v>477</v>
      </c>
      <c r="Q338" s="80" t="s">
        <v>159</v>
      </c>
      <c r="R338" s="102" t="s">
        <v>209</v>
      </c>
      <c r="S338" s="80" t="s">
        <v>712</v>
      </c>
      <c r="T338" s="80">
        <v>2792</v>
      </c>
      <c r="U338" s="46">
        <v>45247</v>
      </c>
      <c r="V338" s="20">
        <v>45248</v>
      </c>
      <c r="W338" s="50"/>
      <c r="X338" s="24">
        <v>45248.375</v>
      </c>
      <c r="Y338" s="24">
        <v>45248.571527777778</v>
      </c>
      <c r="Z338" s="25">
        <f t="shared" si="301"/>
        <v>0.19652777777810115</v>
      </c>
      <c r="AA338" s="24">
        <v>45248.381944444445</v>
      </c>
      <c r="AB338" s="24">
        <v>45248.541666666664</v>
      </c>
      <c r="AC338" s="25">
        <f t="shared" si="302"/>
        <v>0.15972222221898846</v>
      </c>
    </row>
    <row r="339" spans="1:29" x14ac:dyDescent="0.25">
      <c r="A339" s="12">
        <v>45248</v>
      </c>
      <c r="B339" s="80">
        <v>320</v>
      </c>
      <c r="C339" s="80">
        <v>8477658</v>
      </c>
      <c r="D339" s="50"/>
      <c r="E339" s="80" t="s">
        <v>1544</v>
      </c>
      <c r="F339" s="46">
        <v>45215</v>
      </c>
      <c r="G339" s="50" t="s">
        <v>1545</v>
      </c>
      <c r="H339" s="80" t="s">
        <v>192</v>
      </c>
      <c r="I339" s="17">
        <v>5212252</v>
      </c>
      <c r="J339" s="17" t="s">
        <v>23</v>
      </c>
      <c r="K339" s="50"/>
      <c r="L339" s="80">
        <v>0</v>
      </c>
      <c r="M339" s="80">
        <v>25</v>
      </c>
      <c r="N339" s="80">
        <v>853</v>
      </c>
      <c r="O339" s="80">
        <f t="shared" si="300"/>
        <v>21325</v>
      </c>
      <c r="P339" s="102" t="s">
        <v>477</v>
      </c>
      <c r="Q339" s="80" t="s">
        <v>159</v>
      </c>
      <c r="R339" s="102" t="s">
        <v>209</v>
      </c>
      <c r="S339" s="80" t="s">
        <v>715</v>
      </c>
      <c r="T339" s="80">
        <v>2791</v>
      </c>
      <c r="U339" s="46">
        <v>45247</v>
      </c>
      <c r="V339" s="20">
        <v>45248</v>
      </c>
      <c r="W339" s="50"/>
      <c r="X339" s="24">
        <v>45248.375</v>
      </c>
      <c r="Y339" s="24">
        <v>45248.555555555555</v>
      </c>
      <c r="Z339" s="25">
        <f t="shared" si="301"/>
        <v>0.18055555555474712</v>
      </c>
      <c r="AA339" s="24">
        <v>45248.534722222219</v>
      </c>
      <c r="AB339" s="24">
        <v>45248.555555555555</v>
      </c>
      <c r="AC339" s="25">
        <f t="shared" si="302"/>
        <v>2.0833333335758653E-2</v>
      </c>
    </row>
    <row r="340" spans="1:29" x14ac:dyDescent="0.25">
      <c r="A340" s="12">
        <v>45248</v>
      </c>
      <c r="B340" s="80">
        <v>320</v>
      </c>
      <c r="C340" s="80">
        <v>8477658</v>
      </c>
      <c r="D340" s="50"/>
      <c r="E340" s="80" t="s">
        <v>1544</v>
      </c>
      <c r="F340" s="46">
        <v>45215</v>
      </c>
      <c r="G340" s="50" t="s">
        <v>1518</v>
      </c>
      <c r="H340" s="80" t="s">
        <v>192</v>
      </c>
      <c r="I340" s="17">
        <v>5212252</v>
      </c>
      <c r="J340" s="17" t="s">
        <v>23</v>
      </c>
      <c r="K340" s="50"/>
      <c r="L340" s="80">
        <v>0</v>
      </c>
      <c r="M340" s="80">
        <v>25</v>
      </c>
      <c r="N340" s="80">
        <v>187</v>
      </c>
      <c r="O340" s="80">
        <f t="shared" si="300"/>
        <v>4675</v>
      </c>
      <c r="P340" s="102" t="s">
        <v>477</v>
      </c>
      <c r="Q340" s="80" t="s">
        <v>159</v>
      </c>
      <c r="R340" s="102" t="s">
        <v>209</v>
      </c>
      <c r="S340" s="80" t="s">
        <v>715</v>
      </c>
      <c r="T340" s="80">
        <v>2791</v>
      </c>
      <c r="U340" s="46">
        <v>45247</v>
      </c>
      <c r="V340" s="20">
        <v>45248</v>
      </c>
      <c r="W340" s="50"/>
      <c r="X340" s="24">
        <v>45248.375</v>
      </c>
      <c r="Y340" s="24">
        <v>45248.555555555555</v>
      </c>
      <c r="Z340" s="25">
        <f t="shared" ref="Z340:Z341" si="303">Y340-X340</f>
        <v>0.18055555555474712</v>
      </c>
      <c r="AA340" s="24">
        <v>45248.534722222219</v>
      </c>
      <c r="AB340" s="24">
        <v>45248.555555555555</v>
      </c>
      <c r="AC340" s="25">
        <f t="shared" ref="AC340:AC341" si="304">AB340-AA340</f>
        <v>2.0833333335758653E-2</v>
      </c>
    </row>
    <row r="341" spans="1:29" x14ac:dyDescent="0.25">
      <c r="A341" s="12">
        <v>45248</v>
      </c>
      <c r="B341" s="80">
        <v>321</v>
      </c>
      <c r="C341" s="80">
        <v>8667438</v>
      </c>
      <c r="D341" s="50"/>
      <c r="E341" s="80" t="s">
        <v>1546</v>
      </c>
      <c r="F341" s="46">
        <v>45216</v>
      </c>
      <c r="G341" s="80">
        <v>123012301</v>
      </c>
      <c r="H341" s="80" t="s">
        <v>1547</v>
      </c>
      <c r="I341" s="17">
        <v>5215404</v>
      </c>
      <c r="J341" s="17" t="s">
        <v>1284</v>
      </c>
      <c r="K341" s="50"/>
      <c r="L341" s="80">
        <v>0</v>
      </c>
      <c r="M341" s="80">
        <v>180</v>
      </c>
      <c r="N341" s="80">
        <v>61</v>
      </c>
      <c r="O341" s="80">
        <f t="shared" si="300"/>
        <v>10980</v>
      </c>
      <c r="P341" s="102" t="s">
        <v>477</v>
      </c>
      <c r="Q341" s="80" t="s">
        <v>771</v>
      </c>
      <c r="R341" s="13" t="s">
        <v>997</v>
      </c>
      <c r="S341" s="80" t="s">
        <v>1548</v>
      </c>
      <c r="T341" s="80">
        <v>593</v>
      </c>
      <c r="U341" s="46">
        <v>45246</v>
      </c>
      <c r="V341" s="20">
        <v>45248</v>
      </c>
      <c r="W341" s="50"/>
      <c r="X341" s="24">
        <v>45248.375</v>
      </c>
      <c r="Y341" s="24">
        <v>45248.625</v>
      </c>
      <c r="Z341" s="25">
        <f t="shared" si="303"/>
        <v>0.25</v>
      </c>
      <c r="AA341" s="24">
        <v>45248.583333333336</v>
      </c>
      <c r="AB341" s="24">
        <v>45248.618055555555</v>
      </c>
      <c r="AC341" s="25">
        <f t="shared" si="304"/>
        <v>3.4722222218988463E-2</v>
      </c>
    </row>
    <row r="342" spans="1:29" x14ac:dyDescent="0.25">
      <c r="A342" s="12">
        <v>45248</v>
      </c>
      <c r="B342" s="80">
        <v>321</v>
      </c>
      <c r="C342" s="80">
        <v>8667438</v>
      </c>
      <c r="D342" s="50"/>
      <c r="E342" s="80" t="s">
        <v>1546</v>
      </c>
      <c r="F342" s="46">
        <v>45216</v>
      </c>
      <c r="G342" s="80">
        <v>123011801</v>
      </c>
      <c r="H342" s="80" t="s">
        <v>132</v>
      </c>
      <c r="I342" s="17">
        <v>5215404</v>
      </c>
      <c r="J342" s="17" t="s">
        <v>1284</v>
      </c>
      <c r="K342" s="50"/>
      <c r="L342" s="80">
        <v>0</v>
      </c>
      <c r="M342" s="80">
        <v>180</v>
      </c>
      <c r="N342" s="80">
        <v>19</v>
      </c>
      <c r="O342" s="80">
        <f t="shared" si="300"/>
        <v>3420</v>
      </c>
      <c r="P342" s="102" t="s">
        <v>477</v>
      </c>
      <c r="Q342" s="80" t="s">
        <v>771</v>
      </c>
      <c r="R342" s="13" t="s">
        <v>997</v>
      </c>
      <c r="S342" s="80" t="s">
        <v>1548</v>
      </c>
      <c r="T342" s="80">
        <v>593</v>
      </c>
      <c r="U342" s="46">
        <v>45246</v>
      </c>
      <c r="V342" s="20">
        <v>45248</v>
      </c>
      <c r="W342" s="50"/>
      <c r="X342" s="24">
        <v>45248.375</v>
      </c>
      <c r="Y342" s="24">
        <v>45248.625</v>
      </c>
      <c r="Z342" s="25">
        <f t="shared" ref="Z342:Z345" si="305">Y342-X342</f>
        <v>0.25</v>
      </c>
      <c r="AA342" s="24">
        <v>45248.583333333336</v>
      </c>
      <c r="AB342" s="24">
        <v>45248.618055555555</v>
      </c>
      <c r="AC342" s="25">
        <f t="shared" ref="AC342:AC345" si="306">AB342-AA342</f>
        <v>3.4722222218988463E-2</v>
      </c>
    </row>
    <row r="343" spans="1:29" x14ac:dyDescent="0.25">
      <c r="A343" s="12">
        <v>45248</v>
      </c>
      <c r="B343" s="80">
        <v>322</v>
      </c>
      <c r="C343" s="80">
        <v>8648192</v>
      </c>
      <c r="D343" s="50"/>
      <c r="E343" s="50">
        <v>91524839</v>
      </c>
      <c r="F343" s="46">
        <v>45195</v>
      </c>
      <c r="G343" s="90" t="s">
        <v>1549</v>
      </c>
      <c r="H343" s="80" t="s">
        <v>132</v>
      </c>
      <c r="I343" s="103">
        <v>5309040</v>
      </c>
      <c r="J343" s="103" t="s">
        <v>105</v>
      </c>
      <c r="K343" s="50"/>
      <c r="L343" s="80">
        <v>0</v>
      </c>
      <c r="M343" s="80">
        <v>250</v>
      </c>
      <c r="N343" s="80">
        <v>80</v>
      </c>
      <c r="O343" s="80">
        <f t="shared" si="300"/>
        <v>20000</v>
      </c>
      <c r="P343" s="102" t="s">
        <v>477</v>
      </c>
      <c r="Q343" s="80" t="s">
        <v>247</v>
      </c>
      <c r="R343" s="13" t="s">
        <v>997</v>
      </c>
      <c r="S343" s="80" t="s">
        <v>1550</v>
      </c>
      <c r="T343" s="80">
        <v>35</v>
      </c>
      <c r="U343" s="46">
        <v>45247</v>
      </c>
      <c r="V343" s="20">
        <v>45248</v>
      </c>
      <c r="W343" s="50"/>
      <c r="X343" s="24">
        <v>45248.395833333336</v>
      </c>
      <c r="Y343" s="24">
        <v>45248.625</v>
      </c>
      <c r="Z343" s="25">
        <f t="shared" si="305"/>
        <v>0.22916666666424135</v>
      </c>
      <c r="AA343" s="24">
        <v>45248.604166666664</v>
      </c>
      <c r="AB343" s="24">
        <v>45248.625</v>
      </c>
      <c r="AC343" s="25">
        <f t="shared" si="306"/>
        <v>2.0833333335758653E-2</v>
      </c>
    </row>
    <row r="344" spans="1:29" x14ac:dyDescent="0.25">
      <c r="A344" s="12">
        <v>45248</v>
      </c>
      <c r="B344" s="80">
        <v>323</v>
      </c>
      <c r="C344" s="80">
        <v>8604214</v>
      </c>
      <c r="D344" s="50"/>
      <c r="E344" s="80" t="s">
        <v>1543</v>
      </c>
      <c r="F344" s="46">
        <v>45224</v>
      </c>
      <c r="G344" s="50">
        <v>523012501</v>
      </c>
      <c r="H344" s="80" t="s">
        <v>132</v>
      </c>
      <c r="I344" s="17">
        <v>5230831</v>
      </c>
      <c r="J344" s="17" t="s">
        <v>35</v>
      </c>
      <c r="K344" s="50"/>
      <c r="L344" s="80">
        <v>0</v>
      </c>
      <c r="M344" s="80">
        <v>240</v>
      </c>
      <c r="N344" s="80">
        <v>80</v>
      </c>
      <c r="O344" s="80">
        <f t="shared" si="300"/>
        <v>19200</v>
      </c>
      <c r="P344" s="102" t="s">
        <v>477</v>
      </c>
      <c r="Q344" s="80" t="s">
        <v>159</v>
      </c>
      <c r="R344" s="13" t="s">
        <v>997</v>
      </c>
      <c r="S344" s="80" t="s">
        <v>1039</v>
      </c>
      <c r="T344" s="80">
        <v>2789</v>
      </c>
      <c r="U344" s="46">
        <v>45247</v>
      </c>
      <c r="V344" s="20">
        <v>45248</v>
      </c>
      <c r="W344" s="50"/>
      <c r="X344" s="24">
        <v>45248.393750000003</v>
      </c>
      <c r="Y344" s="24">
        <v>45248.75</v>
      </c>
      <c r="Z344" s="25">
        <f t="shared" si="305"/>
        <v>0.35624999999708962</v>
      </c>
      <c r="AA344" s="24">
        <v>45248.694444444445</v>
      </c>
      <c r="AB344" s="24">
        <v>45248.743055555555</v>
      </c>
      <c r="AC344" s="25">
        <f t="shared" si="306"/>
        <v>4.8611111109494232E-2</v>
      </c>
    </row>
    <row r="345" spans="1:29" x14ac:dyDescent="0.25">
      <c r="A345" s="12">
        <v>45248</v>
      </c>
      <c r="B345" s="80">
        <v>324</v>
      </c>
      <c r="C345" s="80">
        <v>8478958</v>
      </c>
      <c r="D345" s="50"/>
      <c r="E345" s="80" t="s">
        <v>1551</v>
      </c>
      <c r="F345" s="46">
        <v>45215</v>
      </c>
      <c r="G345" s="50">
        <v>423902901</v>
      </c>
      <c r="H345" s="80" t="s">
        <v>132</v>
      </c>
      <c r="I345" s="17">
        <v>5306988</v>
      </c>
      <c r="J345" s="17" t="s">
        <v>55</v>
      </c>
      <c r="K345" s="50"/>
      <c r="L345" s="80">
        <v>0</v>
      </c>
      <c r="M345" s="80">
        <v>200</v>
      </c>
      <c r="N345" s="80">
        <v>50</v>
      </c>
      <c r="O345" s="80">
        <f t="shared" si="300"/>
        <v>10000</v>
      </c>
      <c r="P345" s="102" t="s">
        <v>477</v>
      </c>
      <c r="Q345" s="80" t="s">
        <v>159</v>
      </c>
      <c r="R345" s="13" t="s">
        <v>997</v>
      </c>
      <c r="S345" s="80" t="s">
        <v>1062</v>
      </c>
      <c r="T345" s="80">
        <v>2790</v>
      </c>
      <c r="U345" s="46">
        <v>45247</v>
      </c>
      <c r="V345" s="20">
        <v>45248</v>
      </c>
      <c r="W345" s="50"/>
      <c r="X345" s="24">
        <v>45248.393750000003</v>
      </c>
      <c r="Y345" s="24">
        <v>45248.784722222219</v>
      </c>
      <c r="Z345" s="25">
        <f t="shared" si="305"/>
        <v>0.39097222221607808</v>
      </c>
      <c r="AA345" s="24">
        <v>45248.736111111109</v>
      </c>
      <c r="AB345" s="24">
        <v>45248.777777777781</v>
      </c>
      <c r="AC345" s="25">
        <f t="shared" si="306"/>
        <v>4.1666666671517305E-2</v>
      </c>
    </row>
    <row r="346" spans="1:29" x14ac:dyDescent="0.25">
      <c r="A346" s="12">
        <v>45248</v>
      </c>
      <c r="B346" s="80">
        <v>324</v>
      </c>
      <c r="C346" s="80">
        <v>8478958</v>
      </c>
      <c r="D346" s="50"/>
      <c r="E346" s="80" t="s">
        <v>1551</v>
      </c>
      <c r="F346" s="46">
        <v>45215</v>
      </c>
      <c r="G346" s="50">
        <v>423903001</v>
      </c>
      <c r="H346" s="80" t="s">
        <v>132</v>
      </c>
      <c r="I346" s="17">
        <v>5306988</v>
      </c>
      <c r="J346" s="17" t="s">
        <v>55</v>
      </c>
      <c r="K346" s="50"/>
      <c r="L346" s="80">
        <v>0</v>
      </c>
      <c r="M346" s="80">
        <v>200</v>
      </c>
      <c r="N346" s="80">
        <v>30</v>
      </c>
      <c r="O346" s="80">
        <f t="shared" si="300"/>
        <v>6000</v>
      </c>
      <c r="P346" s="102" t="s">
        <v>477</v>
      </c>
      <c r="Q346" s="80" t="s">
        <v>159</v>
      </c>
      <c r="R346" s="13" t="s">
        <v>997</v>
      </c>
      <c r="S346" s="80" t="s">
        <v>1062</v>
      </c>
      <c r="T346" s="80">
        <v>2790</v>
      </c>
      <c r="U346" s="46">
        <v>45247</v>
      </c>
      <c r="V346" s="20">
        <v>45248</v>
      </c>
      <c r="W346" s="50"/>
      <c r="X346" s="24">
        <v>45248.393750000003</v>
      </c>
      <c r="Y346" s="24">
        <v>45248.784722222219</v>
      </c>
      <c r="Z346" s="25">
        <f t="shared" ref="Z346:Z349" si="307">Y346-X346</f>
        <v>0.39097222221607808</v>
      </c>
      <c r="AA346" s="24">
        <v>45248.736111111109</v>
      </c>
      <c r="AB346" s="24">
        <v>45248.777777777781</v>
      </c>
      <c r="AC346" s="25">
        <f t="shared" ref="AC346:AC349" si="308">AB346-AA346</f>
        <v>4.1666666671517305E-2</v>
      </c>
    </row>
    <row r="347" spans="1:29" x14ac:dyDescent="0.25">
      <c r="A347" s="12">
        <v>45248</v>
      </c>
      <c r="B347" s="80">
        <v>325</v>
      </c>
      <c r="C347" s="80">
        <v>8648192</v>
      </c>
      <c r="D347" s="50"/>
      <c r="E347" s="50">
        <v>91524839</v>
      </c>
      <c r="F347" s="46">
        <v>45195</v>
      </c>
      <c r="G347" s="67" t="s">
        <v>1552</v>
      </c>
      <c r="H347" s="80" t="s">
        <v>132</v>
      </c>
      <c r="I347" s="103">
        <v>5309040</v>
      </c>
      <c r="J347" s="103" t="s">
        <v>105</v>
      </c>
      <c r="K347" s="50"/>
      <c r="L347" s="80">
        <v>0</v>
      </c>
      <c r="M347" s="80">
        <v>250</v>
      </c>
      <c r="N347" s="80">
        <v>80</v>
      </c>
      <c r="O347" s="80">
        <f t="shared" si="300"/>
        <v>20000</v>
      </c>
      <c r="P347" s="102" t="s">
        <v>477</v>
      </c>
      <c r="Q347" s="80" t="s">
        <v>247</v>
      </c>
      <c r="R347" s="13" t="s">
        <v>997</v>
      </c>
      <c r="S347" s="80" t="s">
        <v>1553</v>
      </c>
      <c r="T347" s="80">
        <v>34</v>
      </c>
      <c r="U347" s="46">
        <v>45247</v>
      </c>
      <c r="V347" s="20">
        <v>45248</v>
      </c>
      <c r="W347" s="50"/>
      <c r="X347" s="24">
        <v>45248.422222222223</v>
      </c>
      <c r="Y347" s="24">
        <v>45248.816666666666</v>
      </c>
      <c r="Z347" s="25">
        <f t="shared" si="307"/>
        <v>0.3944444444423425</v>
      </c>
      <c r="AA347" s="24">
        <v>45248.791666666664</v>
      </c>
      <c r="AB347" s="24">
        <v>45248.816666666666</v>
      </c>
      <c r="AC347" s="25">
        <f t="shared" si="308"/>
        <v>2.5000000001455192E-2</v>
      </c>
    </row>
    <row r="348" spans="1:29" x14ac:dyDescent="0.25">
      <c r="A348" s="12">
        <v>45248</v>
      </c>
      <c r="B348" s="80">
        <v>326</v>
      </c>
      <c r="C348" s="80">
        <v>8492218</v>
      </c>
      <c r="D348" s="50"/>
      <c r="E348" s="80" t="s">
        <v>1554</v>
      </c>
      <c r="F348" s="46">
        <v>45215</v>
      </c>
      <c r="G348" s="50">
        <v>423014101</v>
      </c>
      <c r="H348" s="80" t="s">
        <v>132</v>
      </c>
      <c r="I348" s="17">
        <v>5230874</v>
      </c>
      <c r="J348" s="17" t="s">
        <v>1316</v>
      </c>
      <c r="K348" s="50"/>
      <c r="L348" s="80">
        <v>0</v>
      </c>
      <c r="M348" s="80">
        <v>250</v>
      </c>
      <c r="N348" s="80">
        <v>80</v>
      </c>
      <c r="O348" s="80">
        <f t="shared" si="300"/>
        <v>20000</v>
      </c>
      <c r="P348" s="102" t="s">
        <v>477</v>
      </c>
      <c r="Q348" s="80" t="s">
        <v>159</v>
      </c>
      <c r="R348" s="13" t="s">
        <v>997</v>
      </c>
      <c r="S348" s="80" t="s">
        <v>1189</v>
      </c>
      <c r="T348" s="80">
        <v>2793</v>
      </c>
      <c r="U348" s="46">
        <v>45247</v>
      </c>
      <c r="V348" s="20">
        <v>45248</v>
      </c>
      <c r="W348" s="50"/>
      <c r="X348" s="24">
        <v>45248.630555555559</v>
      </c>
      <c r="Y348" s="24">
        <v>45248.895833333336</v>
      </c>
      <c r="Z348" s="25">
        <f t="shared" si="307"/>
        <v>0.26527777777664596</v>
      </c>
      <c r="AA348" s="24">
        <v>45248.875</v>
      </c>
      <c r="AB348" s="24">
        <v>45248.895833333336</v>
      </c>
      <c r="AC348" s="25">
        <f t="shared" si="308"/>
        <v>2.0833333335758653E-2</v>
      </c>
    </row>
    <row r="349" spans="1:29" x14ac:dyDescent="0.25">
      <c r="A349" s="12">
        <v>45248</v>
      </c>
      <c r="B349" s="80">
        <v>327</v>
      </c>
      <c r="C349" s="80">
        <v>8492218</v>
      </c>
      <c r="D349" s="50"/>
      <c r="E349" s="80" t="s">
        <v>1554</v>
      </c>
      <c r="F349" s="46">
        <v>45215</v>
      </c>
      <c r="G349" s="80">
        <v>423014201</v>
      </c>
      <c r="H349" s="80" t="s">
        <v>132</v>
      </c>
      <c r="I349" s="17">
        <v>5230874</v>
      </c>
      <c r="J349" s="17" t="s">
        <v>1316</v>
      </c>
      <c r="K349" s="50"/>
      <c r="L349" s="80">
        <v>0</v>
      </c>
      <c r="M349" s="80">
        <v>250</v>
      </c>
      <c r="N349" s="80">
        <v>4</v>
      </c>
      <c r="O349" s="80">
        <f t="shared" si="300"/>
        <v>1000</v>
      </c>
      <c r="P349" s="102" t="s">
        <v>477</v>
      </c>
      <c r="Q349" s="80" t="s">
        <v>159</v>
      </c>
      <c r="R349" s="13" t="s">
        <v>997</v>
      </c>
      <c r="S349" s="80" t="s">
        <v>1555</v>
      </c>
      <c r="T349" s="80">
        <v>2794</v>
      </c>
      <c r="U349" s="46">
        <v>45247</v>
      </c>
      <c r="V349" s="20">
        <v>45248</v>
      </c>
      <c r="W349" s="50"/>
      <c r="X349" s="24">
        <v>45248.630555555559</v>
      </c>
      <c r="Y349" s="24">
        <v>45248.902777777781</v>
      </c>
      <c r="Z349" s="25">
        <f t="shared" si="307"/>
        <v>0.27222222222189885</v>
      </c>
      <c r="AA349" s="24">
        <v>45248.885416666664</v>
      </c>
      <c r="AB349" s="24">
        <v>45248.902777777781</v>
      </c>
      <c r="AC349" s="25">
        <f t="shared" si="308"/>
        <v>1.7361111116770189E-2</v>
      </c>
    </row>
    <row r="350" spans="1:29" x14ac:dyDescent="0.25">
      <c r="A350" s="12">
        <v>45248</v>
      </c>
      <c r="B350" s="80">
        <v>327</v>
      </c>
      <c r="C350" s="80">
        <v>8492218</v>
      </c>
      <c r="D350" s="106"/>
      <c r="E350" s="80" t="s">
        <v>1554</v>
      </c>
      <c r="F350" s="20">
        <v>45215</v>
      </c>
      <c r="G350" s="80">
        <v>423014101</v>
      </c>
      <c r="H350" s="80" t="s">
        <v>132</v>
      </c>
      <c r="I350" s="17">
        <v>5230874</v>
      </c>
      <c r="J350" s="17" t="s">
        <v>1316</v>
      </c>
      <c r="K350" s="106"/>
      <c r="L350" s="80">
        <v>0</v>
      </c>
      <c r="M350" s="80">
        <v>250</v>
      </c>
      <c r="N350" s="80">
        <v>20</v>
      </c>
      <c r="O350" s="80">
        <f t="shared" si="300"/>
        <v>5000</v>
      </c>
      <c r="P350" s="106" t="s">
        <v>477</v>
      </c>
      <c r="Q350" s="80" t="s">
        <v>159</v>
      </c>
      <c r="R350" s="13" t="s">
        <v>997</v>
      </c>
      <c r="S350" s="80" t="s">
        <v>1555</v>
      </c>
      <c r="T350" s="80">
        <v>2794</v>
      </c>
      <c r="U350" s="20">
        <v>45247</v>
      </c>
      <c r="V350" s="20">
        <v>45248</v>
      </c>
      <c r="W350" s="106"/>
      <c r="X350" s="24">
        <v>45248.630555555559</v>
      </c>
      <c r="Y350" s="24">
        <v>45248.902777777781</v>
      </c>
      <c r="Z350" s="25">
        <f t="shared" ref="Z350:Z354" si="309">Y350-X350</f>
        <v>0.27222222222189885</v>
      </c>
      <c r="AA350" s="24">
        <v>45248.885416666664</v>
      </c>
      <c r="AB350" s="24">
        <v>45248.902777777781</v>
      </c>
      <c r="AC350" s="25">
        <f t="shared" ref="AC350:AC354" si="310">AB350-AA350</f>
        <v>1.7361111116770189E-2</v>
      </c>
    </row>
    <row r="351" spans="1:29" x14ac:dyDescent="0.25">
      <c r="A351" s="12">
        <v>45248</v>
      </c>
      <c r="B351" s="80">
        <v>327</v>
      </c>
      <c r="C351" s="80">
        <v>8492218</v>
      </c>
      <c r="D351" s="106"/>
      <c r="E351" s="80" t="s">
        <v>1554</v>
      </c>
      <c r="F351" s="20">
        <v>45215</v>
      </c>
      <c r="G351" s="80">
        <v>423014001</v>
      </c>
      <c r="H351" s="80" t="s">
        <v>132</v>
      </c>
      <c r="I351" s="17">
        <v>5230874</v>
      </c>
      <c r="J351" s="17" t="s">
        <v>1316</v>
      </c>
      <c r="K351" s="106"/>
      <c r="L351" s="80">
        <v>0</v>
      </c>
      <c r="M351" s="80">
        <v>250</v>
      </c>
      <c r="N351" s="80">
        <v>56</v>
      </c>
      <c r="O351" s="80">
        <f t="shared" si="300"/>
        <v>14000</v>
      </c>
      <c r="P351" s="106" t="s">
        <v>477</v>
      </c>
      <c r="Q351" s="80" t="s">
        <v>159</v>
      </c>
      <c r="R351" s="13" t="s">
        <v>997</v>
      </c>
      <c r="S351" s="80" t="s">
        <v>1555</v>
      </c>
      <c r="T351" s="80">
        <v>2794</v>
      </c>
      <c r="U351" s="20">
        <v>45247</v>
      </c>
      <c r="V351" s="20">
        <v>45248</v>
      </c>
      <c r="W351" s="106"/>
      <c r="X351" s="24">
        <v>45248.630555555559</v>
      </c>
      <c r="Y351" s="24">
        <v>45248.902777777781</v>
      </c>
      <c r="Z351" s="25">
        <f t="shared" si="309"/>
        <v>0.27222222222189885</v>
      </c>
      <c r="AA351" s="24">
        <v>45248.885416666664</v>
      </c>
      <c r="AB351" s="24">
        <v>45248.902777777781</v>
      </c>
      <c r="AC351" s="25">
        <f t="shared" si="310"/>
        <v>1.7361111116770189E-2</v>
      </c>
    </row>
    <row r="352" spans="1:29" x14ac:dyDescent="0.25">
      <c r="A352" s="12">
        <v>45249</v>
      </c>
      <c r="B352" s="80">
        <v>328</v>
      </c>
      <c r="C352" s="80">
        <v>8734862</v>
      </c>
      <c r="D352" s="80">
        <v>4909454368</v>
      </c>
      <c r="E352" s="80" t="s">
        <v>1557</v>
      </c>
      <c r="F352" s="20">
        <v>45215</v>
      </c>
      <c r="G352" s="97" t="s">
        <v>1558</v>
      </c>
      <c r="H352" s="80" t="s">
        <v>132</v>
      </c>
      <c r="I352" s="17">
        <v>5230874</v>
      </c>
      <c r="J352" s="17" t="s">
        <v>1316</v>
      </c>
      <c r="K352" s="106"/>
      <c r="L352" s="80">
        <v>0</v>
      </c>
      <c r="M352" s="80">
        <v>250</v>
      </c>
      <c r="N352" s="80">
        <v>80</v>
      </c>
      <c r="O352" s="80">
        <f t="shared" si="300"/>
        <v>20000</v>
      </c>
      <c r="P352" s="106" t="s">
        <v>477</v>
      </c>
      <c r="Q352" s="80" t="s">
        <v>247</v>
      </c>
      <c r="R352" s="13" t="s">
        <v>997</v>
      </c>
      <c r="S352" s="80" t="s">
        <v>813</v>
      </c>
      <c r="T352" s="80">
        <v>37</v>
      </c>
      <c r="U352" s="20">
        <v>45248</v>
      </c>
      <c r="V352" s="20">
        <v>45249</v>
      </c>
      <c r="W352" s="106"/>
      <c r="X352" s="24">
        <v>45249.5</v>
      </c>
      <c r="Y352" s="24">
        <v>45249.635416666664</v>
      </c>
      <c r="Z352" s="25">
        <f t="shared" si="309"/>
        <v>0.13541666666424135</v>
      </c>
      <c r="AA352" s="24">
        <v>45249.590277777781</v>
      </c>
      <c r="AB352" s="24">
        <v>45249.631944444445</v>
      </c>
      <c r="AC352" s="25">
        <f t="shared" si="310"/>
        <v>4.1666666664241347E-2</v>
      </c>
    </row>
    <row r="353" spans="1:29" x14ac:dyDescent="0.25">
      <c r="A353" s="12">
        <v>45249</v>
      </c>
      <c r="B353" s="80">
        <v>329</v>
      </c>
      <c r="C353" s="80">
        <v>8604214</v>
      </c>
      <c r="D353" s="80">
        <v>4909454639</v>
      </c>
      <c r="E353" s="80" t="s">
        <v>1543</v>
      </c>
      <c r="F353" s="20">
        <v>45224</v>
      </c>
      <c r="G353" s="97" t="s">
        <v>1556</v>
      </c>
      <c r="H353" s="80" t="s">
        <v>132</v>
      </c>
      <c r="I353" s="17">
        <v>5230831</v>
      </c>
      <c r="J353" s="17" t="s">
        <v>35</v>
      </c>
      <c r="K353" s="106"/>
      <c r="L353" s="80">
        <v>0</v>
      </c>
      <c r="M353" s="80">
        <v>240</v>
      </c>
      <c r="N353" s="80">
        <v>80</v>
      </c>
      <c r="O353" s="80">
        <f t="shared" si="300"/>
        <v>19200</v>
      </c>
      <c r="P353" s="106" t="s">
        <v>477</v>
      </c>
      <c r="Q353" s="80" t="s">
        <v>159</v>
      </c>
      <c r="R353" s="13" t="s">
        <v>997</v>
      </c>
      <c r="S353" s="80" t="s">
        <v>436</v>
      </c>
      <c r="T353" s="80">
        <v>2787</v>
      </c>
      <c r="U353" s="20">
        <v>45247</v>
      </c>
      <c r="V353" s="20">
        <v>45250</v>
      </c>
      <c r="W353" s="106"/>
      <c r="X353" s="24">
        <v>45250.416666666664</v>
      </c>
      <c r="Y353" s="24">
        <v>45250.861111111109</v>
      </c>
      <c r="Z353" s="25">
        <f t="shared" si="309"/>
        <v>0.44444444444525288</v>
      </c>
      <c r="AA353" s="24">
        <v>45250.8125</v>
      </c>
      <c r="AB353" s="24">
        <v>45250.861111111109</v>
      </c>
      <c r="AC353" s="25">
        <f t="shared" si="310"/>
        <v>4.8611111109494232E-2</v>
      </c>
    </row>
    <row r="354" spans="1:29" x14ac:dyDescent="0.25">
      <c r="A354" s="12">
        <v>45249</v>
      </c>
      <c r="B354" s="80">
        <v>330</v>
      </c>
      <c r="C354" s="80">
        <v>8734862</v>
      </c>
      <c r="D354" s="80">
        <v>4909454368</v>
      </c>
      <c r="E354" s="80" t="s">
        <v>1557</v>
      </c>
      <c r="F354" s="20">
        <v>45215</v>
      </c>
      <c r="G354" s="97" t="s">
        <v>1558</v>
      </c>
      <c r="H354" s="80" t="s">
        <v>132</v>
      </c>
      <c r="I354" s="17">
        <v>5230874</v>
      </c>
      <c r="J354" s="17" t="s">
        <v>1316</v>
      </c>
      <c r="K354" s="106"/>
      <c r="L354" s="80">
        <v>0</v>
      </c>
      <c r="M354" s="80">
        <v>250</v>
      </c>
      <c r="N354" s="80">
        <v>21</v>
      </c>
      <c r="O354" s="80">
        <f t="shared" si="300"/>
        <v>5250</v>
      </c>
      <c r="P354" s="106" t="s">
        <v>477</v>
      </c>
      <c r="Q354" s="80" t="s">
        <v>247</v>
      </c>
      <c r="R354" s="13" t="s">
        <v>997</v>
      </c>
      <c r="S354" s="80" t="s">
        <v>275</v>
      </c>
      <c r="T354" s="80">
        <v>36</v>
      </c>
      <c r="U354" s="20">
        <v>45248</v>
      </c>
      <c r="V354" s="20">
        <v>45250</v>
      </c>
      <c r="W354" s="106"/>
      <c r="X354" s="24">
        <v>45250.416666666664</v>
      </c>
      <c r="Y354" s="24">
        <v>45250.9375</v>
      </c>
      <c r="Z354" s="25">
        <f t="shared" si="309"/>
        <v>0.52083333333575865</v>
      </c>
      <c r="AA354" s="24">
        <v>45250.875</v>
      </c>
      <c r="AB354" s="24">
        <v>45250.9375</v>
      </c>
      <c r="AC354" s="25">
        <f t="shared" si="310"/>
        <v>6.25E-2</v>
      </c>
    </row>
    <row r="355" spans="1:29" x14ac:dyDescent="0.25">
      <c r="A355" s="12">
        <v>45249</v>
      </c>
      <c r="B355" s="80">
        <v>330</v>
      </c>
      <c r="C355" s="80">
        <v>8734862</v>
      </c>
      <c r="D355" s="80">
        <v>4909454368</v>
      </c>
      <c r="E355" s="80" t="s">
        <v>1557</v>
      </c>
      <c r="F355" s="20">
        <v>45215</v>
      </c>
      <c r="G355" s="97" t="s">
        <v>1538</v>
      </c>
      <c r="H355" s="80" t="s">
        <v>132</v>
      </c>
      <c r="I355" s="17">
        <v>5230874</v>
      </c>
      <c r="J355" s="17" t="s">
        <v>1316</v>
      </c>
      <c r="K355" s="106"/>
      <c r="L355" s="80">
        <v>0</v>
      </c>
      <c r="M355" s="80">
        <v>250</v>
      </c>
      <c r="N355" s="80">
        <v>15</v>
      </c>
      <c r="O355" s="80">
        <f t="shared" ref="O355:O381" si="311">M355*N355</f>
        <v>3750</v>
      </c>
      <c r="P355" s="106" t="s">
        <v>477</v>
      </c>
      <c r="Q355" s="80" t="s">
        <v>247</v>
      </c>
      <c r="R355" s="13" t="s">
        <v>997</v>
      </c>
      <c r="S355" s="80" t="s">
        <v>275</v>
      </c>
      <c r="T355" s="80">
        <v>36</v>
      </c>
      <c r="U355" s="20">
        <v>45248</v>
      </c>
      <c r="V355" s="20">
        <v>45250</v>
      </c>
      <c r="W355" s="106"/>
      <c r="X355" s="24">
        <v>45250.416666666664</v>
      </c>
      <c r="Y355" s="24">
        <v>45250.9375</v>
      </c>
      <c r="Z355" s="25">
        <f t="shared" ref="Z355:Z363" si="312">Y355-X355</f>
        <v>0.52083333333575865</v>
      </c>
      <c r="AA355" s="24">
        <v>45250.875</v>
      </c>
      <c r="AB355" s="24">
        <v>45250.9375</v>
      </c>
      <c r="AC355" s="25">
        <f t="shared" ref="AC355:AC363" si="313">AB355-AA355</f>
        <v>6.25E-2</v>
      </c>
    </row>
    <row r="356" spans="1:29" x14ac:dyDescent="0.25">
      <c r="A356" s="12">
        <v>45249</v>
      </c>
      <c r="B356" s="80">
        <v>330</v>
      </c>
      <c r="C356" s="80">
        <v>8734862</v>
      </c>
      <c r="D356" s="80">
        <v>4909454368</v>
      </c>
      <c r="E356" s="80" t="s">
        <v>1557</v>
      </c>
      <c r="F356" s="20">
        <v>45215</v>
      </c>
      <c r="G356" s="97" t="s">
        <v>1559</v>
      </c>
      <c r="H356" s="80" t="s">
        <v>132</v>
      </c>
      <c r="I356" s="17">
        <v>5230874</v>
      </c>
      <c r="J356" s="17" t="s">
        <v>1316</v>
      </c>
      <c r="K356" s="106"/>
      <c r="L356" s="80">
        <v>0</v>
      </c>
      <c r="M356" s="80">
        <v>250</v>
      </c>
      <c r="N356" s="80">
        <v>4</v>
      </c>
      <c r="O356" s="80">
        <f t="shared" si="311"/>
        <v>1000</v>
      </c>
      <c r="P356" s="106" t="s">
        <v>477</v>
      </c>
      <c r="Q356" s="80" t="s">
        <v>247</v>
      </c>
      <c r="R356" s="13" t="s">
        <v>997</v>
      </c>
      <c r="S356" s="80" t="s">
        <v>275</v>
      </c>
      <c r="T356" s="80">
        <v>36</v>
      </c>
      <c r="U356" s="20">
        <v>45248</v>
      </c>
      <c r="V356" s="20">
        <v>45250</v>
      </c>
      <c r="W356" s="106"/>
      <c r="X356" s="24">
        <v>45250.416666666664</v>
      </c>
      <c r="Y356" s="24">
        <v>45250.9375</v>
      </c>
      <c r="Z356" s="25">
        <f t="shared" si="312"/>
        <v>0.52083333333575865</v>
      </c>
      <c r="AA356" s="24">
        <v>45250.875</v>
      </c>
      <c r="AB356" s="24">
        <v>45250.9375</v>
      </c>
      <c r="AC356" s="25">
        <f t="shared" si="313"/>
        <v>6.25E-2</v>
      </c>
    </row>
    <row r="357" spans="1:29" x14ac:dyDescent="0.25">
      <c r="A357" s="12">
        <v>45249</v>
      </c>
      <c r="B357" s="80">
        <v>330</v>
      </c>
      <c r="C357" s="80">
        <v>8734862</v>
      </c>
      <c r="D357" s="80">
        <v>4909454368</v>
      </c>
      <c r="E357" s="80" t="s">
        <v>1557</v>
      </c>
      <c r="F357" s="20">
        <v>45215</v>
      </c>
      <c r="G357" s="97" t="s">
        <v>1560</v>
      </c>
      <c r="H357" s="80" t="s">
        <v>132</v>
      </c>
      <c r="I357" s="17">
        <v>5230874</v>
      </c>
      <c r="J357" s="17" t="s">
        <v>1316</v>
      </c>
      <c r="K357" s="106"/>
      <c r="L357" s="80">
        <v>0</v>
      </c>
      <c r="M357" s="80">
        <v>250</v>
      </c>
      <c r="N357" s="80">
        <v>40</v>
      </c>
      <c r="O357" s="80">
        <f t="shared" si="311"/>
        <v>10000</v>
      </c>
      <c r="P357" s="106" t="s">
        <v>477</v>
      </c>
      <c r="Q357" s="80" t="s">
        <v>247</v>
      </c>
      <c r="R357" s="13" t="s">
        <v>997</v>
      </c>
      <c r="S357" s="80" t="s">
        <v>275</v>
      </c>
      <c r="T357" s="80">
        <v>36</v>
      </c>
      <c r="U357" s="20">
        <v>45248</v>
      </c>
      <c r="V357" s="20">
        <v>45250</v>
      </c>
      <c r="W357" s="106"/>
      <c r="X357" s="24">
        <v>45250.416666666664</v>
      </c>
      <c r="Y357" s="24">
        <v>45250.9375</v>
      </c>
      <c r="Z357" s="25">
        <f t="shared" si="312"/>
        <v>0.52083333333575865</v>
      </c>
      <c r="AA357" s="24">
        <v>45250.875</v>
      </c>
      <c r="AB357" s="24">
        <v>45250.9375</v>
      </c>
      <c r="AC357" s="25">
        <f t="shared" si="313"/>
        <v>6.25E-2</v>
      </c>
    </row>
    <row r="358" spans="1:29" x14ac:dyDescent="0.25">
      <c r="A358" s="12">
        <v>45251</v>
      </c>
      <c r="B358" s="80">
        <v>331</v>
      </c>
      <c r="C358" s="80">
        <v>8734231</v>
      </c>
      <c r="D358" s="80">
        <v>4909417361</v>
      </c>
      <c r="E358" s="80" t="s">
        <v>1573</v>
      </c>
      <c r="F358" s="20">
        <v>45211</v>
      </c>
      <c r="G358" s="97" t="s">
        <v>1574</v>
      </c>
      <c r="H358" s="80" t="s">
        <v>132</v>
      </c>
      <c r="I358" s="17">
        <v>5230831</v>
      </c>
      <c r="J358" s="17" t="s">
        <v>35</v>
      </c>
      <c r="K358" s="106"/>
      <c r="L358" s="80">
        <v>0</v>
      </c>
      <c r="M358" s="80">
        <v>240</v>
      </c>
      <c r="N358" s="80">
        <v>80</v>
      </c>
      <c r="O358" s="80">
        <f t="shared" si="311"/>
        <v>19200</v>
      </c>
      <c r="P358" s="106" t="s">
        <v>477</v>
      </c>
      <c r="Q358" s="80" t="s">
        <v>247</v>
      </c>
      <c r="R358" s="13" t="s">
        <v>997</v>
      </c>
      <c r="S358" s="80" t="s">
        <v>431</v>
      </c>
      <c r="T358" s="80">
        <v>41</v>
      </c>
      <c r="U358" s="20">
        <v>45250</v>
      </c>
      <c r="V358" s="20">
        <v>45251</v>
      </c>
      <c r="W358" s="106"/>
      <c r="X358" s="24">
        <v>45251.416666666664</v>
      </c>
      <c r="Y358" s="24">
        <v>45251.673611111109</v>
      </c>
      <c r="Z358" s="25">
        <f t="shared" si="312"/>
        <v>0.25694444444525288</v>
      </c>
      <c r="AA358" s="24">
        <v>45251.618055555555</v>
      </c>
      <c r="AB358" s="24">
        <v>45251.673611111109</v>
      </c>
      <c r="AC358" s="25">
        <f t="shared" si="313"/>
        <v>5.5555555554747116E-2</v>
      </c>
    </row>
    <row r="359" spans="1:29" x14ac:dyDescent="0.25">
      <c r="A359" s="12">
        <v>45251</v>
      </c>
      <c r="B359" s="80">
        <v>332</v>
      </c>
      <c r="C359" s="80">
        <v>8734231</v>
      </c>
      <c r="D359" s="80">
        <v>4909417361</v>
      </c>
      <c r="E359" s="80" t="s">
        <v>1573</v>
      </c>
      <c r="F359" s="20">
        <v>45211</v>
      </c>
      <c r="G359" s="93" t="s">
        <v>1575</v>
      </c>
      <c r="H359" s="80" t="s">
        <v>132</v>
      </c>
      <c r="I359" s="17">
        <v>5230831</v>
      </c>
      <c r="J359" s="17" t="s">
        <v>35</v>
      </c>
      <c r="K359" s="106"/>
      <c r="L359" s="80">
        <v>0</v>
      </c>
      <c r="M359" s="80">
        <v>240</v>
      </c>
      <c r="N359" s="80">
        <v>80</v>
      </c>
      <c r="O359" s="80">
        <f t="shared" si="311"/>
        <v>19200</v>
      </c>
      <c r="P359" s="106" t="s">
        <v>477</v>
      </c>
      <c r="Q359" s="80" t="s">
        <v>247</v>
      </c>
      <c r="R359" s="13" t="s">
        <v>997</v>
      </c>
      <c r="S359" s="80" t="s">
        <v>813</v>
      </c>
      <c r="T359" s="80">
        <v>43</v>
      </c>
      <c r="U359" s="20">
        <v>45250</v>
      </c>
      <c r="V359" s="20">
        <v>45251</v>
      </c>
      <c r="W359" s="106"/>
      <c r="X359" s="24">
        <v>45251.416666666664</v>
      </c>
      <c r="Y359" s="24">
        <v>45251.703472222223</v>
      </c>
      <c r="Z359" s="25">
        <f t="shared" si="312"/>
        <v>0.28680555555911269</v>
      </c>
      <c r="AA359" s="24">
        <v>45251.618055555555</v>
      </c>
      <c r="AB359" s="24">
        <v>45251.703472222223</v>
      </c>
      <c r="AC359" s="25">
        <f t="shared" si="313"/>
        <v>8.5416666668606922E-2</v>
      </c>
    </row>
    <row r="360" spans="1:29" x14ac:dyDescent="0.25">
      <c r="A360" s="12">
        <v>45251</v>
      </c>
      <c r="B360" s="80">
        <v>333</v>
      </c>
      <c r="C360" s="80">
        <v>8734231</v>
      </c>
      <c r="D360" s="80">
        <v>4909417361</v>
      </c>
      <c r="E360" s="80" t="s">
        <v>1573</v>
      </c>
      <c r="F360" s="20">
        <v>45211</v>
      </c>
      <c r="G360" s="97" t="s">
        <v>1574</v>
      </c>
      <c r="H360" s="80" t="s">
        <v>132</v>
      </c>
      <c r="I360" s="17">
        <v>5230831</v>
      </c>
      <c r="J360" s="17" t="s">
        <v>35</v>
      </c>
      <c r="K360" s="106"/>
      <c r="L360" s="80">
        <v>0</v>
      </c>
      <c r="M360" s="80">
        <v>240</v>
      </c>
      <c r="N360" s="80">
        <v>80</v>
      </c>
      <c r="O360" s="80">
        <f t="shared" si="311"/>
        <v>19200</v>
      </c>
      <c r="P360" s="106" t="s">
        <v>477</v>
      </c>
      <c r="Q360" s="80" t="s">
        <v>247</v>
      </c>
      <c r="R360" s="13" t="s">
        <v>997</v>
      </c>
      <c r="S360" s="80" t="s">
        <v>275</v>
      </c>
      <c r="T360" s="80">
        <v>40</v>
      </c>
      <c r="U360" s="20">
        <v>45250</v>
      </c>
      <c r="V360" s="20">
        <v>45251</v>
      </c>
      <c r="W360" s="106"/>
      <c r="X360" s="24">
        <v>45251.416666666664</v>
      </c>
      <c r="Y360" s="24">
        <v>45251.791666666664</v>
      </c>
      <c r="Z360" s="25">
        <f t="shared" si="312"/>
        <v>0.375</v>
      </c>
      <c r="AA360" s="24">
        <v>45251.6875</v>
      </c>
      <c r="AB360" s="24">
        <v>45251.791666666664</v>
      </c>
      <c r="AC360" s="25">
        <f t="shared" si="313"/>
        <v>0.10416666666424135</v>
      </c>
    </row>
    <row r="361" spans="1:29" x14ac:dyDescent="0.25">
      <c r="A361" s="12">
        <v>45251</v>
      </c>
      <c r="B361" s="80">
        <v>334</v>
      </c>
      <c r="C361" s="80">
        <v>8734231</v>
      </c>
      <c r="D361" s="80">
        <v>4909417361</v>
      </c>
      <c r="E361" s="80" t="s">
        <v>1573</v>
      </c>
      <c r="F361" s="20">
        <v>45211</v>
      </c>
      <c r="G361" s="93" t="s">
        <v>1575</v>
      </c>
      <c r="H361" s="80" t="s">
        <v>132</v>
      </c>
      <c r="I361" s="17">
        <v>5230831</v>
      </c>
      <c r="J361" s="17" t="s">
        <v>35</v>
      </c>
      <c r="K361" s="106"/>
      <c r="L361" s="80">
        <v>0</v>
      </c>
      <c r="M361" s="80">
        <v>240</v>
      </c>
      <c r="N361" s="80">
        <v>80</v>
      </c>
      <c r="O361" s="80">
        <f t="shared" si="311"/>
        <v>19200</v>
      </c>
      <c r="P361" s="106" t="s">
        <v>477</v>
      </c>
      <c r="Q361" s="80" t="s">
        <v>247</v>
      </c>
      <c r="R361" s="13" t="s">
        <v>997</v>
      </c>
      <c r="S361" s="80" t="s">
        <v>1578</v>
      </c>
      <c r="T361" s="80">
        <v>42</v>
      </c>
      <c r="U361" s="20">
        <v>45250</v>
      </c>
      <c r="V361" s="20">
        <v>45251</v>
      </c>
      <c r="W361" s="106"/>
      <c r="X361" s="24">
        <v>45251.416666666664</v>
      </c>
      <c r="Y361" s="24">
        <v>45251.854166666664</v>
      </c>
      <c r="Z361" s="25">
        <f t="shared" si="312"/>
        <v>0.4375</v>
      </c>
      <c r="AA361" s="24">
        <v>45251.416666666664</v>
      </c>
      <c r="AB361" s="24">
        <v>45251.854166666664</v>
      </c>
      <c r="AC361" s="25">
        <f t="shared" si="313"/>
        <v>0.4375</v>
      </c>
    </row>
    <row r="362" spans="1:29" x14ac:dyDescent="0.25">
      <c r="A362" s="12">
        <v>45252</v>
      </c>
      <c r="B362" s="80">
        <v>335</v>
      </c>
      <c r="C362" s="80">
        <v>8745118</v>
      </c>
      <c r="D362" s="80">
        <v>4909429102</v>
      </c>
      <c r="E362" s="80" t="s">
        <v>1593</v>
      </c>
      <c r="F362" s="20">
        <v>45220</v>
      </c>
      <c r="G362" s="106" t="s">
        <v>1594</v>
      </c>
      <c r="H362" s="80" t="s">
        <v>1418</v>
      </c>
      <c r="I362" s="17" t="s">
        <v>1607</v>
      </c>
      <c r="J362" s="17" t="s">
        <v>29</v>
      </c>
      <c r="K362" s="106"/>
      <c r="L362" s="80">
        <v>0</v>
      </c>
      <c r="M362" s="80">
        <v>25</v>
      </c>
      <c r="N362" s="80">
        <v>1040</v>
      </c>
      <c r="O362" s="80">
        <f t="shared" si="311"/>
        <v>26000</v>
      </c>
      <c r="P362" s="106" t="s">
        <v>477</v>
      </c>
      <c r="Q362" s="80" t="s">
        <v>247</v>
      </c>
      <c r="R362" s="106" t="s">
        <v>209</v>
      </c>
      <c r="S362" s="80" t="s">
        <v>316</v>
      </c>
      <c r="T362" s="80">
        <v>48</v>
      </c>
      <c r="U362" s="20">
        <v>45251</v>
      </c>
      <c r="V362" s="20">
        <v>45252</v>
      </c>
      <c r="W362" s="106"/>
      <c r="X362" s="24">
        <v>45252.430555555555</v>
      </c>
      <c r="Y362" s="24">
        <v>45252.524305555555</v>
      </c>
      <c r="Z362" s="25">
        <f t="shared" si="312"/>
        <v>9.375E-2</v>
      </c>
      <c r="AA362" s="24">
        <v>45252.430555555555</v>
      </c>
      <c r="AB362" s="24">
        <v>45252.482638888891</v>
      </c>
      <c r="AC362" s="25">
        <f t="shared" si="313"/>
        <v>5.2083333335758653E-2</v>
      </c>
    </row>
    <row r="363" spans="1:29" x14ac:dyDescent="0.25">
      <c r="A363" s="12">
        <v>45252</v>
      </c>
      <c r="B363" s="80">
        <v>336</v>
      </c>
      <c r="C363" s="80">
        <v>8601970</v>
      </c>
      <c r="D363" s="80">
        <v>4909429475</v>
      </c>
      <c r="E363" s="80" t="s">
        <v>1595</v>
      </c>
      <c r="F363" s="20">
        <v>45218</v>
      </c>
      <c r="G363" s="97" t="s">
        <v>1606</v>
      </c>
      <c r="H363" s="80" t="s">
        <v>1418</v>
      </c>
      <c r="I363" s="17">
        <v>5212259</v>
      </c>
      <c r="J363" s="17" t="s">
        <v>26</v>
      </c>
      <c r="K363" s="106"/>
      <c r="L363" s="80">
        <v>0</v>
      </c>
      <c r="M363" s="80">
        <v>25</v>
      </c>
      <c r="N363" s="80">
        <v>203</v>
      </c>
      <c r="O363" s="80">
        <f t="shared" si="311"/>
        <v>5075</v>
      </c>
      <c r="P363" s="106" t="s">
        <v>477</v>
      </c>
      <c r="Q363" s="80" t="s">
        <v>159</v>
      </c>
      <c r="R363" s="106" t="s">
        <v>209</v>
      </c>
      <c r="S363" s="80" t="s">
        <v>715</v>
      </c>
      <c r="T363" s="80">
        <v>2795</v>
      </c>
      <c r="U363" s="20">
        <v>45251</v>
      </c>
      <c r="V363" s="20">
        <v>45252</v>
      </c>
      <c r="W363" s="106"/>
      <c r="X363" s="24">
        <v>45252.4375</v>
      </c>
      <c r="Y363" s="24">
        <v>45252.590277777781</v>
      </c>
      <c r="Z363" s="25">
        <f t="shared" si="312"/>
        <v>0.15277777778101154</v>
      </c>
      <c r="AA363" s="24">
        <v>45252.548611111109</v>
      </c>
      <c r="AB363" s="24">
        <v>45252.590277777781</v>
      </c>
      <c r="AC363" s="25">
        <f t="shared" si="313"/>
        <v>4.1666666671517305E-2</v>
      </c>
    </row>
    <row r="364" spans="1:29" x14ac:dyDescent="0.25">
      <c r="A364" s="12">
        <v>45252</v>
      </c>
      <c r="B364" s="80">
        <v>336</v>
      </c>
      <c r="C364" s="80">
        <v>8601970</v>
      </c>
      <c r="D364" s="80">
        <v>4909429475</v>
      </c>
      <c r="E364" s="80" t="s">
        <v>1595</v>
      </c>
      <c r="F364" s="20">
        <v>45218</v>
      </c>
      <c r="G364" s="106" t="s">
        <v>1596</v>
      </c>
      <c r="H364" s="80" t="s">
        <v>1418</v>
      </c>
      <c r="I364" s="17">
        <v>5212259</v>
      </c>
      <c r="J364" s="17" t="s">
        <v>26</v>
      </c>
      <c r="K364" s="106"/>
      <c r="L364" s="80">
        <v>0</v>
      </c>
      <c r="M364" s="80">
        <v>25</v>
      </c>
      <c r="N364" s="80">
        <v>837</v>
      </c>
      <c r="O364" s="80">
        <f t="shared" si="311"/>
        <v>20925</v>
      </c>
      <c r="P364" s="106" t="s">
        <v>477</v>
      </c>
      <c r="Q364" s="80" t="s">
        <v>159</v>
      </c>
      <c r="R364" s="106" t="s">
        <v>209</v>
      </c>
      <c r="S364" s="80" t="s">
        <v>715</v>
      </c>
      <c r="T364" s="80">
        <v>2795</v>
      </c>
      <c r="U364" s="20">
        <v>45251</v>
      </c>
      <c r="V364" s="20">
        <v>45252</v>
      </c>
      <c r="W364" s="106"/>
      <c r="X364" s="24">
        <v>45252.4375</v>
      </c>
      <c r="Y364" s="24">
        <v>45252.590277777781</v>
      </c>
      <c r="Z364" s="25">
        <f t="shared" ref="Z364:Z366" si="314">Y364-X364</f>
        <v>0.15277777778101154</v>
      </c>
      <c r="AA364" s="24">
        <v>45252.548611111109</v>
      </c>
      <c r="AB364" s="24">
        <v>45252.590277777781</v>
      </c>
      <c r="AC364" s="25">
        <f t="shared" ref="AC364:AC366" si="315">AB364-AA364</f>
        <v>4.1666666671517305E-2</v>
      </c>
    </row>
    <row r="365" spans="1:29" x14ac:dyDescent="0.25">
      <c r="A365" s="12">
        <v>45252</v>
      </c>
      <c r="B365" s="80">
        <v>337</v>
      </c>
      <c r="C365" s="80">
        <v>8657969</v>
      </c>
      <c r="D365" s="80">
        <v>4909429552</v>
      </c>
      <c r="E365" s="80" t="s">
        <v>1597</v>
      </c>
      <c r="F365" s="20">
        <v>45219</v>
      </c>
      <c r="G365" s="97" t="s">
        <v>1603</v>
      </c>
      <c r="H365" s="80" t="s">
        <v>1418</v>
      </c>
      <c r="I365" s="17">
        <v>5212252</v>
      </c>
      <c r="J365" s="17" t="s">
        <v>23</v>
      </c>
      <c r="K365" s="106"/>
      <c r="L365" s="80">
        <v>0</v>
      </c>
      <c r="M365" s="80">
        <v>25</v>
      </c>
      <c r="N365" s="80">
        <v>1040</v>
      </c>
      <c r="O365" s="80">
        <f t="shared" si="311"/>
        <v>26000</v>
      </c>
      <c r="P365" s="106" t="s">
        <v>477</v>
      </c>
      <c r="Q365" s="80" t="s">
        <v>771</v>
      </c>
      <c r="R365" s="106" t="s">
        <v>209</v>
      </c>
      <c r="S365" s="80" t="s">
        <v>772</v>
      </c>
      <c r="T365" s="80">
        <v>1253</v>
      </c>
      <c r="U365" s="20">
        <v>45251</v>
      </c>
      <c r="V365" s="20">
        <v>45252</v>
      </c>
      <c r="W365" s="106"/>
      <c r="X365" s="24">
        <v>45252.395833333336</v>
      </c>
      <c r="Y365" s="24">
        <v>45252.71875</v>
      </c>
      <c r="Z365" s="25">
        <f t="shared" si="314"/>
        <v>0.32291666666424135</v>
      </c>
      <c r="AA365" s="24">
        <v>45252.666666666664</v>
      </c>
      <c r="AB365" s="24">
        <v>45252.71875</v>
      </c>
      <c r="AC365" s="25">
        <f t="shared" si="315"/>
        <v>5.2083333335758653E-2</v>
      </c>
    </row>
    <row r="366" spans="1:29" x14ac:dyDescent="0.25">
      <c r="A366" s="12">
        <v>45252</v>
      </c>
      <c r="B366" s="80">
        <v>338</v>
      </c>
      <c r="C366" s="80">
        <v>8606264</v>
      </c>
      <c r="D366" s="80">
        <v>4909423065</v>
      </c>
      <c r="E366" s="80" t="s">
        <v>1598</v>
      </c>
      <c r="F366" s="20">
        <v>45218</v>
      </c>
      <c r="G366" s="106" t="s">
        <v>1334</v>
      </c>
      <c r="H366" s="80" t="s">
        <v>192</v>
      </c>
      <c r="I366" s="17">
        <v>5212256</v>
      </c>
      <c r="J366" s="17" t="s">
        <v>22</v>
      </c>
      <c r="K366" s="106"/>
      <c r="L366" s="80">
        <v>0</v>
      </c>
      <c r="M366" s="80">
        <v>25</v>
      </c>
      <c r="N366" s="80">
        <v>17</v>
      </c>
      <c r="O366" s="80">
        <f t="shared" si="311"/>
        <v>425</v>
      </c>
      <c r="P366" s="106" t="s">
        <v>477</v>
      </c>
      <c r="Q366" s="80" t="s">
        <v>159</v>
      </c>
      <c r="R366" s="106" t="s">
        <v>209</v>
      </c>
      <c r="S366" s="80" t="s">
        <v>712</v>
      </c>
      <c r="T366" s="80">
        <v>2796</v>
      </c>
      <c r="U366" s="20">
        <v>45251</v>
      </c>
      <c r="V366" s="20">
        <v>45252</v>
      </c>
      <c r="W366" s="106"/>
      <c r="X366" s="24">
        <v>45252.4375</v>
      </c>
      <c r="Y366" s="24">
        <v>45252.677083333336</v>
      </c>
      <c r="Z366" s="25">
        <f t="shared" si="314"/>
        <v>0.23958333333575865</v>
      </c>
      <c r="AA366" s="24">
        <v>45252.583333333336</v>
      </c>
      <c r="AB366" s="24">
        <v>45252.677083333336</v>
      </c>
      <c r="AC366" s="25">
        <f t="shared" si="315"/>
        <v>9.375E-2</v>
      </c>
    </row>
    <row r="367" spans="1:29" x14ac:dyDescent="0.25">
      <c r="A367" s="12">
        <v>45252</v>
      </c>
      <c r="B367" s="80">
        <v>338</v>
      </c>
      <c r="C367" s="80">
        <v>8606264</v>
      </c>
      <c r="D367" s="80">
        <v>4909423065</v>
      </c>
      <c r="E367" s="80" t="s">
        <v>1598</v>
      </c>
      <c r="F367" s="20">
        <v>45218</v>
      </c>
      <c r="G367" s="106" t="s">
        <v>1599</v>
      </c>
      <c r="H367" s="80" t="s">
        <v>192</v>
      </c>
      <c r="I367" s="17">
        <v>5212256</v>
      </c>
      <c r="J367" s="17" t="s">
        <v>22</v>
      </c>
      <c r="K367" s="106"/>
      <c r="L367" s="80">
        <v>0</v>
      </c>
      <c r="M367" s="80">
        <v>25</v>
      </c>
      <c r="N367" s="80">
        <v>133</v>
      </c>
      <c r="O367" s="80">
        <f t="shared" si="311"/>
        <v>3325</v>
      </c>
      <c r="P367" s="106" t="s">
        <v>477</v>
      </c>
      <c r="Q367" s="80" t="s">
        <v>159</v>
      </c>
      <c r="R367" s="106" t="s">
        <v>209</v>
      </c>
      <c r="S367" s="80" t="s">
        <v>712</v>
      </c>
      <c r="T367" s="80">
        <v>2796</v>
      </c>
      <c r="U367" s="20">
        <v>45251</v>
      </c>
      <c r="V367" s="20">
        <v>45252</v>
      </c>
      <c r="W367" s="106"/>
      <c r="X367" s="24">
        <v>45252.4375</v>
      </c>
      <c r="Y367" s="24">
        <v>45252.677083333336</v>
      </c>
      <c r="Z367" s="25">
        <f t="shared" ref="Z367:Z371" si="316">Y367-X367</f>
        <v>0.23958333333575865</v>
      </c>
      <c r="AA367" s="24">
        <v>45252.583333333336</v>
      </c>
      <c r="AB367" s="24">
        <v>45252.677083333336</v>
      </c>
      <c r="AC367" s="25">
        <f t="shared" ref="AC367:AC371" si="317">AB367-AA367</f>
        <v>9.375E-2</v>
      </c>
    </row>
    <row r="368" spans="1:29" x14ac:dyDescent="0.25">
      <c r="A368" s="12">
        <v>45252</v>
      </c>
      <c r="B368" s="80">
        <v>338</v>
      </c>
      <c r="C368" s="80">
        <v>8606264</v>
      </c>
      <c r="D368" s="80">
        <v>4909423065</v>
      </c>
      <c r="E368" s="80" t="s">
        <v>1598</v>
      </c>
      <c r="F368" s="20">
        <v>45218</v>
      </c>
      <c r="G368" s="106" t="s">
        <v>1600</v>
      </c>
      <c r="H368" s="80" t="s">
        <v>192</v>
      </c>
      <c r="I368" s="17">
        <v>5212256</v>
      </c>
      <c r="J368" s="17" t="s">
        <v>22</v>
      </c>
      <c r="K368" s="106"/>
      <c r="L368" s="80">
        <v>0</v>
      </c>
      <c r="M368" s="80">
        <v>25</v>
      </c>
      <c r="N368" s="80">
        <v>42</v>
      </c>
      <c r="O368" s="80">
        <f t="shared" si="311"/>
        <v>1050</v>
      </c>
      <c r="P368" s="106" t="s">
        <v>477</v>
      </c>
      <c r="Q368" s="80" t="s">
        <v>159</v>
      </c>
      <c r="R368" s="106" t="s">
        <v>209</v>
      </c>
      <c r="S368" s="80" t="s">
        <v>712</v>
      </c>
      <c r="T368" s="80">
        <v>2796</v>
      </c>
      <c r="U368" s="20">
        <v>45251</v>
      </c>
      <c r="V368" s="20">
        <v>45252</v>
      </c>
      <c r="W368" s="106"/>
      <c r="X368" s="24">
        <v>45252.4375</v>
      </c>
      <c r="Y368" s="24">
        <v>45252.677083333336</v>
      </c>
      <c r="Z368" s="25">
        <f t="shared" si="316"/>
        <v>0.23958333333575865</v>
      </c>
      <c r="AA368" s="24">
        <v>45252.583333333336</v>
      </c>
      <c r="AB368" s="24">
        <v>45252.677083333336</v>
      </c>
      <c r="AC368" s="25">
        <f t="shared" si="317"/>
        <v>9.375E-2</v>
      </c>
    </row>
    <row r="369" spans="1:29" x14ac:dyDescent="0.25">
      <c r="A369" s="12">
        <v>45252</v>
      </c>
      <c r="B369" s="80">
        <v>338</v>
      </c>
      <c r="C369" s="80">
        <v>8606264</v>
      </c>
      <c r="D369" s="80">
        <v>4909423065</v>
      </c>
      <c r="E369" s="80" t="s">
        <v>1598</v>
      </c>
      <c r="F369" s="20">
        <v>45218</v>
      </c>
      <c r="G369" s="106" t="s">
        <v>1601</v>
      </c>
      <c r="H369" s="80" t="s">
        <v>192</v>
      </c>
      <c r="I369" s="17">
        <v>5212256</v>
      </c>
      <c r="J369" s="17" t="s">
        <v>22</v>
      </c>
      <c r="K369" s="106"/>
      <c r="L369" s="80">
        <v>0</v>
      </c>
      <c r="M369" s="80">
        <v>25</v>
      </c>
      <c r="N369" s="80">
        <v>439</v>
      </c>
      <c r="O369" s="80">
        <f t="shared" si="311"/>
        <v>10975</v>
      </c>
      <c r="P369" s="106" t="s">
        <v>477</v>
      </c>
      <c r="Q369" s="80" t="s">
        <v>159</v>
      </c>
      <c r="R369" s="106" t="s">
        <v>209</v>
      </c>
      <c r="S369" s="80" t="s">
        <v>712</v>
      </c>
      <c r="T369" s="80">
        <v>2796</v>
      </c>
      <c r="U369" s="20">
        <v>45251</v>
      </c>
      <c r="V369" s="20">
        <v>45252</v>
      </c>
      <c r="W369" s="106"/>
      <c r="X369" s="24">
        <v>45252.4375</v>
      </c>
      <c r="Y369" s="24">
        <v>45252.677083333336</v>
      </c>
      <c r="Z369" s="25">
        <f t="shared" si="316"/>
        <v>0.23958333333575865</v>
      </c>
      <c r="AA369" s="24">
        <v>45252.583333333336</v>
      </c>
      <c r="AB369" s="24">
        <v>45252.677083333336</v>
      </c>
      <c r="AC369" s="25">
        <f t="shared" si="317"/>
        <v>9.375E-2</v>
      </c>
    </row>
    <row r="370" spans="1:29" x14ac:dyDescent="0.25">
      <c r="A370" s="12">
        <v>45252</v>
      </c>
      <c r="B370" s="80">
        <v>338</v>
      </c>
      <c r="C370" s="80">
        <v>8606264</v>
      </c>
      <c r="D370" s="80">
        <v>4909423065</v>
      </c>
      <c r="E370" s="80" t="s">
        <v>1598</v>
      </c>
      <c r="F370" s="20">
        <v>45218</v>
      </c>
      <c r="G370" s="106" t="s">
        <v>1602</v>
      </c>
      <c r="H370" s="80" t="s">
        <v>192</v>
      </c>
      <c r="I370" s="17">
        <v>5212256</v>
      </c>
      <c r="J370" s="17" t="s">
        <v>22</v>
      </c>
      <c r="K370" s="106"/>
      <c r="L370" s="80">
        <v>0</v>
      </c>
      <c r="M370" s="80">
        <v>25</v>
      </c>
      <c r="N370" s="80">
        <v>409</v>
      </c>
      <c r="O370" s="80">
        <f t="shared" si="311"/>
        <v>10225</v>
      </c>
      <c r="P370" s="106" t="s">
        <v>477</v>
      </c>
      <c r="Q370" s="80" t="s">
        <v>159</v>
      </c>
      <c r="R370" s="106" t="s">
        <v>209</v>
      </c>
      <c r="S370" s="80" t="s">
        <v>712</v>
      </c>
      <c r="T370" s="80">
        <v>2796</v>
      </c>
      <c r="U370" s="20">
        <v>45251</v>
      </c>
      <c r="V370" s="20">
        <v>45252</v>
      </c>
      <c r="W370" s="106"/>
      <c r="X370" s="24">
        <v>45252.4375</v>
      </c>
      <c r="Y370" s="24">
        <v>45252.677083333336</v>
      </c>
      <c r="Z370" s="25">
        <f t="shared" si="316"/>
        <v>0.23958333333575865</v>
      </c>
      <c r="AA370" s="24">
        <v>45252.583333333336</v>
      </c>
      <c r="AB370" s="24">
        <v>45252.677083333336</v>
      </c>
      <c r="AC370" s="25">
        <f t="shared" si="317"/>
        <v>9.375E-2</v>
      </c>
    </row>
    <row r="371" spans="1:29" x14ac:dyDescent="0.25">
      <c r="A371" s="12">
        <v>45252</v>
      </c>
      <c r="B371" s="80">
        <v>339</v>
      </c>
      <c r="C371" s="80">
        <v>8657969</v>
      </c>
      <c r="D371" s="80">
        <v>4909429623</v>
      </c>
      <c r="E371" s="80" t="s">
        <v>1597</v>
      </c>
      <c r="F371" s="20">
        <v>45219</v>
      </c>
      <c r="G371" s="106" t="s">
        <v>1603</v>
      </c>
      <c r="H371" s="80" t="s">
        <v>192</v>
      </c>
      <c r="I371" s="17">
        <v>5212252</v>
      </c>
      <c r="J371" s="17" t="s">
        <v>23</v>
      </c>
      <c r="K371" s="106"/>
      <c r="L371" s="80">
        <v>0</v>
      </c>
      <c r="M371" s="80">
        <v>25</v>
      </c>
      <c r="N371" s="80">
        <v>394</v>
      </c>
      <c r="O371" s="80">
        <f t="shared" si="311"/>
        <v>9850</v>
      </c>
      <c r="P371" s="106" t="s">
        <v>477</v>
      </c>
      <c r="Q371" s="80" t="s">
        <v>771</v>
      </c>
      <c r="R371" s="106" t="s">
        <v>209</v>
      </c>
      <c r="S371" s="80" t="s">
        <v>1605</v>
      </c>
      <c r="T371" s="80">
        <v>1254</v>
      </c>
      <c r="U371" s="20">
        <v>45251</v>
      </c>
      <c r="V371" s="20">
        <v>45252</v>
      </c>
      <c r="W371" s="106"/>
      <c r="X371" s="24">
        <v>45252.479166666664</v>
      </c>
      <c r="Y371" s="24">
        <v>45252.71875</v>
      </c>
      <c r="Z371" s="25">
        <f t="shared" si="316"/>
        <v>0.23958333333575865</v>
      </c>
      <c r="AA371" s="24">
        <v>45252.625</v>
      </c>
      <c r="AB371" s="24">
        <v>45252.71875</v>
      </c>
      <c r="AC371" s="25">
        <f t="shared" si="317"/>
        <v>9.375E-2</v>
      </c>
    </row>
    <row r="372" spans="1:29" x14ac:dyDescent="0.25">
      <c r="A372" s="12">
        <v>45252</v>
      </c>
      <c r="B372" s="80">
        <v>339</v>
      </c>
      <c r="C372" s="80">
        <v>8657969</v>
      </c>
      <c r="D372" s="80">
        <v>4909429623</v>
      </c>
      <c r="E372" s="80" t="s">
        <v>1597</v>
      </c>
      <c r="F372" s="20">
        <v>45219</v>
      </c>
      <c r="G372" s="80" t="s">
        <v>1604</v>
      </c>
      <c r="H372" s="80" t="s">
        <v>192</v>
      </c>
      <c r="I372" s="17">
        <v>5212252</v>
      </c>
      <c r="J372" s="17" t="s">
        <v>23</v>
      </c>
      <c r="K372" s="106"/>
      <c r="L372" s="80">
        <v>0</v>
      </c>
      <c r="M372" s="80">
        <v>25</v>
      </c>
      <c r="N372" s="80">
        <v>22</v>
      </c>
      <c r="O372" s="80">
        <f t="shared" si="311"/>
        <v>550</v>
      </c>
      <c r="P372" s="106" t="s">
        <v>477</v>
      </c>
      <c r="Q372" s="80" t="s">
        <v>771</v>
      </c>
      <c r="R372" s="106" t="s">
        <v>209</v>
      </c>
      <c r="S372" s="80" t="s">
        <v>1605</v>
      </c>
      <c r="T372" s="80">
        <v>1254</v>
      </c>
      <c r="U372" s="20">
        <v>45251</v>
      </c>
      <c r="V372" s="20">
        <v>45252</v>
      </c>
      <c r="W372" s="106"/>
      <c r="X372" s="24">
        <v>45252.479166666664</v>
      </c>
      <c r="Y372" s="24">
        <v>45252.71875</v>
      </c>
      <c r="Z372" s="25">
        <f t="shared" ref="Z372:Z375" si="318">Y372-X372</f>
        <v>0.23958333333575865</v>
      </c>
      <c r="AA372" s="24">
        <v>45252.625</v>
      </c>
      <c r="AB372" s="24">
        <v>45252.71875</v>
      </c>
      <c r="AC372" s="25">
        <f t="shared" ref="AC372:AC375" si="319">AB372-AA372</f>
        <v>9.375E-2</v>
      </c>
    </row>
    <row r="373" spans="1:29" x14ac:dyDescent="0.25">
      <c r="A373" s="12">
        <v>45252</v>
      </c>
      <c r="B373" s="80">
        <v>339</v>
      </c>
      <c r="C373" s="80">
        <v>8657969</v>
      </c>
      <c r="D373" s="80">
        <v>4909429623</v>
      </c>
      <c r="E373" s="80" t="s">
        <v>1597</v>
      </c>
      <c r="F373" s="20">
        <v>45219</v>
      </c>
      <c r="G373" s="80" t="s">
        <v>1545</v>
      </c>
      <c r="H373" s="80" t="s">
        <v>192</v>
      </c>
      <c r="I373" s="17">
        <v>5212252</v>
      </c>
      <c r="J373" s="17" t="s">
        <v>23</v>
      </c>
      <c r="K373" s="106"/>
      <c r="L373" s="80">
        <v>0</v>
      </c>
      <c r="M373" s="80">
        <v>25</v>
      </c>
      <c r="N373" s="80">
        <v>624</v>
      </c>
      <c r="O373" s="80">
        <f t="shared" si="311"/>
        <v>15600</v>
      </c>
      <c r="P373" s="106" t="s">
        <v>477</v>
      </c>
      <c r="Q373" s="80" t="s">
        <v>771</v>
      </c>
      <c r="R373" s="106" t="s">
        <v>209</v>
      </c>
      <c r="S373" s="80" t="s">
        <v>1605</v>
      </c>
      <c r="T373" s="80">
        <v>1254</v>
      </c>
      <c r="U373" s="20">
        <v>45251</v>
      </c>
      <c r="V373" s="20">
        <v>45252</v>
      </c>
      <c r="W373" s="106"/>
      <c r="X373" s="24">
        <v>45252.479166666664</v>
      </c>
      <c r="Y373" s="24">
        <v>45252.71875</v>
      </c>
      <c r="Z373" s="25">
        <f t="shared" si="318"/>
        <v>0.23958333333575865</v>
      </c>
      <c r="AA373" s="24">
        <v>45252.625</v>
      </c>
      <c r="AB373" s="24">
        <v>45252.71875</v>
      </c>
      <c r="AC373" s="25">
        <f t="shared" si="319"/>
        <v>9.375E-2</v>
      </c>
    </row>
    <row r="374" spans="1:29" x14ac:dyDescent="0.25">
      <c r="A374" s="12">
        <v>45253</v>
      </c>
      <c r="B374" s="80">
        <v>340</v>
      </c>
      <c r="C374" s="80">
        <v>8606063</v>
      </c>
      <c r="D374" s="80">
        <v>4909490420</v>
      </c>
      <c r="E374" s="80" t="s">
        <v>1617</v>
      </c>
      <c r="F374" s="20">
        <v>45222</v>
      </c>
      <c r="G374" s="106" t="s">
        <v>1616</v>
      </c>
      <c r="H374" s="80" t="s">
        <v>192</v>
      </c>
      <c r="I374" s="17">
        <v>5211013</v>
      </c>
      <c r="J374" s="17" t="s">
        <v>27</v>
      </c>
      <c r="K374" s="106"/>
      <c r="L374" s="80">
        <v>0</v>
      </c>
      <c r="M374" s="80">
        <v>25</v>
      </c>
      <c r="N374" s="80">
        <v>1040</v>
      </c>
      <c r="O374" s="80">
        <f t="shared" si="311"/>
        <v>26000</v>
      </c>
      <c r="P374" s="106" t="s">
        <v>477</v>
      </c>
      <c r="Q374" s="80" t="s">
        <v>159</v>
      </c>
      <c r="R374" s="106" t="s">
        <v>209</v>
      </c>
      <c r="S374" s="80" t="s">
        <v>712</v>
      </c>
      <c r="T374" s="80">
        <v>14456</v>
      </c>
      <c r="U374" s="20">
        <v>45252</v>
      </c>
      <c r="V374" s="20">
        <v>45253</v>
      </c>
      <c r="W374" s="106"/>
      <c r="X374" s="24">
        <v>45253.4375</v>
      </c>
      <c r="Y374" s="24">
        <v>45253.708333333336</v>
      </c>
      <c r="Z374" s="25">
        <f t="shared" si="318"/>
        <v>0.27083333333575865</v>
      </c>
      <c r="AA374" s="24">
        <v>45253.666666666664</v>
      </c>
      <c r="AB374" s="24">
        <v>45253.708333333336</v>
      </c>
      <c r="AC374" s="25">
        <f t="shared" si="319"/>
        <v>4.1666666671517305E-2</v>
      </c>
    </row>
    <row r="375" spans="1:29" x14ac:dyDescent="0.25">
      <c r="A375" s="12">
        <v>45253</v>
      </c>
      <c r="B375" s="80">
        <v>341</v>
      </c>
      <c r="C375" s="80">
        <v>8606063</v>
      </c>
      <c r="D375" s="80">
        <v>4909490420</v>
      </c>
      <c r="E375" s="80" t="s">
        <v>1617</v>
      </c>
      <c r="F375" s="20">
        <v>45222</v>
      </c>
      <c r="G375" s="106" t="s">
        <v>1616</v>
      </c>
      <c r="H375" s="80" t="s">
        <v>192</v>
      </c>
      <c r="I375" s="17">
        <v>5211013</v>
      </c>
      <c r="J375" s="17" t="s">
        <v>27</v>
      </c>
      <c r="K375" s="106"/>
      <c r="L375" s="80">
        <v>0</v>
      </c>
      <c r="M375" s="80">
        <v>25</v>
      </c>
      <c r="N375" s="80">
        <v>212</v>
      </c>
      <c r="O375" s="80">
        <f t="shared" si="311"/>
        <v>5300</v>
      </c>
      <c r="P375" s="106" t="s">
        <v>477</v>
      </c>
      <c r="Q375" s="80" t="s">
        <v>159</v>
      </c>
      <c r="R375" s="106" t="s">
        <v>209</v>
      </c>
      <c r="S375" s="80" t="s">
        <v>715</v>
      </c>
      <c r="T375" s="80">
        <v>14455</v>
      </c>
      <c r="U375" s="20">
        <v>45252</v>
      </c>
      <c r="V375" s="20">
        <v>45253</v>
      </c>
      <c r="W375" s="106"/>
      <c r="X375" s="24">
        <v>45253.479166666664</v>
      </c>
      <c r="Y375" s="24">
        <v>45253.75</v>
      </c>
      <c r="Z375" s="25">
        <f t="shared" si="318"/>
        <v>0.27083333333575865</v>
      </c>
      <c r="AA375" s="24">
        <v>45253.708333333336</v>
      </c>
      <c r="AB375" s="24">
        <v>45253.75</v>
      </c>
      <c r="AC375" s="25">
        <f t="shared" si="319"/>
        <v>4.1666666664241347E-2</v>
      </c>
    </row>
    <row r="376" spans="1:29" x14ac:dyDescent="0.25">
      <c r="A376" s="12">
        <v>45253</v>
      </c>
      <c r="B376" s="80">
        <v>341</v>
      </c>
      <c r="C376" s="80">
        <v>8606063</v>
      </c>
      <c r="D376" s="80">
        <v>4909490420</v>
      </c>
      <c r="E376" s="80" t="s">
        <v>1617</v>
      </c>
      <c r="F376" s="20">
        <v>45222</v>
      </c>
      <c r="G376" s="106" t="s">
        <v>1618</v>
      </c>
      <c r="H376" s="80" t="s">
        <v>192</v>
      </c>
      <c r="I376" s="17">
        <v>5211013</v>
      </c>
      <c r="J376" s="17" t="s">
        <v>27</v>
      </c>
      <c r="K376" s="106"/>
      <c r="L376" s="80">
        <v>0</v>
      </c>
      <c r="M376" s="80">
        <v>25</v>
      </c>
      <c r="N376" s="80">
        <v>29</v>
      </c>
      <c r="O376" s="80">
        <f t="shared" si="311"/>
        <v>725</v>
      </c>
      <c r="P376" s="106" t="s">
        <v>477</v>
      </c>
      <c r="Q376" s="80" t="s">
        <v>159</v>
      </c>
      <c r="R376" s="106" t="s">
        <v>209</v>
      </c>
      <c r="S376" s="80" t="s">
        <v>715</v>
      </c>
      <c r="T376" s="80">
        <v>14455</v>
      </c>
      <c r="U376" s="20">
        <v>45252</v>
      </c>
      <c r="V376" s="20">
        <v>45253</v>
      </c>
      <c r="W376" s="106"/>
      <c r="X376" s="24">
        <v>45253.479166666664</v>
      </c>
      <c r="Y376" s="24">
        <v>45253.75</v>
      </c>
      <c r="Z376" s="25">
        <f t="shared" ref="Z376:Z378" si="320">Y376-X376</f>
        <v>0.27083333333575865</v>
      </c>
      <c r="AA376" s="24">
        <v>45253.708333333336</v>
      </c>
      <c r="AB376" s="24">
        <v>45253.75</v>
      </c>
      <c r="AC376" s="25">
        <f t="shared" ref="AC376:AC378" si="321">AB376-AA376</f>
        <v>4.1666666664241347E-2</v>
      </c>
    </row>
    <row r="377" spans="1:29" x14ac:dyDescent="0.25">
      <c r="A377" s="12">
        <v>45253</v>
      </c>
      <c r="B377" s="80">
        <v>341</v>
      </c>
      <c r="C377" s="80">
        <v>8606063</v>
      </c>
      <c r="D377" s="80">
        <v>4909490420</v>
      </c>
      <c r="E377" s="80" t="s">
        <v>1617</v>
      </c>
      <c r="F377" s="20">
        <v>45222</v>
      </c>
      <c r="G377" s="106" t="s">
        <v>1619</v>
      </c>
      <c r="H377" s="80" t="s">
        <v>192</v>
      </c>
      <c r="I377" s="17">
        <v>5211013</v>
      </c>
      <c r="J377" s="17" t="s">
        <v>27</v>
      </c>
      <c r="K377" s="106"/>
      <c r="L377" s="80">
        <v>0</v>
      </c>
      <c r="M377" s="80">
        <v>25</v>
      </c>
      <c r="N377" s="80">
        <v>799</v>
      </c>
      <c r="O377" s="80">
        <f t="shared" si="311"/>
        <v>19975</v>
      </c>
      <c r="P377" s="106" t="s">
        <v>477</v>
      </c>
      <c r="Q377" s="80" t="s">
        <v>159</v>
      </c>
      <c r="R377" s="106" t="s">
        <v>209</v>
      </c>
      <c r="S377" s="80" t="s">
        <v>715</v>
      </c>
      <c r="T377" s="80">
        <v>14455</v>
      </c>
      <c r="U377" s="20">
        <v>45252</v>
      </c>
      <c r="V377" s="20">
        <v>45253</v>
      </c>
      <c r="W377" s="106"/>
      <c r="X377" s="24">
        <v>45253.479166666664</v>
      </c>
      <c r="Y377" s="24">
        <v>45253.75</v>
      </c>
      <c r="Z377" s="25">
        <f t="shared" si="320"/>
        <v>0.27083333333575865</v>
      </c>
      <c r="AA377" s="24">
        <v>45253.708333333336</v>
      </c>
      <c r="AB377" s="24">
        <v>45253.75</v>
      </c>
      <c r="AC377" s="25">
        <f t="shared" si="321"/>
        <v>4.1666666664241347E-2</v>
      </c>
    </row>
    <row r="378" spans="1:29" x14ac:dyDescent="0.25">
      <c r="A378" s="12">
        <v>45253</v>
      </c>
      <c r="B378" s="80">
        <v>342</v>
      </c>
      <c r="C378" s="80">
        <v>8750260</v>
      </c>
      <c r="D378" s="80" t="s">
        <v>1664</v>
      </c>
      <c r="E378" s="80" t="s">
        <v>1620</v>
      </c>
      <c r="F378" s="20">
        <v>45222</v>
      </c>
      <c r="G378" s="106" t="s">
        <v>1621</v>
      </c>
      <c r="H378" s="80" t="s">
        <v>192</v>
      </c>
      <c r="I378" s="17">
        <v>5211014</v>
      </c>
      <c r="J378" s="17" t="s">
        <v>38</v>
      </c>
      <c r="K378" s="106"/>
      <c r="L378" s="80">
        <v>0</v>
      </c>
      <c r="M378" s="80">
        <v>25</v>
      </c>
      <c r="N378" s="80">
        <v>520</v>
      </c>
      <c r="O378" s="80">
        <f t="shared" si="311"/>
        <v>13000</v>
      </c>
      <c r="P378" s="106" t="s">
        <v>477</v>
      </c>
      <c r="Q378" s="80" t="s">
        <v>247</v>
      </c>
      <c r="R378" s="106" t="s">
        <v>209</v>
      </c>
      <c r="S378" s="80" t="s">
        <v>377</v>
      </c>
      <c r="T378" s="80">
        <v>49</v>
      </c>
      <c r="U378" s="20">
        <v>45252</v>
      </c>
      <c r="V378" s="20">
        <v>45253</v>
      </c>
      <c r="W378" s="106"/>
      <c r="X378" s="24">
        <v>45253.5625</v>
      </c>
      <c r="Y378" s="24">
        <v>45253.791666666664</v>
      </c>
      <c r="Z378" s="25">
        <f t="shared" si="320"/>
        <v>0.22916666666424135</v>
      </c>
      <c r="AA378" s="24">
        <v>45253.708333333336</v>
      </c>
      <c r="AB378" s="24">
        <v>45253.736111111109</v>
      </c>
      <c r="AC378" s="25">
        <f t="shared" si="321"/>
        <v>2.7777777773735579E-2</v>
      </c>
    </row>
    <row r="379" spans="1:29" x14ac:dyDescent="0.25">
      <c r="A379" s="12">
        <v>45253</v>
      </c>
      <c r="B379" s="80">
        <v>342</v>
      </c>
      <c r="C379" s="80">
        <v>8750260</v>
      </c>
      <c r="D379" s="80" t="s">
        <v>1665</v>
      </c>
      <c r="E379" s="80" t="s">
        <v>1620</v>
      </c>
      <c r="F379" s="20">
        <v>45222</v>
      </c>
      <c r="G379" s="106" t="s">
        <v>1622</v>
      </c>
      <c r="H379" s="80" t="s">
        <v>192</v>
      </c>
      <c r="I379" s="17">
        <v>5212259</v>
      </c>
      <c r="J379" s="17" t="s">
        <v>26</v>
      </c>
      <c r="K379" s="106"/>
      <c r="L379" s="80">
        <v>0</v>
      </c>
      <c r="M379" s="80">
        <v>25</v>
      </c>
      <c r="N379" s="80">
        <v>520</v>
      </c>
      <c r="O379" s="80">
        <f t="shared" si="311"/>
        <v>13000</v>
      </c>
      <c r="P379" s="106" t="s">
        <v>477</v>
      </c>
      <c r="Q379" s="80" t="s">
        <v>247</v>
      </c>
      <c r="R379" s="106" t="s">
        <v>209</v>
      </c>
      <c r="S379" s="80" t="s">
        <v>377</v>
      </c>
      <c r="T379" s="80">
        <v>49</v>
      </c>
      <c r="U379" s="20">
        <v>45252</v>
      </c>
      <c r="V379" s="20">
        <v>45253</v>
      </c>
      <c r="W379" s="106"/>
      <c r="X379" s="24">
        <v>45253.5625</v>
      </c>
      <c r="Y379" s="24">
        <v>45253.791666666664</v>
      </c>
      <c r="Z379" s="25">
        <f t="shared" ref="Z379:Z381" si="322">Y379-X379</f>
        <v>0.22916666666424135</v>
      </c>
      <c r="AA379" s="24">
        <v>45253.708333333336</v>
      </c>
      <c r="AB379" s="24">
        <v>45253.736111111109</v>
      </c>
      <c r="AC379" s="25">
        <f t="shared" ref="AC379:AC381" si="323">AB379-AA379</f>
        <v>2.7777777773735579E-2</v>
      </c>
    </row>
    <row r="380" spans="1:29" x14ac:dyDescent="0.25">
      <c r="A380" s="12">
        <v>45254</v>
      </c>
      <c r="B380" s="80">
        <v>343</v>
      </c>
      <c r="C380" s="80">
        <v>8603335</v>
      </c>
      <c r="D380" s="80">
        <v>4909493486</v>
      </c>
      <c r="E380" s="80" t="s">
        <v>1633</v>
      </c>
      <c r="F380" s="20">
        <v>45222</v>
      </c>
      <c r="G380" s="106" t="s">
        <v>1634</v>
      </c>
      <c r="H380" s="80" t="s">
        <v>192</v>
      </c>
      <c r="I380" s="17">
        <v>5212252</v>
      </c>
      <c r="J380" s="17" t="s">
        <v>23</v>
      </c>
      <c r="K380" s="106"/>
      <c r="L380" s="80">
        <v>0</v>
      </c>
      <c r="M380" s="80">
        <v>25</v>
      </c>
      <c r="N380" s="80">
        <v>1040</v>
      </c>
      <c r="O380" s="80">
        <f t="shared" si="311"/>
        <v>26000</v>
      </c>
      <c r="P380" s="106" t="s">
        <v>477</v>
      </c>
      <c r="Q380" s="80" t="s">
        <v>159</v>
      </c>
      <c r="R380" s="106" t="s">
        <v>209</v>
      </c>
      <c r="S380" s="80" t="s">
        <v>715</v>
      </c>
      <c r="T380" s="80">
        <v>14466</v>
      </c>
      <c r="U380" s="20">
        <v>45253</v>
      </c>
      <c r="V380" s="20">
        <v>45254</v>
      </c>
      <c r="W380" s="106"/>
      <c r="X380" s="24">
        <v>45254.4375</v>
      </c>
      <c r="Y380" s="24">
        <v>45254.520833333336</v>
      </c>
      <c r="Z380" s="25">
        <f t="shared" si="322"/>
        <v>8.3333333335758653E-2</v>
      </c>
      <c r="AA380" s="24">
        <v>45254.451388888891</v>
      </c>
      <c r="AB380" s="24">
        <v>45254.5</v>
      </c>
      <c r="AC380" s="25">
        <f t="shared" si="323"/>
        <v>4.8611111109494232E-2</v>
      </c>
    </row>
    <row r="381" spans="1:29" x14ac:dyDescent="0.25">
      <c r="A381" s="12">
        <v>45254</v>
      </c>
      <c r="B381" s="80">
        <v>344</v>
      </c>
      <c r="C381" s="80">
        <v>8743920</v>
      </c>
      <c r="D381" s="80">
        <v>4909493608</v>
      </c>
      <c r="E381" s="80" t="s">
        <v>1635</v>
      </c>
      <c r="F381" s="20">
        <v>45219</v>
      </c>
      <c r="G381" s="85" t="s">
        <v>1636</v>
      </c>
      <c r="H381" s="80" t="s">
        <v>192</v>
      </c>
      <c r="I381" s="17">
        <v>5211013</v>
      </c>
      <c r="J381" s="17" t="s">
        <v>27</v>
      </c>
      <c r="K381" s="106"/>
      <c r="L381" s="80">
        <v>0</v>
      </c>
      <c r="M381" s="80">
        <v>25</v>
      </c>
      <c r="N381" s="80">
        <v>1040</v>
      </c>
      <c r="O381" s="80">
        <f t="shared" si="311"/>
        <v>26000</v>
      </c>
      <c r="P381" s="106" t="s">
        <v>477</v>
      </c>
      <c r="Q381" s="80" t="s">
        <v>247</v>
      </c>
      <c r="R381" s="106" t="s">
        <v>209</v>
      </c>
      <c r="S381" s="80" t="s">
        <v>1133</v>
      </c>
      <c r="T381" s="80">
        <v>53</v>
      </c>
      <c r="U381" s="20">
        <v>45253</v>
      </c>
      <c r="V381" s="20">
        <v>45254</v>
      </c>
      <c r="W381" s="106"/>
      <c r="X381" s="24">
        <v>45254.416666666664</v>
      </c>
      <c r="Y381" s="24">
        <v>45254.486111111109</v>
      </c>
      <c r="Z381" s="25">
        <f t="shared" si="322"/>
        <v>6.9444444445252884E-2</v>
      </c>
      <c r="AA381" s="24">
        <v>45254.447916666664</v>
      </c>
      <c r="AB381" s="24">
        <v>45254.482638888891</v>
      </c>
      <c r="AC381" s="25">
        <f t="shared" si="323"/>
        <v>3.4722222226264421E-2</v>
      </c>
    </row>
    <row r="382" spans="1:29" x14ac:dyDescent="0.25">
      <c r="A382" s="12">
        <v>45254</v>
      </c>
      <c r="B382" s="80">
        <v>345</v>
      </c>
      <c r="C382" s="80">
        <v>8603335</v>
      </c>
      <c r="D382" s="80">
        <v>4909493486</v>
      </c>
      <c r="E382" s="80" t="s">
        <v>1633</v>
      </c>
      <c r="F382" s="20">
        <v>45222</v>
      </c>
      <c r="G382" s="106" t="s">
        <v>1638</v>
      </c>
      <c r="H382" s="80" t="s">
        <v>192</v>
      </c>
      <c r="I382" s="17">
        <v>5212252</v>
      </c>
      <c r="J382" s="17" t="s">
        <v>23</v>
      </c>
      <c r="K382" s="106"/>
      <c r="L382" s="80">
        <v>0</v>
      </c>
      <c r="M382" s="80">
        <v>25</v>
      </c>
      <c r="N382" s="80">
        <v>548</v>
      </c>
      <c r="O382" s="80">
        <f t="shared" ref="O382:O385" si="324">M382*N382</f>
        <v>13700</v>
      </c>
      <c r="P382" s="106" t="s">
        <v>477</v>
      </c>
      <c r="Q382" s="80" t="s">
        <v>159</v>
      </c>
      <c r="R382" s="106" t="s">
        <v>209</v>
      </c>
      <c r="S382" s="80" t="s">
        <v>712</v>
      </c>
      <c r="T382" s="80">
        <v>14465</v>
      </c>
      <c r="U382" s="20">
        <v>45253</v>
      </c>
      <c r="V382" s="20">
        <v>45254</v>
      </c>
      <c r="W382" s="106"/>
      <c r="X382" s="24">
        <v>45254.416666666664</v>
      </c>
      <c r="Y382" s="24">
        <v>45254.708333333336</v>
      </c>
      <c r="Z382" s="25">
        <f t="shared" ref="Z382:Z385" si="325">Y382-X382</f>
        <v>0.29166666667151731</v>
      </c>
      <c r="AA382" s="24">
        <v>45254.666666666664</v>
      </c>
      <c r="AB382" s="24">
        <v>45254.708333333336</v>
      </c>
      <c r="AC382" s="25">
        <f t="shared" ref="AC382:AC385" si="326">AB382-AA382</f>
        <v>4.1666666671517305E-2</v>
      </c>
    </row>
    <row r="383" spans="1:29" x14ac:dyDescent="0.25">
      <c r="A383" s="12">
        <v>45254</v>
      </c>
      <c r="B383" s="80">
        <v>345</v>
      </c>
      <c r="C383" s="80">
        <v>8603335</v>
      </c>
      <c r="D383" s="80">
        <v>4909493486</v>
      </c>
      <c r="E383" s="80" t="s">
        <v>1633</v>
      </c>
      <c r="F383" s="20">
        <v>45222</v>
      </c>
      <c r="G383" s="106" t="s">
        <v>1634</v>
      </c>
      <c r="H383" s="80" t="s">
        <v>192</v>
      </c>
      <c r="I383" s="17">
        <v>5212252</v>
      </c>
      <c r="J383" s="17" t="s">
        <v>23</v>
      </c>
      <c r="K383" s="106"/>
      <c r="L383" s="80">
        <v>0</v>
      </c>
      <c r="M383" s="80">
        <v>25</v>
      </c>
      <c r="N383" s="80">
        <v>320</v>
      </c>
      <c r="O383" s="80">
        <f t="shared" ref="O383:O384" si="327">M383*N383</f>
        <v>8000</v>
      </c>
      <c r="P383" s="106" t="s">
        <v>477</v>
      </c>
      <c r="Q383" s="80" t="s">
        <v>159</v>
      </c>
      <c r="R383" s="106" t="s">
        <v>209</v>
      </c>
      <c r="S383" s="80" t="s">
        <v>712</v>
      </c>
      <c r="T383" s="80">
        <v>14465</v>
      </c>
      <c r="U383" s="20">
        <v>45253</v>
      </c>
      <c r="V383" s="20">
        <v>45254</v>
      </c>
      <c r="W383" s="106"/>
      <c r="X383" s="24">
        <v>45254.416666666664</v>
      </c>
      <c r="Y383" s="24">
        <v>45254.708333333336</v>
      </c>
      <c r="Z383" s="25">
        <f t="shared" ref="Z383:Z384" si="328">Y383-X383</f>
        <v>0.29166666667151731</v>
      </c>
      <c r="AA383" s="24">
        <v>45254.666666666664</v>
      </c>
      <c r="AB383" s="24">
        <v>45254.708333333336</v>
      </c>
      <c r="AC383" s="25">
        <f t="shared" ref="AC383:AC384" si="329">AB383-AA383</f>
        <v>4.1666666671517305E-2</v>
      </c>
    </row>
    <row r="384" spans="1:29" x14ac:dyDescent="0.25">
      <c r="A384" s="12">
        <v>45254</v>
      </c>
      <c r="B384" s="80">
        <v>345</v>
      </c>
      <c r="C384" s="80">
        <v>8603335</v>
      </c>
      <c r="D384" s="80">
        <v>4909493486</v>
      </c>
      <c r="E384" s="80" t="s">
        <v>1633</v>
      </c>
      <c r="F384" s="20">
        <v>45222</v>
      </c>
      <c r="G384" s="106" t="s">
        <v>1639</v>
      </c>
      <c r="H384" s="80" t="s">
        <v>192</v>
      </c>
      <c r="I384" s="17">
        <v>5212252</v>
      </c>
      <c r="J384" s="17" t="s">
        <v>23</v>
      </c>
      <c r="K384" s="106"/>
      <c r="L384" s="80">
        <v>0</v>
      </c>
      <c r="M384" s="80">
        <v>25</v>
      </c>
      <c r="N384" s="80">
        <v>172</v>
      </c>
      <c r="O384" s="80">
        <f t="shared" si="327"/>
        <v>4300</v>
      </c>
      <c r="P384" s="106" t="s">
        <v>477</v>
      </c>
      <c r="Q384" s="80" t="s">
        <v>159</v>
      </c>
      <c r="R384" s="106" t="s">
        <v>209</v>
      </c>
      <c r="S384" s="80" t="s">
        <v>712</v>
      </c>
      <c r="T384" s="80">
        <v>14465</v>
      </c>
      <c r="U384" s="20">
        <v>45253</v>
      </c>
      <c r="V384" s="20">
        <v>45254</v>
      </c>
      <c r="W384" s="106"/>
      <c r="X384" s="24">
        <v>45254.416666666664</v>
      </c>
      <c r="Y384" s="24">
        <v>45254.708333333336</v>
      </c>
      <c r="Z384" s="25">
        <f t="shared" si="328"/>
        <v>0.29166666667151731</v>
      </c>
      <c r="AA384" s="24">
        <v>45254.666666666664</v>
      </c>
      <c r="AB384" s="24">
        <v>45254.708333333336</v>
      </c>
      <c r="AC384" s="25">
        <f t="shared" si="329"/>
        <v>4.1666666671517305E-2</v>
      </c>
    </row>
    <row r="385" spans="1:29" x14ac:dyDescent="0.25">
      <c r="A385" s="12">
        <v>45254</v>
      </c>
      <c r="B385" s="80">
        <v>346</v>
      </c>
      <c r="C385" s="80">
        <v>8743920</v>
      </c>
      <c r="D385" s="80">
        <v>4909493608</v>
      </c>
      <c r="E385" s="80" t="s">
        <v>1635</v>
      </c>
      <c r="F385" s="20">
        <v>45219</v>
      </c>
      <c r="G385" s="85" t="s">
        <v>1637</v>
      </c>
      <c r="H385" s="80" t="s">
        <v>192</v>
      </c>
      <c r="I385" s="17">
        <v>5211013</v>
      </c>
      <c r="J385" s="17" t="s">
        <v>27</v>
      </c>
      <c r="K385" s="106"/>
      <c r="L385" s="80">
        <v>0</v>
      </c>
      <c r="M385" s="80">
        <v>25</v>
      </c>
      <c r="N385" s="80">
        <v>885</v>
      </c>
      <c r="O385" s="80">
        <f t="shared" si="324"/>
        <v>22125</v>
      </c>
      <c r="P385" s="106" t="s">
        <v>477</v>
      </c>
      <c r="Q385" s="80" t="s">
        <v>247</v>
      </c>
      <c r="R385" s="106" t="s">
        <v>209</v>
      </c>
      <c r="S385" s="80" t="s">
        <v>1540</v>
      </c>
      <c r="T385" s="80">
        <v>52</v>
      </c>
      <c r="U385" s="20">
        <v>45253</v>
      </c>
      <c r="V385" s="20">
        <v>45254</v>
      </c>
      <c r="W385" s="106"/>
      <c r="X385" s="24">
        <v>45254.416666666664</v>
      </c>
      <c r="Y385" s="24">
        <v>45254.8125</v>
      </c>
      <c r="Z385" s="25">
        <f t="shared" si="325"/>
        <v>0.39583333333575865</v>
      </c>
      <c r="AA385" s="24">
        <v>45254.71875</v>
      </c>
      <c r="AB385" s="24">
        <v>45254.8125</v>
      </c>
      <c r="AC385" s="25">
        <f t="shared" si="326"/>
        <v>9.375E-2</v>
      </c>
    </row>
    <row r="386" spans="1:29" x14ac:dyDescent="0.25">
      <c r="A386" s="12">
        <v>45254</v>
      </c>
      <c r="B386" s="80">
        <v>346</v>
      </c>
      <c r="C386" s="80">
        <v>8743920</v>
      </c>
      <c r="D386" s="80">
        <v>4909493608</v>
      </c>
      <c r="E386" s="80" t="s">
        <v>1635</v>
      </c>
      <c r="F386" s="20">
        <v>45219</v>
      </c>
      <c r="G386" s="85" t="s">
        <v>1636</v>
      </c>
      <c r="H386" s="80" t="s">
        <v>192</v>
      </c>
      <c r="I386" s="17">
        <v>5211013</v>
      </c>
      <c r="J386" s="17" t="s">
        <v>27</v>
      </c>
      <c r="K386" s="106"/>
      <c r="L386" s="80">
        <v>0</v>
      </c>
      <c r="M386" s="80">
        <v>25</v>
      </c>
      <c r="N386" s="80">
        <v>155</v>
      </c>
      <c r="O386" s="80">
        <f t="shared" ref="O386:O397" si="330">M386*N386</f>
        <v>3875</v>
      </c>
      <c r="P386" s="106" t="s">
        <v>477</v>
      </c>
      <c r="Q386" s="80" t="s">
        <v>247</v>
      </c>
      <c r="R386" s="106" t="s">
        <v>209</v>
      </c>
      <c r="S386" s="80" t="s">
        <v>1540</v>
      </c>
      <c r="T386" s="80">
        <v>52</v>
      </c>
      <c r="U386" s="20">
        <v>45253</v>
      </c>
      <c r="V386" s="20">
        <v>45254</v>
      </c>
      <c r="W386" s="106"/>
      <c r="X386" s="24">
        <v>45254.416666666664</v>
      </c>
      <c r="Y386" s="24">
        <v>45254.8125</v>
      </c>
      <c r="Z386" s="25">
        <f t="shared" ref="Z386:Z390" si="331">Y386-X386</f>
        <v>0.39583333333575865</v>
      </c>
      <c r="AA386" s="24">
        <v>45254.71875</v>
      </c>
      <c r="AB386" s="24">
        <v>45254.8125</v>
      </c>
      <c r="AC386" s="25">
        <f t="shared" ref="AC386:AC390" si="332">AB386-AA386</f>
        <v>9.375E-2</v>
      </c>
    </row>
    <row r="387" spans="1:29" x14ac:dyDescent="0.25">
      <c r="A387" s="12">
        <v>45256</v>
      </c>
      <c r="B387" s="80">
        <v>347</v>
      </c>
      <c r="C387" s="80">
        <v>8737060</v>
      </c>
      <c r="D387" s="80">
        <v>4909599057</v>
      </c>
      <c r="E387" s="80" t="s">
        <v>1645</v>
      </c>
      <c r="F387" s="46">
        <v>45222</v>
      </c>
      <c r="G387" s="93" t="s">
        <v>1646</v>
      </c>
      <c r="H387" s="80" t="s">
        <v>132</v>
      </c>
      <c r="I387" s="17">
        <v>5230831</v>
      </c>
      <c r="J387" s="17" t="s">
        <v>35</v>
      </c>
      <c r="K387" s="50"/>
      <c r="L387" s="80">
        <v>0</v>
      </c>
      <c r="M387" s="80">
        <v>240</v>
      </c>
      <c r="N387" s="80">
        <v>80</v>
      </c>
      <c r="O387" s="80">
        <f t="shared" si="330"/>
        <v>19200</v>
      </c>
      <c r="P387" s="107" t="s">
        <v>477</v>
      </c>
      <c r="Q387" s="80" t="s">
        <v>247</v>
      </c>
      <c r="R387" s="80" t="s">
        <v>997</v>
      </c>
      <c r="S387" s="80" t="s">
        <v>1012</v>
      </c>
      <c r="T387" s="80">
        <v>61</v>
      </c>
      <c r="U387" s="46">
        <v>45255</v>
      </c>
      <c r="V387" s="46">
        <v>45256</v>
      </c>
      <c r="W387" s="50"/>
      <c r="X387" s="24">
        <v>45256.395833333336</v>
      </c>
      <c r="Y387" s="24">
        <v>45256.569444444445</v>
      </c>
      <c r="Z387" s="25">
        <f t="shared" si="331"/>
        <v>0.17361111110949423</v>
      </c>
      <c r="AA387" s="24">
        <v>45256.534722222219</v>
      </c>
      <c r="AB387" s="24">
        <v>45256.565972222219</v>
      </c>
      <c r="AC387" s="25">
        <f t="shared" si="332"/>
        <v>3.125E-2</v>
      </c>
    </row>
    <row r="388" spans="1:29" x14ac:dyDescent="0.25">
      <c r="A388" s="12">
        <v>45256</v>
      </c>
      <c r="B388" s="80">
        <v>348</v>
      </c>
      <c r="C388" s="80">
        <v>8737060</v>
      </c>
      <c r="D388" s="80">
        <v>4909599057</v>
      </c>
      <c r="E388" s="80" t="s">
        <v>1645</v>
      </c>
      <c r="F388" s="46">
        <v>45222</v>
      </c>
      <c r="G388" s="93" t="s">
        <v>1646</v>
      </c>
      <c r="H388" s="80" t="s">
        <v>132</v>
      </c>
      <c r="I388" s="17">
        <v>5230831</v>
      </c>
      <c r="J388" s="17" t="s">
        <v>35</v>
      </c>
      <c r="K388" s="50"/>
      <c r="L388" s="80">
        <v>0</v>
      </c>
      <c r="M388" s="80">
        <v>240</v>
      </c>
      <c r="N388" s="80">
        <v>80</v>
      </c>
      <c r="O388" s="80">
        <f t="shared" si="330"/>
        <v>19200</v>
      </c>
      <c r="P388" s="107" t="s">
        <v>477</v>
      </c>
      <c r="Q388" s="80" t="s">
        <v>247</v>
      </c>
      <c r="R388" s="80" t="s">
        <v>997</v>
      </c>
      <c r="S388" s="80" t="s">
        <v>1647</v>
      </c>
      <c r="T388" s="80">
        <v>59</v>
      </c>
      <c r="U388" s="46">
        <v>45255</v>
      </c>
      <c r="V388" s="46">
        <v>45256</v>
      </c>
      <c r="W388" s="50"/>
      <c r="X388" s="24">
        <v>45256.416666666664</v>
      </c>
      <c r="Y388" s="24">
        <v>45256.520833333336</v>
      </c>
      <c r="Z388" s="25">
        <f t="shared" si="331"/>
        <v>0.10416666667151731</v>
      </c>
      <c r="AA388" s="24">
        <v>45256.458333333336</v>
      </c>
      <c r="AB388" s="24">
        <v>45256.513888888891</v>
      </c>
      <c r="AC388" s="25">
        <f t="shared" si="332"/>
        <v>5.5555555554747116E-2</v>
      </c>
    </row>
    <row r="389" spans="1:29" x14ac:dyDescent="0.25">
      <c r="A389" s="12">
        <v>45256</v>
      </c>
      <c r="B389" s="80">
        <v>349</v>
      </c>
      <c r="C389" s="80">
        <v>8737060</v>
      </c>
      <c r="D389" s="80">
        <v>4909599057</v>
      </c>
      <c r="E389" s="80" t="s">
        <v>1645</v>
      </c>
      <c r="F389" s="46">
        <v>45222</v>
      </c>
      <c r="G389" s="93" t="s">
        <v>1646</v>
      </c>
      <c r="H389" s="80" t="s">
        <v>132</v>
      </c>
      <c r="I389" s="17">
        <v>5230831</v>
      </c>
      <c r="J389" s="17" t="s">
        <v>35</v>
      </c>
      <c r="K389" s="50"/>
      <c r="L389" s="80">
        <v>0</v>
      </c>
      <c r="M389" s="80">
        <v>240</v>
      </c>
      <c r="N389" s="80">
        <v>80</v>
      </c>
      <c r="O389" s="80">
        <f t="shared" si="330"/>
        <v>19200</v>
      </c>
      <c r="P389" s="107" t="s">
        <v>477</v>
      </c>
      <c r="Q389" s="80" t="s">
        <v>247</v>
      </c>
      <c r="R389" s="80" t="s">
        <v>997</v>
      </c>
      <c r="S389" s="80" t="s">
        <v>1648</v>
      </c>
      <c r="T389" s="80">
        <v>60</v>
      </c>
      <c r="U389" s="46">
        <v>45255</v>
      </c>
      <c r="V389" s="46">
        <v>45256</v>
      </c>
      <c r="W389" s="50"/>
      <c r="X389" s="24">
        <v>45256.451388888891</v>
      </c>
      <c r="Y389" s="24">
        <v>45256.524305555555</v>
      </c>
      <c r="Z389" s="25">
        <f t="shared" si="331"/>
        <v>7.2916666664241347E-2</v>
      </c>
      <c r="AA389" s="24">
        <v>45256.458333333336</v>
      </c>
      <c r="AB389" s="24">
        <v>45256.513888888891</v>
      </c>
      <c r="AC389" s="25">
        <f t="shared" si="332"/>
        <v>5.5555555554747116E-2</v>
      </c>
    </row>
    <row r="390" spans="1:29" x14ac:dyDescent="0.25">
      <c r="A390" s="12">
        <v>45256</v>
      </c>
      <c r="B390" s="80">
        <v>350</v>
      </c>
      <c r="C390" s="80">
        <v>8562277</v>
      </c>
      <c r="D390" s="80">
        <v>4909599094</v>
      </c>
      <c r="E390" s="80" t="s">
        <v>1649</v>
      </c>
      <c r="F390" s="46">
        <v>45233</v>
      </c>
      <c r="G390" s="80">
        <v>1230467962</v>
      </c>
      <c r="H390" s="80" t="s">
        <v>192</v>
      </c>
      <c r="I390" s="17">
        <v>5205449</v>
      </c>
      <c r="J390" s="17" t="s">
        <v>39</v>
      </c>
      <c r="K390" s="50"/>
      <c r="L390" s="80">
        <v>0</v>
      </c>
      <c r="M390" s="80">
        <v>25</v>
      </c>
      <c r="N390" s="80">
        <v>360</v>
      </c>
      <c r="O390" s="80">
        <f t="shared" si="330"/>
        <v>9000</v>
      </c>
      <c r="P390" s="107" t="s">
        <v>477</v>
      </c>
      <c r="Q390" s="80" t="s">
        <v>771</v>
      </c>
      <c r="R390" s="107" t="s">
        <v>209</v>
      </c>
      <c r="S390" s="80" t="s">
        <v>1650</v>
      </c>
      <c r="T390" s="80">
        <v>572</v>
      </c>
      <c r="U390" s="46">
        <v>45255</v>
      </c>
      <c r="V390" s="46">
        <v>45256</v>
      </c>
      <c r="W390" s="50"/>
      <c r="X390" s="24">
        <v>45256.402777777781</v>
      </c>
      <c r="Y390" s="24">
        <v>45256.645833333336</v>
      </c>
      <c r="Z390" s="25">
        <f t="shared" si="331"/>
        <v>0.24305555555474712</v>
      </c>
      <c r="AA390" s="24">
        <v>45256.611111111109</v>
      </c>
      <c r="AB390" s="24">
        <v>45256.645833333336</v>
      </c>
      <c r="AC390" s="25">
        <f t="shared" si="332"/>
        <v>3.4722222226264421E-2</v>
      </c>
    </row>
    <row r="391" spans="1:29" x14ac:dyDescent="0.25">
      <c r="A391" s="12">
        <v>45256</v>
      </c>
      <c r="B391" s="80">
        <v>350</v>
      </c>
      <c r="C391" s="80">
        <v>8562277</v>
      </c>
      <c r="D391" s="80">
        <v>4909599094</v>
      </c>
      <c r="E391" s="80" t="s">
        <v>1649</v>
      </c>
      <c r="F391" s="46">
        <v>45233</v>
      </c>
      <c r="G391" s="50">
        <v>1230468372</v>
      </c>
      <c r="H391" s="80" t="s">
        <v>192</v>
      </c>
      <c r="I391" s="17">
        <v>5205449</v>
      </c>
      <c r="J391" s="17" t="s">
        <v>39</v>
      </c>
      <c r="K391" s="50"/>
      <c r="L391" s="80">
        <v>0</v>
      </c>
      <c r="M391" s="80">
        <v>25</v>
      </c>
      <c r="N391" s="80">
        <v>720</v>
      </c>
      <c r="O391" s="80">
        <f t="shared" si="330"/>
        <v>18000</v>
      </c>
      <c r="P391" s="107" t="s">
        <v>477</v>
      </c>
      <c r="Q391" s="80" t="s">
        <v>771</v>
      </c>
      <c r="R391" s="107" t="s">
        <v>209</v>
      </c>
      <c r="S391" s="80" t="s">
        <v>1650</v>
      </c>
      <c r="T391" s="80">
        <v>572</v>
      </c>
      <c r="U391" s="46">
        <v>45255</v>
      </c>
      <c r="V391" s="46">
        <v>45256</v>
      </c>
      <c r="W391" s="50"/>
      <c r="X391" s="24">
        <v>45256.402777777781</v>
      </c>
      <c r="Y391" s="24">
        <v>45256.645833333336</v>
      </c>
      <c r="Z391" s="25">
        <f t="shared" ref="Z391:Z393" si="333">Y391-X391</f>
        <v>0.24305555555474712</v>
      </c>
      <c r="AA391" s="24">
        <v>45256.611111111109</v>
      </c>
      <c r="AB391" s="24">
        <v>45256.645833333336</v>
      </c>
      <c r="AC391" s="25">
        <f t="shared" ref="AC391:AC393" si="334">AB391-AA391</f>
        <v>3.4722222226264421E-2</v>
      </c>
    </row>
    <row r="392" spans="1:29" x14ac:dyDescent="0.25">
      <c r="A392" s="12">
        <v>45256</v>
      </c>
      <c r="B392" s="80">
        <v>351</v>
      </c>
      <c r="C392" s="80">
        <v>8825078</v>
      </c>
      <c r="D392" s="80">
        <v>4909599102</v>
      </c>
      <c r="E392" s="80" t="s">
        <v>1651</v>
      </c>
      <c r="F392" s="46">
        <v>45222</v>
      </c>
      <c r="G392" s="80" t="s">
        <v>1604</v>
      </c>
      <c r="H392" s="80" t="s">
        <v>192</v>
      </c>
      <c r="I392" s="17">
        <v>5212252</v>
      </c>
      <c r="J392" s="17" t="s">
        <v>23</v>
      </c>
      <c r="K392" s="50"/>
      <c r="L392" s="80">
        <v>0</v>
      </c>
      <c r="M392" s="80">
        <v>25</v>
      </c>
      <c r="N392" s="80">
        <v>1040</v>
      </c>
      <c r="O392" s="80">
        <f t="shared" si="330"/>
        <v>26000</v>
      </c>
      <c r="P392" s="107" t="s">
        <v>477</v>
      </c>
      <c r="Q392" s="80" t="s">
        <v>247</v>
      </c>
      <c r="R392" s="107" t="s">
        <v>209</v>
      </c>
      <c r="S392" s="80" t="s">
        <v>1540</v>
      </c>
      <c r="T392" s="80">
        <v>63</v>
      </c>
      <c r="U392" s="46">
        <v>45255</v>
      </c>
      <c r="V392" s="46">
        <v>45256</v>
      </c>
      <c r="W392" s="50"/>
      <c r="X392" s="24">
        <v>45256.473611111112</v>
      </c>
      <c r="Y392" s="24">
        <v>45256.569444444445</v>
      </c>
      <c r="Z392" s="25">
        <f t="shared" si="333"/>
        <v>9.5833333332848269E-2</v>
      </c>
      <c r="AA392" s="24">
        <v>45256.5</v>
      </c>
      <c r="AB392" s="24">
        <v>45256.5625</v>
      </c>
      <c r="AC392" s="25">
        <f t="shared" si="334"/>
        <v>6.25E-2</v>
      </c>
    </row>
    <row r="393" spans="1:29" x14ac:dyDescent="0.25">
      <c r="A393" s="12">
        <v>45256</v>
      </c>
      <c r="B393" s="80">
        <v>352</v>
      </c>
      <c r="C393" s="80">
        <v>8825078</v>
      </c>
      <c r="D393" s="80">
        <v>4909599102</v>
      </c>
      <c r="E393" s="80" t="s">
        <v>1651</v>
      </c>
      <c r="F393" s="46">
        <v>45222</v>
      </c>
      <c r="G393" s="67" t="s">
        <v>1638</v>
      </c>
      <c r="H393" s="80" t="s">
        <v>192</v>
      </c>
      <c r="I393" s="17">
        <v>5212252</v>
      </c>
      <c r="J393" s="17" t="s">
        <v>23</v>
      </c>
      <c r="K393" s="50"/>
      <c r="L393" s="80">
        <v>0</v>
      </c>
      <c r="M393" s="80">
        <v>25</v>
      </c>
      <c r="N393" s="80">
        <v>960</v>
      </c>
      <c r="O393" s="80">
        <f t="shared" si="330"/>
        <v>24000</v>
      </c>
      <c r="P393" s="107" t="s">
        <v>477</v>
      </c>
      <c r="Q393" s="80" t="s">
        <v>247</v>
      </c>
      <c r="R393" s="107" t="s">
        <v>209</v>
      </c>
      <c r="S393" s="80" t="s">
        <v>704</v>
      </c>
      <c r="T393" s="80">
        <v>62</v>
      </c>
      <c r="U393" s="46">
        <v>45255</v>
      </c>
      <c r="V393" s="46">
        <v>45256</v>
      </c>
      <c r="W393" s="50"/>
      <c r="X393" s="24">
        <v>45256.472222222219</v>
      </c>
      <c r="Y393" s="24">
        <v>45256.515277777777</v>
      </c>
      <c r="Z393" s="25">
        <f t="shared" si="333"/>
        <v>4.3055555557657499E-2</v>
      </c>
      <c r="AA393" s="24">
        <v>45256.486111111109</v>
      </c>
      <c r="AB393" s="24">
        <v>45256.510416666664</v>
      </c>
      <c r="AC393" s="25">
        <f t="shared" si="334"/>
        <v>2.4305555554747116E-2</v>
      </c>
    </row>
    <row r="394" spans="1:29" x14ac:dyDescent="0.25">
      <c r="A394" s="12">
        <v>45256</v>
      </c>
      <c r="B394" s="80">
        <v>352</v>
      </c>
      <c r="C394" s="80">
        <v>8825078</v>
      </c>
      <c r="D394" s="80">
        <v>4909599102</v>
      </c>
      <c r="E394" s="80" t="s">
        <v>1651</v>
      </c>
      <c r="F394" s="46">
        <v>45222</v>
      </c>
      <c r="G394" s="67" t="s">
        <v>1604</v>
      </c>
      <c r="H394" s="80" t="s">
        <v>192</v>
      </c>
      <c r="I394" s="17">
        <v>5212252</v>
      </c>
      <c r="J394" s="17" t="s">
        <v>23</v>
      </c>
      <c r="K394" s="50"/>
      <c r="L394" s="80">
        <v>0</v>
      </c>
      <c r="M394" s="80">
        <v>25</v>
      </c>
      <c r="N394" s="80">
        <v>80</v>
      </c>
      <c r="O394" s="80">
        <f t="shared" si="330"/>
        <v>2000</v>
      </c>
      <c r="P394" s="107" t="s">
        <v>477</v>
      </c>
      <c r="Q394" s="80" t="s">
        <v>247</v>
      </c>
      <c r="R394" s="107" t="s">
        <v>209</v>
      </c>
      <c r="S394" s="80" t="s">
        <v>704</v>
      </c>
      <c r="T394" s="80">
        <v>62</v>
      </c>
      <c r="U394" s="46">
        <v>45255</v>
      </c>
      <c r="V394" s="46">
        <v>45256</v>
      </c>
      <c r="W394" s="50"/>
      <c r="X394" s="24">
        <v>45256.472222222219</v>
      </c>
      <c r="Y394" s="24">
        <v>45256.515277777777</v>
      </c>
      <c r="Z394" s="25">
        <f t="shared" ref="Z394:Z397" si="335">Y394-X394</f>
        <v>4.3055555557657499E-2</v>
      </c>
      <c r="AA394" s="24">
        <v>45256.486111111109</v>
      </c>
      <c r="AB394" s="24">
        <v>45256.510416666664</v>
      </c>
      <c r="AC394" s="25">
        <f t="shared" ref="AC394:AC397" si="336">AB394-AA394</f>
        <v>2.4305555554747116E-2</v>
      </c>
    </row>
    <row r="395" spans="1:29" x14ac:dyDescent="0.25">
      <c r="A395" s="12">
        <v>45256</v>
      </c>
      <c r="B395" s="80">
        <v>353</v>
      </c>
      <c r="C395" s="80">
        <v>8562277</v>
      </c>
      <c r="D395" s="80">
        <v>4909599094</v>
      </c>
      <c r="E395" s="80" t="s">
        <v>1649</v>
      </c>
      <c r="F395" s="46">
        <v>45202</v>
      </c>
      <c r="G395" s="80">
        <v>1230469262</v>
      </c>
      <c r="H395" s="80" t="s">
        <v>192</v>
      </c>
      <c r="I395" s="17">
        <v>5205449</v>
      </c>
      <c r="J395" s="17" t="s">
        <v>39</v>
      </c>
      <c r="K395" s="50"/>
      <c r="L395" s="80">
        <v>0</v>
      </c>
      <c r="M395" s="80">
        <v>25</v>
      </c>
      <c r="N395" s="80">
        <v>1080</v>
      </c>
      <c r="O395" s="80">
        <f t="shared" si="330"/>
        <v>27000</v>
      </c>
      <c r="P395" s="107" t="s">
        <v>477</v>
      </c>
      <c r="Q395" s="80" t="s">
        <v>771</v>
      </c>
      <c r="R395" s="107" t="s">
        <v>209</v>
      </c>
      <c r="S395" s="80" t="s">
        <v>1652</v>
      </c>
      <c r="T395" s="80">
        <v>572</v>
      </c>
      <c r="U395" s="46">
        <v>45255</v>
      </c>
      <c r="V395" s="46">
        <v>45256</v>
      </c>
      <c r="W395" s="50"/>
      <c r="X395" s="24">
        <v>45256.402777777781</v>
      </c>
      <c r="Y395" s="24">
        <v>45256.677083333336</v>
      </c>
      <c r="Z395" s="25">
        <f t="shared" si="335"/>
        <v>0.27430555555474712</v>
      </c>
      <c r="AA395" s="24">
        <v>45256.645833333336</v>
      </c>
      <c r="AB395" s="24">
        <v>45256.673611111109</v>
      </c>
      <c r="AC395" s="25">
        <f t="shared" si="336"/>
        <v>2.7777777773735579E-2</v>
      </c>
    </row>
    <row r="396" spans="1:29" x14ac:dyDescent="0.25">
      <c r="A396" s="12">
        <v>45259</v>
      </c>
      <c r="B396" s="80">
        <v>354</v>
      </c>
      <c r="C396" s="80">
        <v>8659310</v>
      </c>
      <c r="D396" s="80">
        <v>4909681572</v>
      </c>
      <c r="E396" s="80" t="s">
        <v>1669</v>
      </c>
      <c r="F396" s="20">
        <v>45226</v>
      </c>
      <c r="G396" s="108" t="s">
        <v>1670</v>
      </c>
      <c r="H396" s="80" t="s">
        <v>192</v>
      </c>
      <c r="I396" s="17">
        <v>5211014</v>
      </c>
      <c r="J396" s="17" t="s">
        <v>38</v>
      </c>
      <c r="K396" s="108"/>
      <c r="L396" s="80">
        <v>0</v>
      </c>
      <c r="M396" s="80">
        <v>25</v>
      </c>
      <c r="N396" s="80">
        <v>1040</v>
      </c>
      <c r="O396" s="80">
        <f t="shared" si="330"/>
        <v>26000</v>
      </c>
      <c r="P396" s="108" t="s">
        <v>477</v>
      </c>
      <c r="Q396" s="80" t="s">
        <v>159</v>
      </c>
      <c r="R396" s="108" t="s">
        <v>209</v>
      </c>
      <c r="S396" s="80" t="s">
        <v>1354</v>
      </c>
      <c r="T396" s="80">
        <v>21056</v>
      </c>
      <c r="U396" s="20">
        <v>45257</v>
      </c>
      <c r="V396" s="20">
        <v>45259</v>
      </c>
      <c r="W396" s="108"/>
      <c r="X396" s="24">
        <v>45259.402777777781</v>
      </c>
      <c r="Y396" s="24">
        <v>45259.5</v>
      </c>
      <c r="Z396" s="25">
        <f t="shared" si="335"/>
        <v>9.7222222218988463E-2</v>
      </c>
      <c r="AA396" s="24">
        <v>45259.430555555555</v>
      </c>
      <c r="AB396" s="24">
        <v>45259.482638888891</v>
      </c>
      <c r="AC396" s="25">
        <f t="shared" si="336"/>
        <v>5.2083333335758653E-2</v>
      </c>
    </row>
    <row r="397" spans="1:29" x14ac:dyDescent="0.25">
      <c r="A397" s="12">
        <v>45259</v>
      </c>
      <c r="B397" s="80">
        <v>355</v>
      </c>
      <c r="C397" s="80">
        <v>8822212</v>
      </c>
      <c r="D397" s="80">
        <v>4909681572</v>
      </c>
      <c r="E397" s="80" t="s">
        <v>1673</v>
      </c>
      <c r="F397" s="20">
        <v>45223</v>
      </c>
      <c r="G397" s="108" t="s">
        <v>1621</v>
      </c>
      <c r="H397" s="80" t="s">
        <v>192</v>
      </c>
      <c r="I397" s="17">
        <v>5211014</v>
      </c>
      <c r="J397" s="17" t="s">
        <v>38</v>
      </c>
      <c r="K397" s="108"/>
      <c r="L397" s="80">
        <v>0</v>
      </c>
      <c r="M397" s="80">
        <v>25</v>
      </c>
      <c r="N397" s="108">
        <v>492</v>
      </c>
      <c r="O397" s="80">
        <f t="shared" si="330"/>
        <v>12300</v>
      </c>
      <c r="P397" s="108" t="s">
        <v>477</v>
      </c>
      <c r="Q397" s="80" t="s">
        <v>247</v>
      </c>
      <c r="R397" s="108" t="s">
        <v>209</v>
      </c>
      <c r="S397" s="80" t="s">
        <v>1540</v>
      </c>
      <c r="T397" s="80">
        <v>64</v>
      </c>
      <c r="U397" s="20">
        <v>45258</v>
      </c>
      <c r="V397" s="20">
        <v>45259</v>
      </c>
      <c r="W397" s="108"/>
      <c r="X397" s="24">
        <v>45259.402777777781</v>
      </c>
      <c r="Y397" s="24">
        <v>45259.833333333336</v>
      </c>
      <c r="Z397" s="25">
        <f t="shared" si="335"/>
        <v>0.43055555555474712</v>
      </c>
      <c r="AA397" s="24">
        <v>45259.791666666664</v>
      </c>
      <c r="AB397" s="24">
        <v>45259.833333333336</v>
      </c>
      <c r="AC397" s="25">
        <f t="shared" si="336"/>
        <v>4.1666666671517305E-2</v>
      </c>
    </row>
    <row r="398" spans="1:29" x14ac:dyDescent="0.25">
      <c r="A398" s="12">
        <v>45259</v>
      </c>
      <c r="B398" s="80">
        <v>355</v>
      </c>
      <c r="C398" s="80">
        <v>8822212</v>
      </c>
      <c r="D398" s="80">
        <v>4909681572</v>
      </c>
      <c r="E398" s="80" t="s">
        <v>1673</v>
      </c>
      <c r="F398" s="20">
        <v>45223</v>
      </c>
      <c r="G398" s="108" t="s">
        <v>1674</v>
      </c>
      <c r="H398" s="80" t="s">
        <v>192</v>
      </c>
      <c r="I398" s="17">
        <v>5211014</v>
      </c>
      <c r="J398" s="17" t="s">
        <v>38</v>
      </c>
      <c r="K398" s="108"/>
      <c r="L398" s="80">
        <v>0</v>
      </c>
      <c r="M398" s="80">
        <v>25</v>
      </c>
      <c r="N398" s="108">
        <v>548</v>
      </c>
      <c r="O398" s="80">
        <f t="shared" ref="O398:O401" si="337">M398*N398</f>
        <v>13700</v>
      </c>
      <c r="P398" s="108" t="s">
        <v>477</v>
      </c>
      <c r="Q398" s="80" t="s">
        <v>247</v>
      </c>
      <c r="R398" s="108" t="s">
        <v>209</v>
      </c>
      <c r="S398" s="80" t="s">
        <v>1540</v>
      </c>
      <c r="T398" s="80">
        <v>64</v>
      </c>
      <c r="U398" s="20">
        <v>45258</v>
      </c>
      <c r="V398" s="20">
        <v>45259</v>
      </c>
      <c r="W398" s="108"/>
      <c r="X398" s="24">
        <v>45259.402777777781</v>
      </c>
      <c r="Y398" s="24">
        <v>45259.833333333336</v>
      </c>
      <c r="Z398" s="25">
        <f t="shared" ref="Z398:Z399" si="338">Y398-X398</f>
        <v>0.43055555555474712</v>
      </c>
      <c r="AA398" s="24">
        <v>45259.791666666664</v>
      </c>
      <c r="AB398" s="24">
        <v>45259.833333333336</v>
      </c>
      <c r="AC398" s="25">
        <f t="shared" ref="AC398:AC399" si="339">AB398-AA398</f>
        <v>4.1666666671517305E-2</v>
      </c>
    </row>
    <row r="399" spans="1:29" x14ac:dyDescent="0.25">
      <c r="A399" s="12">
        <v>45262</v>
      </c>
      <c r="B399" s="80">
        <v>356</v>
      </c>
      <c r="C399" s="80">
        <v>8833204</v>
      </c>
      <c r="D399" s="80">
        <v>4909713978</v>
      </c>
      <c r="E399" s="80" t="s">
        <v>1689</v>
      </c>
      <c r="F399" s="46">
        <v>45226</v>
      </c>
      <c r="G399" s="50" t="s">
        <v>1690</v>
      </c>
      <c r="H399" s="80" t="s">
        <v>192</v>
      </c>
      <c r="I399" s="17">
        <v>5212256</v>
      </c>
      <c r="J399" s="17" t="s">
        <v>22</v>
      </c>
      <c r="K399" s="50"/>
      <c r="L399" s="80">
        <v>0</v>
      </c>
      <c r="M399" s="80">
        <v>25</v>
      </c>
      <c r="N399" s="80">
        <v>954</v>
      </c>
      <c r="O399" s="80">
        <f t="shared" si="337"/>
        <v>23850</v>
      </c>
      <c r="P399" s="111" t="s">
        <v>477</v>
      </c>
      <c r="Q399" s="80" t="s">
        <v>247</v>
      </c>
      <c r="R399" s="111" t="s">
        <v>209</v>
      </c>
      <c r="S399" s="80" t="s">
        <v>1540</v>
      </c>
      <c r="T399" s="80">
        <v>69</v>
      </c>
      <c r="U399" s="46">
        <v>45261</v>
      </c>
      <c r="V399" s="46">
        <v>45262</v>
      </c>
      <c r="W399" s="50"/>
      <c r="X399" s="24">
        <v>45262.402777777781</v>
      </c>
      <c r="Y399" s="24">
        <v>45262.451388888891</v>
      </c>
      <c r="Z399" s="25">
        <f t="shared" si="338"/>
        <v>4.8611111109494232E-2</v>
      </c>
      <c r="AA399" s="24">
        <v>45262.409722222219</v>
      </c>
      <c r="AB399" s="24">
        <v>45262.444444444445</v>
      </c>
      <c r="AC399" s="25">
        <f t="shared" si="339"/>
        <v>3.4722222226264421E-2</v>
      </c>
    </row>
    <row r="400" spans="1:29" x14ac:dyDescent="0.25">
      <c r="A400" s="12">
        <v>45262</v>
      </c>
      <c r="B400" s="80">
        <v>356</v>
      </c>
      <c r="C400" s="80">
        <v>8833204</v>
      </c>
      <c r="D400" s="80">
        <v>4909713978</v>
      </c>
      <c r="E400" s="80" t="s">
        <v>1689</v>
      </c>
      <c r="F400" s="46">
        <v>45226</v>
      </c>
      <c r="G400" s="50" t="s">
        <v>1600</v>
      </c>
      <c r="H400" s="80" t="s">
        <v>192</v>
      </c>
      <c r="I400" s="17">
        <v>5212256</v>
      </c>
      <c r="J400" s="17" t="s">
        <v>22</v>
      </c>
      <c r="K400" s="50"/>
      <c r="L400" s="80">
        <v>0</v>
      </c>
      <c r="M400" s="80">
        <v>25</v>
      </c>
      <c r="N400" s="80">
        <v>86</v>
      </c>
      <c r="O400" s="80">
        <f t="shared" si="337"/>
        <v>2150</v>
      </c>
      <c r="P400" s="111" t="s">
        <v>477</v>
      </c>
      <c r="Q400" s="80" t="s">
        <v>247</v>
      </c>
      <c r="R400" s="111" t="s">
        <v>209</v>
      </c>
      <c r="S400" s="80" t="s">
        <v>1540</v>
      </c>
      <c r="T400" s="80">
        <v>69</v>
      </c>
      <c r="U400" s="46">
        <v>45261</v>
      </c>
      <c r="V400" s="46">
        <v>45262</v>
      </c>
      <c r="W400" s="50"/>
      <c r="X400" s="24">
        <v>45262.402777777781</v>
      </c>
      <c r="Y400" s="24">
        <v>45262.451388888891</v>
      </c>
      <c r="Z400" s="25">
        <f t="shared" ref="Z400:Z401" si="340">Y400-X400</f>
        <v>4.8611111109494232E-2</v>
      </c>
      <c r="AA400" s="24">
        <v>45262.409722222219</v>
      </c>
      <c r="AB400" s="24">
        <v>45262.444444444445</v>
      </c>
      <c r="AC400" s="25">
        <f t="shared" ref="AC400:AC401" si="341">AB400-AA400</f>
        <v>3.4722222226264421E-2</v>
      </c>
    </row>
    <row r="401" spans="1:29" x14ac:dyDescent="0.25">
      <c r="A401" s="12">
        <v>45262</v>
      </c>
      <c r="B401" s="80">
        <v>357</v>
      </c>
      <c r="C401" s="80">
        <v>8846571</v>
      </c>
      <c r="D401" s="80">
        <v>4909769153</v>
      </c>
      <c r="E401" s="80" t="s">
        <v>1722</v>
      </c>
      <c r="F401" s="20">
        <v>45235</v>
      </c>
      <c r="G401" s="112" t="s">
        <v>1723</v>
      </c>
      <c r="H401" s="80" t="s">
        <v>1418</v>
      </c>
      <c r="I401" s="17">
        <v>5212256</v>
      </c>
      <c r="J401" s="17" t="s">
        <v>22</v>
      </c>
      <c r="K401" s="112"/>
      <c r="L401" s="80">
        <v>0</v>
      </c>
      <c r="M401" s="80">
        <v>25</v>
      </c>
      <c r="N401" s="80">
        <v>649</v>
      </c>
      <c r="O401" s="80">
        <f t="shared" si="337"/>
        <v>16225</v>
      </c>
      <c r="P401" s="112" t="s">
        <v>477</v>
      </c>
      <c r="Q401" s="80" t="s">
        <v>159</v>
      </c>
      <c r="R401" s="112" t="s">
        <v>209</v>
      </c>
      <c r="S401" s="80" t="s">
        <v>715</v>
      </c>
      <c r="T401" s="80">
        <v>14500</v>
      </c>
      <c r="U401" s="20">
        <v>45265</v>
      </c>
      <c r="V401" s="20">
        <v>45266</v>
      </c>
      <c r="W401" s="112"/>
      <c r="X401" s="24">
        <v>45262.381944444445</v>
      </c>
      <c r="Y401" s="24">
        <v>45262.4375</v>
      </c>
      <c r="Z401" s="25">
        <f t="shared" si="340"/>
        <v>5.5555555554747116E-2</v>
      </c>
      <c r="AA401" s="24">
        <v>45262.395833333336</v>
      </c>
      <c r="AB401" s="24">
        <v>45262.4375</v>
      </c>
      <c r="AC401" s="25">
        <f t="shared" si="341"/>
        <v>4.1666666664241347E-2</v>
      </c>
    </row>
    <row r="402" spans="1:29" x14ac:dyDescent="0.25">
      <c r="A402" s="12">
        <v>45262</v>
      </c>
      <c r="B402" s="80">
        <v>357</v>
      </c>
      <c r="C402" s="80">
        <v>8846571</v>
      </c>
      <c r="D402" s="80">
        <v>4909769153</v>
      </c>
      <c r="E402" s="80" t="s">
        <v>1722</v>
      </c>
      <c r="F402" s="20">
        <v>45235</v>
      </c>
      <c r="G402" s="112" t="s">
        <v>1724</v>
      </c>
      <c r="H402" s="80" t="s">
        <v>1418</v>
      </c>
      <c r="I402" s="17">
        <v>5212256</v>
      </c>
      <c r="J402" s="17" t="s">
        <v>22</v>
      </c>
      <c r="K402" s="112"/>
      <c r="L402" s="80">
        <v>0</v>
      </c>
      <c r="M402" s="80">
        <v>25</v>
      </c>
      <c r="N402" s="80">
        <v>391</v>
      </c>
      <c r="O402" s="80">
        <f t="shared" ref="O402:O447" si="342">M402*N402</f>
        <v>9775</v>
      </c>
      <c r="P402" s="112" t="s">
        <v>477</v>
      </c>
      <c r="Q402" s="80" t="s">
        <v>159</v>
      </c>
      <c r="R402" s="112" t="s">
        <v>209</v>
      </c>
      <c r="S402" s="80" t="s">
        <v>715</v>
      </c>
      <c r="T402" s="80">
        <v>14500</v>
      </c>
      <c r="U402" s="20">
        <v>45265</v>
      </c>
      <c r="V402" s="20">
        <v>45266</v>
      </c>
      <c r="W402" s="112"/>
      <c r="X402" s="24">
        <v>45262.381944444445</v>
      </c>
      <c r="Y402" s="24">
        <v>45262.4375</v>
      </c>
      <c r="Z402" s="25">
        <f t="shared" ref="Z402:Z404" si="343">Y402-X402</f>
        <v>5.5555555554747116E-2</v>
      </c>
      <c r="AA402" s="24">
        <v>45262.395833333336</v>
      </c>
      <c r="AB402" s="24">
        <v>45262.4375</v>
      </c>
      <c r="AC402" s="25">
        <f t="shared" ref="AC402:AC404" si="344">AB402-AA402</f>
        <v>4.1666666664241347E-2</v>
      </c>
    </row>
    <row r="403" spans="1:29" x14ac:dyDescent="0.25">
      <c r="A403" s="12">
        <v>45267</v>
      </c>
      <c r="B403" s="80">
        <v>358</v>
      </c>
      <c r="C403" s="80">
        <v>8920548</v>
      </c>
      <c r="D403" s="50"/>
      <c r="E403" s="80" t="s">
        <v>1737</v>
      </c>
      <c r="F403" s="46">
        <v>45236</v>
      </c>
      <c r="G403" s="50" t="s">
        <v>1738</v>
      </c>
      <c r="H403" s="80" t="s">
        <v>1418</v>
      </c>
      <c r="I403" s="17">
        <v>5212252</v>
      </c>
      <c r="J403" s="17" t="s">
        <v>23</v>
      </c>
      <c r="K403" s="50"/>
      <c r="L403" s="80">
        <v>0</v>
      </c>
      <c r="M403" s="80">
        <v>25</v>
      </c>
      <c r="N403" s="80">
        <v>1040</v>
      </c>
      <c r="O403" s="80">
        <f t="shared" si="342"/>
        <v>26000</v>
      </c>
      <c r="P403" s="113" t="s">
        <v>477</v>
      </c>
      <c r="Q403" s="80" t="s">
        <v>159</v>
      </c>
      <c r="R403" s="113" t="s">
        <v>209</v>
      </c>
      <c r="S403" s="80" t="s">
        <v>316</v>
      </c>
      <c r="T403" s="80">
        <v>14504</v>
      </c>
      <c r="U403" s="46">
        <v>45266</v>
      </c>
      <c r="V403" s="46">
        <v>45267</v>
      </c>
      <c r="W403" s="50"/>
      <c r="X403" s="24">
        <v>45267.402777777781</v>
      </c>
      <c r="Y403" s="24">
        <v>45267.458333333336</v>
      </c>
      <c r="Z403" s="25">
        <f t="shared" si="343"/>
        <v>5.5555555554747116E-2</v>
      </c>
      <c r="AA403" s="24">
        <v>45267.409722222219</v>
      </c>
      <c r="AB403" s="24">
        <v>45267.447916666664</v>
      </c>
      <c r="AC403" s="25">
        <f t="shared" si="344"/>
        <v>3.8194444445252884E-2</v>
      </c>
    </row>
    <row r="404" spans="1:29" x14ac:dyDescent="0.25">
      <c r="A404" s="12">
        <v>45267</v>
      </c>
      <c r="B404" s="80">
        <v>359</v>
      </c>
      <c r="C404" s="80">
        <v>8920548</v>
      </c>
      <c r="D404" s="50"/>
      <c r="E404" s="80" t="s">
        <v>1737</v>
      </c>
      <c r="F404" s="46">
        <v>45236</v>
      </c>
      <c r="G404" s="50" t="s">
        <v>1738</v>
      </c>
      <c r="H404" s="80" t="s">
        <v>1418</v>
      </c>
      <c r="I404" s="17">
        <v>5212252</v>
      </c>
      <c r="J404" s="17" t="s">
        <v>23</v>
      </c>
      <c r="K404" s="50"/>
      <c r="L404" s="80">
        <v>0</v>
      </c>
      <c r="M404" s="80">
        <v>25</v>
      </c>
      <c r="N404" s="80">
        <v>86</v>
      </c>
      <c r="O404" s="80">
        <f t="shared" si="342"/>
        <v>2150</v>
      </c>
      <c r="P404" s="113" t="s">
        <v>477</v>
      </c>
      <c r="Q404" s="80" t="s">
        <v>159</v>
      </c>
      <c r="R404" s="113" t="s">
        <v>209</v>
      </c>
      <c r="S404" s="80" t="s">
        <v>1493</v>
      </c>
      <c r="T404" s="80">
        <v>14503</v>
      </c>
      <c r="U404" s="46">
        <v>45266</v>
      </c>
      <c r="V404" s="46">
        <v>45267</v>
      </c>
      <c r="W404" s="50"/>
      <c r="X404" s="24">
        <v>45267.409722222219</v>
      </c>
      <c r="Y404" s="24">
        <v>45267.458333333336</v>
      </c>
      <c r="Z404" s="25">
        <f t="shared" si="343"/>
        <v>4.8611111116770189E-2</v>
      </c>
      <c r="AA404" s="24">
        <v>45267.413194444445</v>
      </c>
      <c r="AB404" s="24">
        <v>45267.451388888891</v>
      </c>
      <c r="AC404" s="25">
        <f t="shared" si="344"/>
        <v>3.8194444445252884E-2</v>
      </c>
    </row>
    <row r="405" spans="1:29" x14ac:dyDescent="0.25">
      <c r="A405" s="12">
        <v>45267</v>
      </c>
      <c r="B405" s="80">
        <v>359</v>
      </c>
      <c r="C405" s="80">
        <v>8920548</v>
      </c>
      <c r="D405" s="50"/>
      <c r="E405" s="80" t="s">
        <v>1737</v>
      </c>
      <c r="F405" s="46">
        <v>45236</v>
      </c>
      <c r="G405" s="50" t="s">
        <v>1739</v>
      </c>
      <c r="H405" s="80" t="s">
        <v>1418</v>
      </c>
      <c r="I405" s="17">
        <v>5212252</v>
      </c>
      <c r="J405" s="17" t="s">
        <v>23</v>
      </c>
      <c r="K405" s="50"/>
      <c r="L405" s="80">
        <v>0</v>
      </c>
      <c r="M405" s="80">
        <v>25</v>
      </c>
      <c r="N405" s="80">
        <v>954</v>
      </c>
      <c r="O405" s="80">
        <f t="shared" si="342"/>
        <v>23850</v>
      </c>
      <c r="P405" s="113" t="s">
        <v>477</v>
      </c>
      <c r="Q405" s="80" t="s">
        <v>159</v>
      </c>
      <c r="R405" s="113" t="s">
        <v>209</v>
      </c>
      <c r="S405" s="80" t="s">
        <v>1493</v>
      </c>
      <c r="T405" s="80">
        <v>14503</v>
      </c>
      <c r="U405" s="46">
        <v>45266</v>
      </c>
      <c r="V405" s="46">
        <v>45267</v>
      </c>
      <c r="W405" s="50"/>
      <c r="X405" s="24">
        <v>45267.409722222219</v>
      </c>
      <c r="Y405" s="24">
        <v>45267.458333333336</v>
      </c>
      <c r="Z405" s="25">
        <f t="shared" ref="Z405:Z406" si="345">Y405-X405</f>
        <v>4.8611111116770189E-2</v>
      </c>
      <c r="AA405" s="24">
        <v>45267.413194444445</v>
      </c>
      <c r="AB405" s="24">
        <v>45267.451388888891</v>
      </c>
      <c r="AC405" s="25">
        <f t="shared" ref="AC405:AC406" si="346">AB405-AA405</f>
        <v>3.8194444445252884E-2</v>
      </c>
    </row>
    <row r="406" spans="1:29" x14ac:dyDescent="0.25">
      <c r="A406" s="12">
        <v>45267</v>
      </c>
      <c r="B406" s="80">
        <v>360</v>
      </c>
      <c r="C406" s="80">
        <v>8846053</v>
      </c>
      <c r="D406" s="50"/>
      <c r="E406" s="80" t="s">
        <v>1740</v>
      </c>
      <c r="F406" s="46">
        <v>45235</v>
      </c>
      <c r="G406" s="50" t="s">
        <v>1634</v>
      </c>
      <c r="H406" s="80" t="s">
        <v>1418</v>
      </c>
      <c r="I406" s="17">
        <v>5212252</v>
      </c>
      <c r="J406" s="17" t="s">
        <v>23</v>
      </c>
      <c r="K406" s="50"/>
      <c r="L406" s="80">
        <v>0</v>
      </c>
      <c r="M406" s="80">
        <v>25</v>
      </c>
      <c r="N406" s="80">
        <v>87</v>
      </c>
      <c r="O406" s="80">
        <f t="shared" si="342"/>
        <v>2175</v>
      </c>
      <c r="P406" s="113" t="s">
        <v>477</v>
      </c>
      <c r="Q406" s="80" t="s">
        <v>159</v>
      </c>
      <c r="R406" s="113" t="s">
        <v>209</v>
      </c>
      <c r="S406" s="80" t="s">
        <v>1741</v>
      </c>
      <c r="T406" s="80">
        <v>21426</v>
      </c>
      <c r="U406" s="46">
        <v>45266</v>
      </c>
      <c r="V406" s="46">
        <v>45267</v>
      </c>
      <c r="W406" s="50"/>
      <c r="X406" s="24">
        <v>45267.416666666664</v>
      </c>
      <c r="Y406" s="24">
        <v>45267.513888888891</v>
      </c>
      <c r="Z406" s="25">
        <f t="shared" si="345"/>
        <v>9.7222222226264421E-2</v>
      </c>
      <c r="AA406" s="24">
        <v>45267.472222222219</v>
      </c>
      <c r="AB406" s="24">
        <v>45267.5</v>
      </c>
      <c r="AC406" s="25">
        <f t="shared" si="346"/>
        <v>2.7777777781011537E-2</v>
      </c>
    </row>
    <row r="407" spans="1:29" x14ac:dyDescent="0.25">
      <c r="A407" s="12">
        <v>45267</v>
      </c>
      <c r="B407" s="80">
        <v>360</v>
      </c>
      <c r="C407" s="80">
        <v>8846053</v>
      </c>
      <c r="D407" s="50"/>
      <c r="E407" s="80" t="s">
        <v>1740</v>
      </c>
      <c r="F407" s="46">
        <v>45235</v>
      </c>
      <c r="G407" s="50" t="s">
        <v>1639</v>
      </c>
      <c r="H407" s="80" t="s">
        <v>1418</v>
      </c>
      <c r="I407" s="17">
        <v>5212252</v>
      </c>
      <c r="J407" s="17" t="s">
        <v>23</v>
      </c>
      <c r="K407" s="50"/>
      <c r="L407" s="80">
        <v>0</v>
      </c>
      <c r="M407" s="80">
        <v>25</v>
      </c>
      <c r="N407" s="80">
        <v>886</v>
      </c>
      <c r="O407" s="80">
        <f t="shared" si="342"/>
        <v>22150</v>
      </c>
      <c r="P407" s="113" t="s">
        <v>477</v>
      </c>
      <c r="Q407" s="80" t="s">
        <v>159</v>
      </c>
      <c r="R407" s="113" t="s">
        <v>209</v>
      </c>
      <c r="S407" s="80" t="s">
        <v>1741</v>
      </c>
      <c r="T407" s="80">
        <v>21426</v>
      </c>
      <c r="U407" s="46">
        <v>45266</v>
      </c>
      <c r="V407" s="46">
        <v>45267</v>
      </c>
      <c r="W407" s="50"/>
      <c r="X407" s="24">
        <v>45267.416666666664</v>
      </c>
      <c r="Y407" s="24">
        <v>45267.513888888891</v>
      </c>
      <c r="Z407" s="25">
        <f t="shared" ref="Z407:Z411" si="347">Y407-X407</f>
        <v>9.7222222226264421E-2</v>
      </c>
      <c r="AA407" s="24">
        <v>45267.472222222219</v>
      </c>
      <c r="AB407" s="24">
        <v>45267.5</v>
      </c>
      <c r="AC407" s="25">
        <f t="shared" ref="AC407:AC411" si="348">AB407-AA407</f>
        <v>2.7777777781011537E-2</v>
      </c>
    </row>
    <row r="408" spans="1:29" x14ac:dyDescent="0.25">
      <c r="A408" s="12">
        <v>45267</v>
      </c>
      <c r="B408" s="80">
        <v>360</v>
      </c>
      <c r="C408" s="80">
        <v>8846053</v>
      </c>
      <c r="D408" s="50"/>
      <c r="E408" s="80" t="s">
        <v>1740</v>
      </c>
      <c r="F408" s="46">
        <v>45235</v>
      </c>
      <c r="G408" s="50" t="s">
        <v>1742</v>
      </c>
      <c r="H408" s="80" t="s">
        <v>1418</v>
      </c>
      <c r="I408" s="17">
        <v>5212252</v>
      </c>
      <c r="J408" s="17" t="s">
        <v>23</v>
      </c>
      <c r="K408" s="50"/>
      <c r="L408" s="80">
        <v>0</v>
      </c>
      <c r="M408" s="80">
        <v>25</v>
      </c>
      <c r="N408" s="80">
        <v>67</v>
      </c>
      <c r="O408" s="80">
        <f t="shared" si="342"/>
        <v>1675</v>
      </c>
      <c r="P408" s="113" t="s">
        <v>477</v>
      </c>
      <c r="Q408" s="80" t="s">
        <v>159</v>
      </c>
      <c r="R408" s="113" t="s">
        <v>209</v>
      </c>
      <c r="S408" s="80" t="s">
        <v>1741</v>
      </c>
      <c r="T408" s="80">
        <v>21426</v>
      </c>
      <c r="U408" s="46">
        <v>45266</v>
      </c>
      <c r="V408" s="46">
        <v>45267</v>
      </c>
      <c r="W408" s="50"/>
      <c r="X408" s="24">
        <v>45267.416666666664</v>
      </c>
      <c r="Y408" s="24">
        <v>45267.513888888891</v>
      </c>
      <c r="Z408" s="25">
        <f t="shared" si="347"/>
        <v>9.7222222226264421E-2</v>
      </c>
      <c r="AA408" s="24">
        <v>45267.472222222219</v>
      </c>
      <c r="AB408" s="24">
        <v>45267.5</v>
      </c>
      <c r="AC408" s="25">
        <f t="shared" si="348"/>
        <v>2.7777777781011537E-2</v>
      </c>
    </row>
    <row r="409" spans="1:29" x14ac:dyDescent="0.25">
      <c r="A409" s="12">
        <v>45267</v>
      </c>
      <c r="B409" s="80">
        <v>361</v>
      </c>
      <c r="C409" s="80">
        <v>8846053</v>
      </c>
      <c r="D409" s="50"/>
      <c r="E409" s="80" t="s">
        <v>1740</v>
      </c>
      <c r="F409" s="46">
        <v>45235</v>
      </c>
      <c r="G409" s="50" t="s">
        <v>1742</v>
      </c>
      <c r="H409" s="80" t="s">
        <v>1418</v>
      </c>
      <c r="I409" s="17">
        <v>5212252</v>
      </c>
      <c r="J409" s="17" t="s">
        <v>23</v>
      </c>
      <c r="K409" s="50"/>
      <c r="L409" s="80">
        <v>0</v>
      </c>
      <c r="M409" s="80">
        <v>25</v>
      </c>
      <c r="N409" s="80">
        <v>1040</v>
      </c>
      <c r="O409" s="80">
        <f t="shared" si="342"/>
        <v>26000</v>
      </c>
      <c r="P409" s="113" t="s">
        <v>477</v>
      </c>
      <c r="Q409" s="80" t="s">
        <v>159</v>
      </c>
      <c r="R409" s="113" t="s">
        <v>209</v>
      </c>
      <c r="S409" s="80" t="s">
        <v>1743</v>
      </c>
      <c r="T409" s="80">
        <v>21424</v>
      </c>
      <c r="U409" s="46">
        <v>45266</v>
      </c>
      <c r="V409" s="46">
        <v>45267</v>
      </c>
      <c r="W409" s="50"/>
      <c r="X409" s="24">
        <v>45267.458333333336</v>
      </c>
      <c r="Y409" s="24">
        <v>45267.555555555555</v>
      </c>
      <c r="Z409" s="25">
        <f t="shared" si="347"/>
        <v>9.7222222218988463E-2</v>
      </c>
      <c r="AA409" s="24">
        <v>45267.5</v>
      </c>
      <c r="AB409" s="24">
        <v>45267.541666666664</v>
      </c>
      <c r="AC409" s="25">
        <f t="shared" si="348"/>
        <v>4.1666666664241347E-2</v>
      </c>
    </row>
    <row r="410" spans="1:29" x14ac:dyDescent="0.25">
      <c r="A410" s="12">
        <v>45267</v>
      </c>
      <c r="B410" s="80">
        <v>362</v>
      </c>
      <c r="C410" s="80">
        <v>8918964</v>
      </c>
      <c r="D410" s="113"/>
      <c r="E410" s="80" t="s">
        <v>1744</v>
      </c>
      <c r="F410" s="20">
        <v>45239</v>
      </c>
      <c r="G410" s="113" t="s">
        <v>1745</v>
      </c>
      <c r="H410" s="80" t="s">
        <v>1418</v>
      </c>
      <c r="I410" s="17">
        <v>5212256</v>
      </c>
      <c r="J410" s="17" t="s">
        <v>22</v>
      </c>
      <c r="K410" s="113"/>
      <c r="L410" s="80">
        <v>0</v>
      </c>
      <c r="M410" s="80">
        <v>25</v>
      </c>
      <c r="N410" s="80">
        <v>1040</v>
      </c>
      <c r="O410" s="80">
        <f t="shared" si="342"/>
        <v>26000</v>
      </c>
      <c r="P410" s="113" t="s">
        <v>477</v>
      </c>
      <c r="Q410" s="80" t="s">
        <v>159</v>
      </c>
      <c r="R410" s="113" t="s">
        <v>209</v>
      </c>
      <c r="S410" s="80" t="s">
        <v>715</v>
      </c>
      <c r="T410" s="80">
        <v>14502</v>
      </c>
      <c r="U410" s="20">
        <v>45266</v>
      </c>
      <c r="V410" s="20">
        <v>45267</v>
      </c>
      <c r="W410" s="113"/>
      <c r="X410" s="24">
        <v>45267.625</v>
      </c>
      <c r="Y410" s="24">
        <v>45267.736111111109</v>
      </c>
      <c r="Z410" s="25">
        <f t="shared" si="347"/>
        <v>0.11111111110949423</v>
      </c>
      <c r="AA410" s="24">
        <v>45267.680555555555</v>
      </c>
      <c r="AB410" s="24">
        <v>45267.729166666664</v>
      </c>
      <c r="AC410" s="25">
        <f t="shared" si="348"/>
        <v>4.8611111109494232E-2</v>
      </c>
    </row>
    <row r="411" spans="1:29" x14ac:dyDescent="0.25">
      <c r="A411" s="12">
        <v>45268</v>
      </c>
      <c r="B411" s="80">
        <v>363</v>
      </c>
      <c r="C411" s="80">
        <v>8918466</v>
      </c>
      <c r="D411" s="50"/>
      <c r="E411" s="80" t="s">
        <v>1757</v>
      </c>
      <c r="F411" s="46">
        <v>45236</v>
      </c>
      <c r="G411" s="90" t="s">
        <v>1758</v>
      </c>
      <c r="H411" s="80" t="s">
        <v>1418</v>
      </c>
      <c r="I411" s="17">
        <v>5212252</v>
      </c>
      <c r="J411" s="17" t="s">
        <v>23</v>
      </c>
      <c r="K411" s="50"/>
      <c r="L411" s="80">
        <v>0</v>
      </c>
      <c r="M411" s="80">
        <v>25</v>
      </c>
      <c r="N411" s="80">
        <v>803</v>
      </c>
      <c r="O411" s="80">
        <f t="shared" si="342"/>
        <v>20075</v>
      </c>
      <c r="P411" s="114" t="s">
        <v>477</v>
      </c>
      <c r="Q411" s="80" t="s">
        <v>159</v>
      </c>
      <c r="R411" s="114" t="s">
        <v>209</v>
      </c>
      <c r="S411" s="80" t="s">
        <v>1760</v>
      </c>
      <c r="T411" s="80">
        <v>14519</v>
      </c>
      <c r="U411" s="46">
        <v>45267</v>
      </c>
      <c r="V411" s="20">
        <v>45268</v>
      </c>
      <c r="W411" s="50"/>
      <c r="X411" s="24">
        <v>45268.402777777781</v>
      </c>
      <c r="Y411" s="24">
        <v>45268.489583333336</v>
      </c>
      <c r="Z411" s="25">
        <f t="shared" si="347"/>
        <v>8.6805555554747116E-2</v>
      </c>
      <c r="AA411" s="24">
        <v>45268.416666666664</v>
      </c>
      <c r="AB411" s="24">
        <v>45268.454861111109</v>
      </c>
      <c r="AC411" s="25">
        <f t="shared" si="348"/>
        <v>3.8194444445252884E-2</v>
      </c>
    </row>
    <row r="412" spans="1:29" x14ac:dyDescent="0.25">
      <c r="A412" s="12">
        <v>45268</v>
      </c>
      <c r="B412" s="80">
        <v>363</v>
      </c>
      <c r="C412" s="80">
        <v>8918466</v>
      </c>
      <c r="D412" s="50"/>
      <c r="E412" s="80" t="s">
        <v>1757</v>
      </c>
      <c r="F412" s="46">
        <v>45254</v>
      </c>
      <c r="G412" s="90" t="s">
        <v>1759</v>
      </c>
      <c r="H412" s="80" t="s">
        <v>1418</v>
      </c>
      <c r="I412" s="17">
        <v>5212252</v>
      </c>
      <c r="J412" s="17" t="s">
        <v>23</v>
      </c>
      <c r="K412" s="50"/>
      <c r="L412" s="80">
        <v>0</v>
      </c>
      <c r="M412" s="80">
        <v>25</v>
      </c>
      <c r="N412" s="80">
        <v>237</v>
      </c>
      <c r="O412" s="80">
        <f t="shared" si="342"/>
        <v>5925</v>
      </c>
      <c r="P412" s="114" t="s">
        <v>477</v>
      </c>
      <c r="Q412" s="80" t="s">
        <v>159</v>
      </c>
      <c r="R412" s="114" t="s">
        <v>209</v>
      </c>
      <c r="S412" s="80" t="s">
        <v>1760</v>
      </c>
      <c r="T412" s="80">
        <v>14519</v>
      </c>
      <c r="U412" s="46">
        <v>45267</v>
      </c>
      <c r="V412" s="20">
        <v>45268</v>
      </c>
      <c r="W412" s="50"/>
      <c r="X412" s="24">
        <v>45268.402777777781</v>
      </c>
      <c r="Y412" s="24">
        <v>45268.489583333336</v>
      </c>
      <c r="Z412" s="25">
        <f t="shared" ref="Z412:Z415" si="349">Y412-X412</f>
        <v>8.6805555554747116E-2</v>
      </c>
      <c r="AA412" s="24">
        <v>45268.416666666664</v>
      </c>
      <c r="AB412" s="24">
        <v>45268.454861111109</v>
      </c>
      <c r="AC412" s="25">
        <f t="shared" ref="AC412:AC415" si="350">AB412-AA412</f>
        <v>3.8194444445252884E-2</v>
      </c>
    </row>
    <row r="413" spans="1:29" x14ac:dyDescent="0.25">
      <c r="A413" s="12">
        <v>45268</v>
      </c>
      <c r="B413" s="80">
        <v>364</v>
      </c>
      <c r="C413" s="80">
        <v>8846574</v>
      </c>
      <c r="D413" s="50"/>
      <c r="E413" s="80" t="s">
        <v>1761</v>
      </c>
      <c r="F413" s="46">
        <v>45235</v>
      </c>
      <c r="G413" s="50" t="s">
        <v>1762</v>
      </c>
      <c r="H413" s="80" t="s">
        <v>1418</v>
      </c>
      <c r="I413" s="17">
        <v>5211013</v>
      </c>
      <c r="J413" s="17" t="s">
        <v>27</v>
      </c>
      <c r="K413" s="50"/>
      <c r="L413" s="80">
        <v>0</v>
      </c>
      <c r="M413" s="80">
        <v>25</v>
      </c>
      <c r="N413" s="80">
        <v>1040</v>
      </c>
      <c r="O413" s="80">
        <f t="shared" si="342"/>
        <v>26000</v>
      </c>
      <c r="P413" s="115" t="s">
        <v>477</v>
      </c>
      <c r="Q413" s="80" t="s">
        <v>159</v>
      </c>
      <c r="R413" s="115" t="s">
        <v>209</v>
      </c>
      <c r="S413" s="80" t="s">
        <v>1763</v>
      </c>
      <c r="T413" s="80">
        <v>14640</v>
      </c>
      <c r="U413" s="46">
        <v>45267</v>
      </c>
      <c r="V413" s="20">
        <v>45268</v>
      </c>
      <c r="W413" s="50"/>
      <c r="X413" s="24">
        <v>45268.402777777781</v>
      </c>
      <c r="Y413" s="24">
        <v>45268.444444444445</v>
      </c>
      <c r="Z413" s="25">
        <f t="shared" si="349"/>
        <v>4.1666666664241347E-2</v>
      </c>
      <c r="AA413" s="24">
        <v>45268.416666666664</v>
      </c>
      <c r="AB413" s="24">
        <v>45268.440972222219</v>
      </c>
      <c r="AC413" s="25">
        <f t="shared" si="350"/>
        <v>2.4305555554747116E-2</v>
      </c>
    </row>
    <row r="414" spans="1:29" x14ac:dyDescent="0.25">
      <c r="A414" s="12">
        <v>45268</v>
      </c>
      <c r="B414" s="80">
        <v>365</v>
      </c>
      <c r="C414" s="80">
        <v>8918466</v>
      </c>
      <c r="D414" s="50"/>
      <c r="E414" s="80" t="s">
        <v>1757</v>
      </c>
      <c r="F414" s="46">
        <v>45236</v>
      </c>
      <c r="G414" s="50" t="s">
        <v>1759</v>
      </c>
      <c r="H414" s="80" t="s">
        <v>1418</v>
      </c>
      <c r="I414" s="17">
        <v>5212252</v>
      </c>
      <c r="J414" s="17" t="s">
        <v>23</v>
      </c>
      <c r="K414" s="50"/>
      <c r="L414" s="80">
        <v>0</v>
      </c>
      <c r="M414" s="80">
        <v>25</v>
      </c>
      <c r="N414" s="80">
        <v>1040</v>
      </c>
      <c r="O414" s="80">
        <f t="shared" si="342"/>
        <v>26000</v>
      </c>
      <c r="P414" s="115" t="s">
        <v>477</v>
      </c>
      <c r="Q414" s="80" t="s">
        <v>159</v>
      </c>
      <c r="R414" s="115" t="s">
        <v>209</v>
      </c>
      <c r="S414" s="80" t="s">
        <v>715</v>
      </c>
      <c r="T414" s="80">
        <v>14520</v>
      </c>
      <c r="U414" s="46">
        <v>45267</v>
      </c>
      <c r="V414" s="20">
        <v>45268</v>
      </c>
      <c r="W414" s="50"/>
      <c r="X414" s="24">
        <v>45268.458333333336</v>
      </c>
      <c r="Y414" s="24">
        <v>45268.520833333336</v>
      </c>
      <c r="Z414" s="25">
        <f t="shared" si="349"/>
        <v>6.25E-2</v>
      </c>
      <c r="AA414" s="24">
        <v>45268.472222222219</v>
      </c>
      <c r="AB414" s="24">
        <v>45268.493055555555</v>
      </c>
      <c r="AC414" s="25">
        <f t="shared" si="350"/>
        <v>2.0833333335758653E-2</v>
      </c>
    </row>
    <row r="415" spans="1:29" x14ac:dyDescent="0.25">
      <c r="A415" s="12">
        <v>45268</v>
      </c>
      <c r="B415" s="80">
        <v>366</v>
      </c>
      <c r="C415" s="80">
        <v>8846574</v>
      </c>
      <c r="D415" s="50"/>
      <c r="E415" s="80" t="s">
        <v>1761</v>
      </c>
      <c r="F415" s="46">
        <v>45236</v>
      </c>
      <c r="G415" s="50" t="s">
        <v>1762</v>
      </c>
      <c r="H415" s="80" t="s">
        <v>1418</v>
      </c>
      <c r="I415" s="17">
        <v>5211013</v>
      </c>
      <c r="J415" s="17" t="s">
        <v>27</v>
      </c>
      <c r="K415" s="50"/>
      <c r="L415" s="80">
        <v>0</v>
      </c>
      <c r="M415" s="80">
        <v>25</v>
      </c>
      <c r="N415" s="80">
        <v>204</v>
      </c>
      <c r="O415" s="80">
        <f t="shared" si="342"/>
        <v>5100</v>
      </c>
      <c r="P415" s="115" t="s">
        <v>477</v>
      </c>
      <c r="Q415" s="80" t="s">
        <v>159</v>
      </c>
      <c r="R415" s="115" t="s">
        <v>209</v>
      </c>
      <c r="S415" s="80" t="s">
        <v>1137</v>
      </c>
      <c r="T415" s="80">
        <v>14641</v>
      </c>
      <c r="U415" s="46">
        <v>45267</v>
      </c>
      <c r="V415" s="20">
        <v>45268</v>
      </c>
      <c r="W415" s="50"/>
      <c r="X415" s="24">
        <v>45268.399305555555</v>
      </c>
      <c r="Y415" s="24">
        <v>45268.513888888891</v>
      </c>
      <c r="Z415" s="25">
        <f t="shared" si="349"/>
        <v>0.11458333333575865</v>
      </c>
      <c r="AA415" s="24">
        <v>45268.458333333336</v>
      </c>
      <c r="AB415" s="24">
        <v>45268.506944444445</v>
      </c>
      <c r="AC415" s="25">
        <f t="shared" si="350"/>
        <v>4.8611111109494232E-2</v>
      </c>
    </row>
    <row r="416" spans="1:29" x14ac:dyDescent="0.25">
      <c r="A416" s="12">
        <v>45268</v>
      </c>
      <c r="B416" s="80">
        <v>366</v>
      </c>
      <c r="C416" s="80">
        <v>8846574</v>
      </c>
      <c r="D416" s="50"/>
      <c r="E416" s="80" t="s">
        <v>1761</v>
      </c>
      <c r="F416" s="46">
        <v>45236</v>
      </c>
      <c r="G416" s="50" t="s">
        <v>1618</v>
      </c>
      <c r="H416" s="80" t="s">
        <v>1418</v>
      </c>
      <c r="I416" s="17">
        <v>5211013</v>
      </c>
      <c r="J416" s="17" t="s">
        <v>27</v>
      </c>
      <c r="K416" s="50"/>
      <c r="L416" s="80">
        <v>0</v>
      </c>
      <c r="M416" s="80">
        <v>25</v>
      </c>
      <c r="N416" s="80">
        <v>453</v>
      </c>
      <c r="O416" s="80">
        <f t="shared" si="342"/>
        <v>11325</v>
      </c>
      <c r="P416" s="115" t="s">
        <v>477</v>
      </c>
      <c r="Q416" s="80" t="s">
        <v>159</v>
      </c>
      <c r="R416" s="115" t="s">
        <v>209</v>
      </c>
      <c r="S416" s="80" t="s">
        <v>1137</v>
      </c>
      <c r="T416" s="80">
        <v>14641</v>
      </c>
      <c r="U416" s="46">
        <v>45267</v>
      </c>
      <c r="V416" s="20">
        <v>45268</v>
      </c>
      <c r="W416" s="50"/>
      <c r="X416" s="24">
        <v>45268.399305555555</v>
      </c>
      <c r="Y416" s="24">
        <v>45268.513888888891</v>
      </c>
      <c r="Z416" s="25">
        <f t="shared" ref="Z416:Z418" si="351">Y416-X416</f>
        <v>0.11458333333575865</v>
      </c>
      <c r="AA416" s="24">
        <v>45268.458333333336</v>
      </c>
      <c r="AB416" s="24">
        <v>45268.506944444445</v>
      </c>
      <c r="AC416" s="25">
        <f t="shared" ref="AC416:AC418" si="352">AB416-AA416</f>
        <v>4.8611111109494232E-2</v>
      </c>
    </row>
    <row r="417" spans="1:29" x14ac:dyDescent="0.25">
      <c r="A417" s="12">
        <v>45268</v>
      </c>
      <c r="B417" s="80">
        <v>366</v>
      </c>
      <c r="C417" s="80">
        <v>8846574</v>
      </c>
      <c r="D417" s="50"/>
      <c r="E417" s="80" t="s">
        <v>1761</v>
      </c>
      <c r="F417" s="46">
        <v>45236</v>
      </c>
      <c r="G417" s="50" t="s">
        <v>1619</v>
      </c>
      <c r="H417" s="80" t="s">
        <v>1418</v>
      </c>
      <c r="I417" s="17">
        <v>5211013</v>
      </c>
      <c r="J417" s="17" t="s">
        <v>27</v>
      </c>
      <c r="K417" s="50"/>
      <c r="L417" s="80">
        <v>0</v>
      </c>
      <c r="M417" s="80">
        <v>25</v>
      </c>
      <c r="N417" s="80">
        <v>383</v>
      </c>
      <c r="O417" s="80">
        <f t="shared" si="342"/>
        <v>9575</v>
      </c>
      <c r="P417" s="115" t="s">
        <v>477</v>
      </c>
      <c r="Q417" s="80" t="s">
        <v>159</v>
      </c>
      <c r="R417" s="115" t="s">
        <v>209</v>
      </c>
      <c r="S417" s="80" t="s">
        <v>1137</v>
      </c>
      <c r="T417" s="80">
        <v>14641</v>
      </c>
      <c r="U417" s="46">
        <v>45267</v>
      </c>
      <c r="V417" s="20">
        <v>45268</v>
      </c>
      <c r="W417" s="50"/>
      <c r="X417" s="24">
        <v>45268.399305555555</v>
      </c>
      <c r="Y417" s="24">
        <v>45268.513888888891</v>
      </c>
      <c r="Z417" s="25">
        <f t="shared" si="351"/>
        <v>0.11458333333575865</v>
      </c>
      <c r="AA417" s="24">
        <v>45268.458333333336</v>
      </c>
      <c r="AB417" s="24">
        <v>45268.506944444445</v>
      </c>
      <c r="AC417" s="25">
        <f t="shared" si="352"/>
        <v>4.8611111109494232E-2</v>
      </c>
    </row>
    <row r="418" spans="1:29" x14ac:dyDescent="0.25">
      <c r="A418" s="12">
        <v>45268</v>
      </c>
      <c r="B418" s="80">
        <v>367</v>
      </c>
      <c r="C418" s="80">
        <v>9035819</v>
      </c>
      <c r="D418" s="50"/>
      <c r="E418" s="80" t="s">
        <v>1766</v>
      </c>
      <c r="F418" s="46">
        <v>45236</v>
      </c>
      <c r="G418" s="50" t="s">
        <v>1764</v>
      </c>
      <c r="H418" s="80" t="s">
        <v>1418</v>
      </c>
      <c r="I418" s="17">
        <v>5211014</v>
      </c>
      <c r="J418" s="17" t="s">
        <v>38</v>
      </c>
      <c r="K418" s="50"/>
      <c r="L418" s="80">
        <v>0</v>
      </c>
      <c r="M418" s="80">
        <v>25</v>
      </c>
      <c r="N418" s="80">
        <v>960</v>
      </c>
      <c r="O418" s="80">
        <f t="shared" si="342"/>
        <v>24000</v>
      </c>
      <c r="P418" s="115" t="s">
        <v>477</v>
      </c>
      <c r="Q418" s="80" t="s">
        <v>247</v>
      </c>
      <c r="R418" s="115" t="s">
        <v>209</v>
      </c>
      <c r="S418" s="80" t="s">
        <v>704</v>
      </c>
      <c r="T418" s="80">
        <v>80</v>
      </c>
      <c r="U418" s="46">
        <v>45267</v>
      </c>
      <c r="V418" s="20">
        <v>45268</v>
      </c>
      <c r="W418" s="50"/>
      <c r="X418" s="24">
        <v>45268.44027777778</v>
      </c>
      <c r="Y418" s="24">
        <v>45268.576388888891</v>
      </c>
      <c r="Z418" s="25">
        <f t="shared" si="351"/>
        <v>0.13611111111094942</v>
      </c>
      <c r="AA418" s="24">
        <v>45268.520833333336</v>
      </c>
      <c r="AB418" s="24">
        <v>45268.569444444445</v>
      </c>
      <c r="AC418" s="25">
        <f t="shared" si="352"/>
        <v>4.8611111109494232E-2</v>
      </c>
    </row>
    <row r="419" spans="1:29" x14ac:dyDescent="0.25">
      <c r="A419" s="12">
        <v>45268</v>
      </c>
      <c r="B419" s="80">
        <v>367</v>
      </c>
      <c r="C419" s="80">
        <v>9035819</v>
      </c>
      <c r="D419" s="50"/>
      <c r="E419" s="80" t="s">
        <v>1766</v>
      </c>
      <c r="F419" s="46">
        <v>45236</v>
      </c>
      <c r="G419" s="50" t="s">
        <v>1765</v>
      </c>
      <c r="H419" s="80" t="s">
        <v>1418</v>
      </c>
      <c r="I419" s="17">
        <v>5211014</v>
      </c>
      <c r="J419" s="17" t="s">
        <v>38</v>
      </c>
      <c r="K419" s="50"/>
      <c r="L419" s="80">
        <v>0</v>
      </c>
      <c r="M419" s="80">
        <v>25</v>
      </c>
      <c r="N419" s="80">
        <v>80</v>
      </c>
      <c r="O419" s="80">
        <f t="shared" si="342"/>
        <v>2000</v>
      </c>
      <c r="P419" s="115" t="s">
        <v>477</v>
      </c>
      <c r="Q419" s="80" t="s">
        <v>247</v>
      </c>
      <c r="R419" s="115" t="s">
        <v>209</v>
      </c>
      <c r="S419" s="80" t="s">
        <v>704</v>
      </c>
      <c r="T419" s="80">
        <v>80</v>
      </c>
      <c r="U419" s="46">
        <v>45267</v>
      </c>
      <c r="V419" s="20">
        <v>45268</v>
      </c>
      <c r="W419" s="50"/>
      <c r="X419" s="24">
        <v>45268.44027777778</v>
      </c>
      <c r="Y419" s="24">
        <v>45268.576388888891</v>
      </c>
      <c r="Z419" s="25">
        <f t="shared" ref="Z419:Z421" si="353">Y419-X419</f>
        <v>0.13611111111094942</v>
      </c>
      <c r="AA419" s="24">
        <v>45268.520833333336</v>
      </c>
      <c r="AB419" s="24">
        <v>45268.569444444445</v>
      </c>
      <c r="AC419" s="25">
        <f t="shared" ref="AC419:AC421" si="354">AB419-AA419</f>
        <v>4.8611111109494232E-2</v>
      </c>
    </row>
    <row r="420" spans="1:29" x14ac:dyDescent="0.25">
      <c r="A420" s="12">
        <v>45268</v>
      </c>
      <c r="B420" s="80">
        <v>368</v>
      </c>
      <c r="C420" s="80">
        <v>9028887</v>
      </c>
      <c r="D420" s="50"/>
      <c r="E420" s="80" t="s">
        <v>1767</v>
      </c>
      <c r="F420" s="46">
        <v>45237</v>
      </c>
      <c r="G420" s="50" t="s">
        <v>1768</v>
      </c>
      <c r="H420" s="80" t="s">
        <v>1418</v>
      </c>
      <c r="I420" s="17">
        <v>5212256</v>
      </c>
      <c r="J420" s="17" t="s">
        <v>22</v>
      </c>
      <c r="K420" s="50"/>
      <c r="L420" s="80">
        <v>0</v>
      </c>
      <c r="M420" s="80">
        <v>25</v>
      </c>
      <c r="N420" s="80">
        <v>1040</v>
      </c>
      <c r="O420" s="80">
        <f t="shared" si="342"/>
        <v>26000</v>
      </c>
      <c r="P420" s="116" t="s">
        <v>477</v>
      </c>
      <c r="Q420" s="80" t="s">
        <v>247</v>
      </c>
      <c r="R420" s="116" t="s">
        <v>209</v>
      </c>
      <c r="S420" s="80" t="s">
        <v>1540</v>
      </c>
      <c r="T420" s="80">
        <v>79</v>
      </c>
      <c r="U420" s="46">
        <v>45267</v>
      </c>
      <c r="V420" s="20">
        <v>45268</v>
      </c>
      <c r="W420" s="50"/>
      <c r="X420" s="24">
        <v>45268.481944444444</v>
      </c>
      <c r="Y420" s="24">
        <v>45268.618055555555</v>
      </c>
      <c r="Z420" s="25">
        <f t="shared" si="353"/>
        <v>0.13611111111094942</v>
      </c>
      <c r="AA420" s="24">
        <v>45268.5625</v>
      </c>
      <c r="AB420" s="24">
        <v>45268.611111111109</v>
      </c>
      <c r="AC420" s="25">
        <f t="shared" si="354"/>
        <v>4.8611111109494232E-2</v>
      </c>
    </row>
    <row r="421" spans="1:29" x14ac:dyDescent="0.25">
      <c r="A421" s="12">
        <v>45269</v>
      </c>
      <c r="B421" s="80">
        <v>369</v>
      </c>
      <c r="C421" s="80">
        <v>9021780</v>
      </c>
      <c r="D421" s="80">
        <v>4909815241</v>
      </c>
      <c r="E421" s="80" t="s">
        <v>1782</v>
      </c>
      <c r="F421" s="46">
        <v>45235</v>
      </c>
      <c r="G421" s="50" t="s">
        <v>1783</v>
      </c>
      <c r="H421" s="80" t="s">
        <v>1418</v>
      </c>
      <c r="I421" s="17">
        <v>5212259</v>
      </c>
      <c r="J421" s="17" t="s">
        <v>26</v>
      </c>
      <c r="K421" s="50"/>
      <c r="L421" s="80">
        <v>0</v>
      </c>
      <c r="M421" s="80">
        <v>25</v>
      </c>
      <c r="N421" s="80">
        <v>290</v>
      </c>
      <c r="O421" s="80">
        <f t="shared" si="342"/>
        <v>7250</v>
      </c>
      <c r="P421" s="116" t="s">
        <v>477</v>
      </c>
      <c r="Q421" s="80" t="s">
        <v>247</v>
      </c>
      <c r="R421" s="116" t="s">
        <v>209</v>
      </c>
      <c r="S421" s="80" t="s">
        <v>704</v>
      </c>
      <c r="T421" s="80">
        <v>1053</v>
      </c>
      <c r="U421" s="46">
        <v>45268</v>
      </c>
      <c r="V421" s="46">
        <v>45269</v>
      </c>
      <c r="W421" s="50"/>
      <c r="X421" s="24">
        <v>45269.402777777781</v>
      </c>
      <c r="Y421" s="24">
        <v>45269.46875</v>
      </c>
      <c r="Z421" s="25">
        <f t="shared" si="353"/>
        <v>6.5972222218988463E-2</v>
      </c>
      <c r="AA421" s="24">
        <v>45269.416666666664</v>
      </c>
      <c r="AB421" s="24">
        <v>45269.465277777781</v>
      </c>
      <c r="AC421" s="25">
        <f t="shared" si="354"/>
        <v>4.8611111116770189E-2</v>
      </c>
    </row>
    <row r="422" spans="1:29" x14ac:dyDescent="0.25">
      <c r="A422" s="12">
        <v>45269</v>
      </c>
      <c r="B422" s="80">
        <v>369</v>
      </c>
      <c r="C422" s="80">
        <v>9021780</v>
      </c>
      <c r="D422" s="80">
        <v>4909815241</v>
      </c>
      <c r="E422" s="80" t="s">
        <v>1782</v>
      </c>
      <c r="F422" s="46">
        <v>45235</v>
      </c>
      <c r="G422" s="50" t="s">
        <v>1784</v>
      </c>
      <c r="H422" s="80" t="s">
        <v>1418</v>
      </c>
      <c r="I422" s="17">
        <v>5212259</v>
      </c>
      <c r="J422" s="17" t="s">
        <v>26</v>
      </c>
      <c r="K422" s="50"/>
      <c r="L422" s="80">
        <v>0</v>
      </c>
      <c r="M422" s="80">
        <v>25</v>
      </c>
      <c r="N422" s="80">
        <v>750</v>
      </c>
      <c r="O422" s="80">
        <f t="shared" si="342"/>
        <v>18750</v>
      </c>
      <c r="P422" s="116" t="s">
        <v>477</v>
      </c>
      <c r="Q422" s="80" t="s">
        <v>247</v>
      </c>
      <c r="R422" s="116" t="s">
        <v>209</v>
      </c>
      <c r="S422" s="80" t="s">
        <v>704</v>
      </c>
      <c r="T422" s="80">
        <v>1053</v>
      </c>
      <c r="U422" s="46">
        <v>45268</v>
      </c>
      <c r="V422" s="46">
        <v>45269</v>
      </c>
      <c r="W422" s="50"/>
      <c r="X422" s="24">
        <v>45269.402777777781</v>
      </c>
      <c r="Y422" s="24">
        <v>45269.46875</v>
      </c>
      <c r="Z422" s="25">
        <f t="shared" ref="Z422:Z423" si="355">Y422-X422</f>
        <v>6.5972222218988463E-2</v>
      </c>
      <c r="AA422" s="24">
        <v>45269.416666666664</v>
      </c>
      <c r="AB422" s="24">
        <v>45269.465277777781</v>
      </c>
      <c r="AC422" s="25">
        <f t="shared" ref="AC422:AC423" si="356">AB422-AA422</f>
        <v>4.8611111116770189E-2</v>
      </c>
    </row>
    <row r="423" spans="1:29" x14ac:dyDescent="0.25">
      <c r="A423" s="68">
        <v>45269</v>
      </c>
      <c r="B423" s="80">
        <v>370</v>
      </c>
      <c r="C423" s="80">
        <v>8918758</v>
      </c>
      <c r="D423" s="80">
        <v>4909815246</v>
      </c>
      <c r="E423" s="80" t="s">
        <v>1785</v>
      </c>
      <c r="F423" s="46">
        <v>45236</v>
      </c>
      <c r="G423" s="50" t="s">
        <v>1786</v>
      </c>
      <c r="H423" s="80" t="s">
        <v>1418</v>
      </c>
      <c r="I423" s="17">
        <v>5212252</v>
      </c>
      <c r="J423" s="17" t="s">
        <v>23</v>
      </c>
      <c r="K423" s="50"/>
      <c r="L423" s="80">
        <v>0</v>
      </c>
      <c r="M423" s="80">
        <v>25</v>
      </c>
      <c r="N423" s="50">
        <f>8325/25</f>
        <v>333</v>
      </c>
      <c r="O423" s="80">
        <f t="shared" si="342"/>
        <v>8325</v>
      </c>
      <c r="P423" s="116" t="s">
        <v>477</v>
      </c>
      <c r="Q423" s="80" t="s">
        <v>159</v>
      </c>
      <c r="R423" s="116" t="s">
        <v>209</v>
      </c>
      <c r="S423" s="80" t="s">
        <v>1354</v>
      </c>
      <c r="T423" s="80">
        <v>14645</v>
      </c>
      <c r="U423" s="46">
        <v>45268</v>
      </c>
      <c r="V423" s="46">
        <v>45269</v>
      </c>
      <c r="W423" s="50"/>
      <c r="X423" s="24">
        <v>45269.444444444445</v>
      </c>
      <c r="Y423" s="24">
        <v>45269.510416666664</v>
      </c>
      <c r="Z423" s="25">
        <f t="shared" si="355"/>
        <v>6.5972222218988463E-2</v>
      </c>
      <c r="AA423" s="24">
        <v>45269.458333333336</v>
      </c>
      <c r="AB423" s="24">
        <v>45269.506944444445</v>
      </c>
      <c r="AC423" s="25">
        <f t="shared" si="356"/>
        <v>4.8611111109494232E-2</v>
      </c>
    </row>
    <row r="424" spans="1:29" x14ac:dyDescent="0.25">
      <c r="A424" s="68">
        <v>45269</v>
      </c>
      <c r="B424" s="80">
        <v>370</v>
      </c>
      <c r="C424" s="80">
        <v>8918758</v>
      </c>
      <c r="D424" s="80">
        <v>4909815246</v>
      </c>
      <c r="E424" s="80" t="s">
        <v>1785</v>
      </c>
      <c r="F424" s="20">
        <v>45236</v>
      </c>
      <c r="G424" s="123" t="s">
        <v>1738</v>
      </c>
      <c r="H424" s="80" t="s">
        <v>1418</v>
      </c>
      <c r="I424" s="17">
        <v>5212252</v>
      </c>
      <c r="J424" s="17" t="s">
        <v>23</v>
      </c>
      <c r="K424" s="123"/>
      <c r="L424" s="80">
        <v>0</v>
      </c>
      <c r="M424" s="80">
        <v>25</v>
      </c>
      <c r="N424" s="123">
        <f>7775/25</f>
        <v>311</v>
      </c>
      <c r="O424" s="80">
        <f t="shared" si="342"/>
        <v>7775</v>
      </c>
      <c r="P424" s="123" t="s">
        <v>477</v>
      </c>
      <c r="Q424" s="80" t="s">
        <v>159</v>
      </c>
      <c r="R424" s="123" t="s">
        <v>209</v>
      </c>
      <c r="S424" s="80" t="s">
        <v>1354</v>
      </c>
      <c r="T424" s="80">
        <v>14645</v>
      </c>
      <c r="U424" s="20">
        <v>45268</v>
      </c>
      <c r="V424" s="20">
        <v>45269</v>
      </c>
      <c r="W424" s="123"/>
      <c r="X424" s="24">
        <v>45269.444444444445</v>
      </c>
      <c r="Y424" s="24">
        <v>45269.510416666664</v>
      </c>
      <c r="Z424" s="25">
        <f t="shared" ref="Z424:Z427" si="357">Y424-X424</f>
        <v>6.5972222218988463E-2</v>
      </c>
      <c r="AA424" s="24">
        <v>45269.458333333336</v>
      </c>
      <c r="AB424" s="24">
        <v>45269.506944444445</v>
      </c>
      <c r="AC424" s="25">
        <f t="shared" ref="AC424:AC427" si="358">AB424-AA424</f>
        <v>4.8611111109494232E-2</v>
      </c>
    </row>
    <row r="425" spans="1:29" x14ac:dyDescent="0.25">
      <c r="A425" s="68">
        <v>45269</v>
      </c>
      <c r="B425" s="80">
        <v>370</v>
      </c>
      <c r="C425" s="80">
        <v>8918758</v>
      </c>
      <c r="D425" s="80">
        <v>4909815246</v>
      </c>
      <c r="E425" s="80" t="s">
        <v>1785</v>
      </c>
      <c r="F425" s="20">
        <v>45236</v>
      </c>
      <c r="G425" s="123" t="s">
        <v>1787</v>
      </c>
      <c r="H425" s="80" t="s">
        <v>1418</v>
      </c>
      <c r="I425" s="17">
        <v>5212252</v>
      </c>
      <c r="J425" s="17" t="s">
        <v>23</v>
      </c>
      <c r="K425" s="123"/>
      <c r="L425" s="80">
        <v>0</v>
      </c>
      <c r="M425" s="80">
        <v>25</v>
      </c>
      <c r="N425" s="123">
        <f>9900/25</f>
        <v>396</v>
      </c>
      <c r="O425" s="80">
        <f t="shared" si="342"/>
        <v>9900</v>
      </c>
      <c r="P425" s="123" t="s">
        <v>477</v>
      </c>
      <c r="Q425" s="80" t="s">
        <v>159</v>
      </c>
      <c r="R425" s="123" t="s">
        <v>209</v>
      </c>
      <c r="S425" s="80" t="s">
        <v>1354</v>
      </c>
      <c r="T425" s="80">
        <v>14645</v>
      </c>
      <c r="U425" s="20">
        <v>45268</v>
      </c>
      <c r="V425" s="20">
        <v>45269</v>
      </c>
      <c r="W425" s="123"/>
      <c r="X425" s="24">
        <v>45269.444444444445</v>
      </c>
      <c r="Y425" s="24">
        <v>45269.510416666664</v>
      </c>
      <c r="Z425" s="25">
        <f t="shared" si="357"/>
        <v>6.5972222218988463E-2</v>
      </c>
      <c r="AA425" s="24">
        <v>45269.458333333336</v>
      </c>
      <c r="AB425" s="24">
        <v>45269.506944444445</v>
      </c>
      <c r="AC425" s="25">
        <f t="shared" si="358"/>
        <v>4.8611111109494232E-2</v>
      </c>
    </row>
    <row r="426" spans="1:29" x14ac:dyDescent="0.25">
      <c r="A426" s="68">
        <v>45269</v>
      </c>
      <c r="B426" s="80">
        <v>371</v>
      </c>
      <c r="C426" s="80">
        <v>9026997</v>
      </c>
      <c r="D426" s="80">
        <v>4909815246</v>
      </c>
      <c r="E426" s="80" t="s">
        <v>1788</v>
      </c>
      <c r="F426" s="20">
        <v>45236</v>
      </c>
      <c r="G426" s="123" t="s">
        <v>1789</v>
      </c>
      <c r="H426" s="80" t="s">
        <v>1418</v>
      </c>
      <c r="I426" s="17">
        <v>5212252</v>
      </c>
      <c r="J426" s="17" t="s">
        <v>23</v>
      </c>
      <c r="K426" s="123"/>
      <c r="L426" s="80">
        <v>0</v>
      </c>
      <c r="M426" s="80">
        <v>25</v>
      </c>
      <c r="N426" s="123">
        <v>1040</v>
      </c>
      <c r="O426" s="80">
        <f t="shared" si="342"/>
        <v>26000</v>
      </c>
      <c r="P426" s="123" t="s">
        <v>477</v>
      </c>
      <c r="Q426" s="80" t="s">
        <v>247</v>
      </c>
      <c r="R426" s="123" t="s">
        <v>209</v>
      </c>
      <c r="S426" s="80" t="s">
        <v>1790</v>
      </c>
      <c r="T426" s="80">
        <v>1055</v>
      </c>
      <c r="U426" s="20">
        <v>45268</v>
      </c>
      <c r="V426" s="20">
        <v>45269</v>
      </c>
      <c r="W426" s="123"/>
      <c r="X426" s="24">
        <v>45269.451388888891</v>
      </c>
      <c r="Y426" s="24">
        <v>45269.517361111109</v>
      </c>
      <c r="Z426" s="25">
        <f t="shared" si="357"/>
        <v>6.5972222218988463E-2</v>
      </c>
      <c r="AA426" s="24">
        <v>45269.458333333336</v>
      </c>
      <c r="AB426" s="24">
        <v>45269.506944444445</v>
      </c>
      <c r="AC426" s="25">
        <f t="shared" si="358"/>
        <v>4.8611111109494232E-2</v>
      </c>
    </row>
    <row r="427" spans="1:29" x14ac:dyDescent="0.25">
      <c r="A427" s="68">
        <v>45269</v>
      </c>
      <c r="B427" s="80">
        <v>372</v>
      </c>
      <c r="C427" s="80">
        <v>9026997</v>
      </c>
      <c r="D427" s="80">
        <v>4909815246</v>
      </c>
      <c r="E427" s="80" t="s">
        <v>1788</v>
      </c>
      <c r="F427" s="20">
        <v>45236</v>
      </c>
      <c r="G427" s="123" t="s">
        <v>1739</v>
      </c>
      <c r="H427" s="80" t="s">
        <v>1418</v>
      </c>
      <c r="I427" s="17">
        <v>5212252</v>
      </c>
      <c r="J427" s="17" t="s">
        <v>23</v>
      </c>
      <c r="K427" s="123"/>
      <c r="L427" s="80">
        <v>0</v>
      </c>
      <c r="M427" s="80">
        <v>25</v>
      </c>
      <c r="N427" s="123">
        <f>12475/25</f>
        <v>499</v>
      </c>
      <c r="O427" s="80">
        <f t="shared" si="342"/>
        <v>12475</v>
      </c>
      <c r="P427" s="123" t="s">
        <v>477</v>
      </c>
      <c r="Q427" s="80" t="s">
        <v>247</v>
      </c>
      <c r="R427" s="123" t="s">
        <v>209</v>
      </c>
      <c r="S427" s="80" t="s">
        <v>1121</v>
      </c>
      <c r="T427" s="80">
        <v>1054</v>
      </c>
      <c r="U427" s="20">
        <v>45268</v>
      </c>
      <c r="V427" s="20">
        <v>45269</v>
      </c>
      <c r="W427" s="123"/>
      <c r="X427" s="24">
        <v>45269.395833333336</v>
      </c>
      <c r="Y427" s="24">
        <v>45269.444444444445</v>
      </c>
      <c r="Z427" s="25">
        <f t="shared" si="357"/>
        <v>4.8611111109494232E-2</v>
      </c>
      <c r="AA427" s="24">
        <v>45269.402777777781</v>
      </c>
      <c r="AB427" s="24">
        <v>45269.444444444445</v>
      </c>
      <c r="AC427" s="25">
        <f t="shared" si="358"/>
        <v>4.1666666664241347E-2</v>
      </c>
    </row>
    <row r="428" spans="1:29" x14ac:dyDescent="0.25">
      <c r="A428" s="68">
        <v>45269</v>
      </c>
      <c r="B428" s="80">
        <v>372</v>
      </c>
      <c r="C428" s="80">
        <v>9026997</v>
      </c>
      <c r="D428" s="80">
        <v>4909815246</v>
      </c>
      <c r="E428" s="80" t="s">
        <v>1788</v>
      </c>
      <c r="F428" s="20">
        <v>45236</v>
      </c>
      <c r="G428" s="123" t="s">
        <v>1789</v>
      </c>
      <c r="H428" s="80" t="s">
        <v>1418</v>
      </c>
      <c r="I428" s="17">
        <v>5212252</v>
      </c>
      <c r="J428" s="17" t="s">
        <v>23</v>
      </c>
      <c r="K428" s="123"/>
      <c r="L428" s="80">
        <v>0</v>
      </c>
      <c r="M428" s="80">
        <v>25</v>
      </c>
      <c r="N428" s="123">
        <f>9650/25</f>
        <v>386</v>
      </c>
      <c r="O428" s="80">
        <f t="shared" si="342"/>
        <v>9650</v>
      </c>
      <c r="P428" s="123" t="s">
        <v>477</v>
      </c>
      <c r="Q428" s="80" t="s">
        <v>247</v>
      </c>
      <c r="R428" s="123" t="s">
        <v>209</v>
      </c>
      <c r="S428" s="80" t="s">
        <v>1121</v>
      </c>
      <c r="T428" s="80">
        <v>1054</v>
      </c>
      <c r="U428" s="20">
        <v>45268</v>
      </c>
      <c r="V428" s="20">
        <v>45269</v>
      </c>
      <c r="W428" s="123"/>
      <c r="X428" s="24">
        <v>45269.395833333336</v>
      </c>
      <c r="Y428" s="24">
        <v>45269.444444444445</v>
      </c>
      <c r="Z428" s="25">
        <f t="shared" ref="Z428:Z430" si="359">Y428-X428</f>
        <v>4.8611111109494232E-2</v>
      </c>
      <c r="AA428" s="24">
        <v>45269.402777777781</v>
      </c>
      <c r="AB428" s="24">
        <v>45269.444444444445</v>
      </c>
      <c r="AC428" s="25">
        <f t="shared" ref="AC428:AC430" si="360">AB428-AA428</f>
        <v>4.1666666664241347E-2</v>
      </c>
    </row>
    <row r="429" spans="1:29" x14ac:dyDescent="0.25">
      <c r="A429" s="68">
        <v>45269</v>
      </c>
      <c r="B429" s="80">
        <v>372</v>
      </c>
      <c r="C429" s="80">
        <v>9026997</v>
      </c>
      <c r="D429" s="80">
        <v>4909815246</v>
      </c>
      <c r="E429" s="80" t="s">
        <v>1788</v>
      </c>
      <c r="F429" s="20">
        <v>45236</v>
      </c>
      <c r="G429" s="123" t="s">
        <v>1759</v>
      </c>
      <c r="H429" s="80" t="s">
        <v>1418</v>
      </c>
      <c r="I429" s="17">
        <v>5212252</v>
      </c>
      <c r="J429" s="17" t="s">
        <v>23</v>
      </c>
      <c r="K429" s="123"/>
      <c r="L429" s="80">
        <v>0</v>
      </c>
      <c r="M429" s="80">
        <v>25</v>
      </c>
      <c r="N429" s="123">
        <f>3875/25</f>
        <v>155</v>
      </c>
      <c r="O429" s="80">
        <f t="shared" si="342"/>
        <v>3875</v>
      </c>
      <c r="P429" s="123" t="s">
        <v>477</v>
      </c>
      <c r="Q429" s="80" t="s">
        <v>247</v>
      </c>
      <c r="R429" s="123" t="s">
        <v>209</v>
      </c>
      <c r="S429" s="80" t="s">
        <v>1121</v>
      </c>
      <c r="T429" s="80">
        <v>1054</v>
      </c>
      <c r="U429" s="20">
        <v>45268</v>
      </c>
      <c r="V429" s="20">
        <v>45269</v>
      </c>
      <c r="W429" s="123"/>
      <c r="X429" s="24">
        <v>45269.395833333336</v>
      </c>
      <c r="Y429" s="24">
        <v>45269.444444444445</v>
      </c>
      <c r="Z429" s="25">
        <f t="shared" si="359"/>
        <v>4.8611111109494232E-2</v>
      </c>
      <c r="AA429" s="24">
        <v>45269.402777777781</v>
      </c>
      <c r="AB429" s="24">
        <v>45269.444444444445</v>
      </c>
      <c r="AC429" s="25">
        <f t="shared" si="360"/>
        <v>4.1666666664241347E-2</v>
      </c>
    </row>
    <row r="430" spans="1:29" x14ac:dyDescent="0.25">
      <c r="A430" s="68">
        <v>45269</v>
      </c>
      <c r="B430" s="80">
        <v>373</v>
      </c>
      <c r="C430" s="80">
        <v>9041475</v>
      </c>
      <c r="D430" s="80">
        <v>4909815262</v>
      </c>
      <c r="E430" s="80" t="s">
        <v>1793</v>
      </c>
      <c r="F430" s="20">
        <v>45235</v>
      </c>
      <c r="G430" s="80" t="s">
        <v>1795</v>
      </c>
      <c r="H430" s="80" t="s">
        <v>1418</v>
      </c>
      <c r="I430" s="17" t="s">
        <v>1607</v>
      </c>
      <c r="J430" s="17" t="s">
        <v>29</v>
      </c>
      <c r="K430" s="123"/>
      <c r="L430" s="80">
        <v>0</v>
      </c>
      <c r="M430" s="80">
        <v>25</v>
      </c>
      <c r="N430" s="123">
        <v>180</v>
      </c>
      <c r="O430" s="80">
        <f t="shared" si="342"/>
        <v>4500</v>
      </c>
      <c r="P430" s="123" t="s">
        <v>477</v>
      </c>
      <c r="Q430" s="80" t="s">
        <v>247</v>
      </c>
      <c r="R430" s="123" t="s">
        <v>209</v>
      </c>
      <c r="S430" s="80" t="s">
        <v>1540</v>
      </c>
      <c r="T430" s="80">
        <v>1051</v>
      </c>
      <c r="U430" s="20">
        <v>45268</v>
      </c>
      <c r="V430" s="20">
        <v>45269</v>
      </c>
      <c r="W430" s="123"/>
      <c r="X430" s="24">
        <v>45269.409722222219</v>
      </c>
      <c r="Y430" s="24">
        <v>45269.673611111109</v>
      </c>
      <c r="Z430" s="25">
        <f t="shared" si="359"/>
        <v>0.26388888889050577</v>
      </c>
      <c r="AA430" s="24">
        <v>45269.625</v>
      </c>
      <c r="AB430" s="24">
        <v>45269.673611111109</v>
      </c>
      <c r="AC430" s="25">
        <f t="shared" si="360"/>
        <v>4.8611111109494232E-2</v>
      </c>
    </row>
    <row r="431" spans="1:29" x14ac:dyDescent="0.25">
      <c r="A431" s="68">
        <v>45269</v>
      </c>
      <c r="B431" s="80">
        <v>373</v>
      </c>
      <c r="C431" s="80">
        <v>9041475</v>
      </c>
      <c r="D431" s="80">
        <v>4909815262</v>
      </c>
      <c r="E431" s="80" t="s">
        <v>1793</v>
      </c>
      <c r="F431" s="20">
        <v>45235</v>
      </c>
      <c r="G431" s="80" t="s">
        <v>1794</v>
      </c>
      <c r="H431" s="80" t="s">
        <v>1418</v>
      </c>
      <c r="I431" s="17" t="s">
        <v>1607</v>
      </c>
      <c r="J431" s="17" t="s">
        <v>29</v>
      </c>
      <c r="K431" s="123"/>
      <c r="L431" s="80">
        <v>0</v>
      </c>
      <c r="M431" s="80">
        <v>25</v>
      </c>
      <c r="N431" s="123">
        <v>860</v>
      </c>
      <c r="O431" s="80">
        <f t="shared" si="342"/>
        <v>21500</v>
      </c>
      <c r="P431" s="123" t="s">
        <v>477</v>
      </c>
      <c r="Q431" s="80" t="s">
        <v>247</v>
      </c>
      <c r="R431" s="123" t="s">
        <v>209</v>
      </c>
      <c r="S431" s="80" t="s">
        <v>1540</v>
      </c>
      <c r="T431" s="80">
        <v>1051</v>
      </c>
      <c r="U431" s="20">
        <v>45268</v>
      </c>
      <c r="V431" s="20">
        <v>45269</v>
      </c>
      <c r="W431" s="123"/>
      <c r="X431" s="24">
        <v>45269.409722222219</v>
      </c>
      <c r="Y431" s="24">
        <v>45269.673611111109</v>
      </c>
      <c r="Z431" s="25">
        <f t="shared" ref="Z431:Z434" si="361">Y431-X431</f>
        <v>0.26388888889050577</v>
      </c>
      <c r="AA431" s="24">
        <v>45269.625</v>
      </c>
      <c r="AB431" s="24">
        <v>45269.673611111109</v>
      </c>
      <c r="AC431" s="25">
        <f t="shared" ref="AC431:AC434" si="362">AB431-AA431</f>
        <v>4.8611111109494232E-2</v>
      </c>
    </row>
    <row r="432" spans="1:29" x14ac:dyDescent="0.25">
      <c r="A432" s="68">
        <v>45269</v>
      </c>
      <c r="B432" s="80">
        <v>374</v>
      </c>
      <c r="C432" s="80">
        <v>8918758</v>
      </c>
      <c r="D432" s="80">
        <v>4909815265</v>
      </c>
      <c r="E432" s="80" t="s">
        <v>1785</v>
      </c>
      <c r="F432" s="20">
        <v>45236</v>
      </c>
      <c r="G432" s="80" t="s">
        <v>1787</v>
      </c>
      <c r="H432" s="80" t="s">
        <v>1418</v>
      </c>
      <c r="I432" s="17">
        <v>5212252</v>
      </c>
      <c r="J432" s="17" t="s">
        <v>23</v>
      </c>
      <c r="K432" s="123"/>
      <c r="L432" s="80">
        <v>0</v>
      </c>
      <c r="M432" s="80">
        <v>25</v>
      </c>
      <c r="N432" s="123">
        <v>1040</v>
      </c>
      <c r="O432" s="80">
        <f t="shared" si="342"/>
        <v>26000</v>
      </c>
      <c r="P432" s="123" t="s">
        <v>477</v>
      </c>
      <c r="Q432" s="80" t="s">
        <v>159</v>
      </c>
      <c r="R432" s="123" t="s">
        <v>209</v>
      </c>
      <c r="S432" s="80" t="s">
        <v>715</v>
      </c>
      <c r="T432" s="80">
        <v>14644</v>
      </c>
      <c r="U432" s="20">
        <v>45268</v>
      </c>
      <c r="V432" s="20">
        <v>45269</v>
      </c>
      <c r="W432" s="123"/>
      <c r="X432" s="24">
        <v>45269.416666666664</v>
      </c>
      <c r="Y432" s="24">
        <v>45269.673611111109</v>
      </c>
      <c r="Z432" s="25">
        <f t="shared" si="361"/>
        <v>0.25694444444525288</v>
      </c>
      <c r="AA432" s="24">
        <v>45269.625</v>
      </c>
      <c r="AB432" s="24">
        <v>45269.673611111109</v>
      </c>
      <c r="AC432" s="25">
        <f t="shared" si="362"/>
        <v>4.8611111109494232E-2</v>
      </c>
    </row>
    <row r="433" spans="1:29" x14ac:dyDescent="0.25">
      <c r="A433" s="68">
        <v>45271</v>
      </c>
      <c r="B433" s="80">
        <v>375</v>
      </c>
      <c r="C433" s="80">
        <v>9025225</v>
      </c>
      <c r="D433" s="80">
        <v>4909825136</v>
      </c>
      <c r="E433" s="80" t="s">
        <v>1796</v>
      </c>
      <c r="F433" s="20">
        <v>45239</v>
      </c>
      <c r="G433" s="80" t="s">
        <v>1797</v>
      </c>
      <c r="H433" s="80" t="s">
        <v>1418</v>
      </c>
      <c r="I433" s="17">
        <v>5212252</v>
      </c>
      <c r="J433" s="17" t="s">
        <v>23</v>
      </c>
      <c r="K433" s="123"/>
      <c r="L433" s="80">
        <v>0</v>
      </c>
      <c r="M433" s="80">
        <v>25</v>
      </c>
      <c r="N433" s="80">
        <v>1040</v>
      </c>
      <c r="O433" s="80">
        <f t="shared" si="342"/>
        <v>26000</v>
      </c>
      <c r="P433" s="123" t="s">
        <v>477</v>
      </c>
      <c r="Q433" s="80" t="s">
        <v>247</v>
      </c>
      <c r="R433" s="123" t="s">
        <v>209</v>
      </c>
      <c r="S433" s="80" t="s">
        <v>1540</v>
      </c>
      <c r="T433" s="80">
        <v>1056</v>
      </c>
      <c r="U433" s="20">
        <v>45269</v>
      </c>
      <c r="V433" s="20">
        <v>45271</v>
      </c>
      <c r="W433" s="123"/>
      <c r="X433" s="24">
        <v>45271.416666666664</v>
      </c>
      <c r="Y433" s="24">
        <v>45271.541666666664</v>
      </c>
      <c r="Z433" s="25">
        <f t="shared" si="361"/>
        <v>0.125</v>
      </c>
      <c r="AA433" s="24">
        <v>45271.5</v>
      </c>
      <c r="AB433" s="24">
        <v>45271.541666666664</v>
      </c>
      <c r="AC433" s="25">
        <f t="shared" si="362"/>
        <v>4.1666666664241347E-2</v>
      </c>
    </row>
    <row r="434" spans="1:29" x14ac:dyDescent="0.25">
      <c r="A434" s="68">
        <v>45271</v>
      </c>
      <c r="B434" s="80">
        <v>376</v>
      </c>
      <c r="C434" s="80">
        <v>9022982</v>
      </c>
      <c r="D434" s="80">
        <v>4909825353</v>
      </c>
      <c r="E434" s="80" t="s">
        <v>1798</v>
      </c>
      <c r="F434" s="20">
        <v>45235</v>
      </c>
      <c r="G434" s="80" t="s">
        <v>575</v>
      </c>
      <c r="H434" s="80" t="s">
        <v>1418</v>
      </c>
      <c r="I434" s="17">
        <v>5210162</v>
      </c>
      <c r="J434" s="17" t="s">
        <v>24</v>
      </c>
      <c r="K434" s="123"/>
      <c r="L434" s="80">
        <v>0</v>
      </c>
      <c r="M434" s="80">
        <v>25</v>
      </c>
      <c r="N434" s="80">
        <v>120</v>
      </c>
      <c r="O434" s="80">
        <f t="shared" si="342"/>
        <v>3000</v>
      </c>
      <c r="P434" s="123" t="s">
        <v>477</v>
      </c>
      <c r="Q434" s="80" t="s">
        <v>247</v>
      </c>
      <c r="R434" s="123" t="s">
        <v>209</v>
      </c>
      <c r="S434" s="80" t="s">
        <v>704</v>
      </c>
      <c r="T434" s="80">
        <v>1052</v>
      </c>
      <c r="U434" s="20">
        <v>45269</v>
      </c>
      <c r="V434" s="20">
        <v>45271</v>
      </c>
      <c r="W434" s="123"/>
      <c r="X434" s="24">
        <v>45271.416666666664</v>
      </c>
      <c r="Y434" s="24">
        <v>45271.541666666664</v>
      </c>
      <c r="Z434" s="25">
        <f t="shared" si="361"/>
        <v>0.125</v>
      </c>
      <c r="AA434" s="24">
        <v>45271.465277777781</v>
      </c>
      <c r="AB434" s="24">
        <v>45271.520833333336</v>
      </c>
      <c r="AC434" s="25">
        <f t="shared" si="362"/>
        <v>5.5555555554747116E-2</v>
      </c>
    </row>
    <row r="435" spans="1:29" x14ac:dyDescent="0.25">
      <c r="A435" s="68">
        <v>45271</v>
      </c>
      <c r="B435" s="80">
        <v>376</v>
      </c>
      <c r="C435" s="80">
        <v>9022982</v>
      </c>
      <c r="D435" s="80">
        <v>4909825353</v>
      </c>
      <c r="E435" s="80" t="s">
        <v>1798</v>
      </c>
      <c r="F435" s="20">
        <v>45235</v>
      </c>
      <c r="G435" s="80" t="s">
        <v>770</v>
      </c>
      <c r="H435" s="80" t="s">
        <v>1418</v>
      </c>
      <c r="I435" s="17">
        <v>5210162</v>
      </c>
      <c r="J435" s="17" t="s">
        <v>24</v>
      </c>
      <c r="K435" s="123"/>
      <c r="L435" s="80">
        <v>0</v>
      </c>
      <c r="M435" s="80">
        <v>25</v>
      </c>
      <c r="N435" s="80">
        <v>389</v>
      </c>
      <c r="O435" s="80">
        <f t="shared" si="342"/>
        <v>9725</v>
      </c>
      <c r="P435" s="123" t="s">
        <v>477</v>
      </c>
      <c r="Q435" s="80" t="s">
        <v>247</v>
      </c>
      <c r="R435" s="123" t="s">
        <v>209</v>
      </c>
      <c r="S435" s="80" t="s">
        <v>704</v>
      </c>
      <c r="T435" s="80">
        <v>1052</v>
      </c>
      <c r="U435" s="20">
        <v>45269</v>
      </c>
      <c r="V435" s="20">
        <v>45271</v>
      </c>
      <c r="W435" s="123"/>
      <c r="X435" s="24">
        <v>45271.416666666664</v>
      </c>
      <c r="Y435" s="24">
        <v>45271.541666666664</v>
      </c>
      <c r="Z435" s="25">
        <f t="shared" ref="Z435:Z437" si="363">Y435-X435</f>
        <v>0.125</v>
      </c>
      <c r="AA435" s="24">
        <v>45271.465277777781</v>
      </c>
      <c r="AB435" s="24">
        <v>45271.520833333336</v>
      </c>
      <c r="AC435" s="25">
        <f t="shared" ref="AC435:AC437" si="364">AB435-AA435</f>
        <v>5.5555555554747116E-2</v>
      </c>
    </row>
    <row r="436" spans="1:29" x14ac:dyDescent="0.25">
      <c r="A436" s="68">
        <v>45271</v>
      </c>
      <c r="B436" s="80">
        <v>376</v>
      </c>
      <c r="C436" s="80">
        <v>9022982</v>
      </c>
      <c r="D436" s="80">
        <v>4909825353</v>
      </c>
      <c r="E436" s="80" t="s">
        <v>1798</v>
      </c>
      <c r="F436" s="20">
        <v>45235</v>
      </c>
      <c r="G436" s="80" t="s">
        <v>711</v>
      </c>
      <c r="H436" s="80" t="s">
        <v>1418</v>
      </c>
      <c r="I436" s="17">
        <v>5210162</v>
      </c>
      <c r="J436" s="17" t="s">
        <v>24</v>
      </c>
      <c r="K436" s="123"/>
      <c r="L436" s="80">
        <v>0</v>
      </c>
      <c r="M436" s="80">
        <v>25</v>
      </c>
      <c r="N436" s="80">
        <v>531</v>
      </c>
      <c r="O436" s="80">
        <f t="shared" si="342"/>
        <v>13275</v>
      </c>
      <c r="P436" s="123" t="s">
        <v>477</v>
      </c>
      <c r="Q436" s="80" t="s">
        <v>247</v>
      </c>
      <c r="R436" s="123" t="s">
        <v>209</v>
      </c>
      <c r="S436" s="80" t="s">
        <v>704</v>
      </c>
      <c r="T436" s="80">
        <v>1052</v>
      </c>
      <c r="U436" s="20">
        <v>45269</v>
      </c>
      <c r="V436" s="20">
        <v>45271</v>
      </c>
      <c r="W436" s="123"/>
      <c r="X436" s="24">
        <v>45271.416666666664</v>
      </c>
      <c r="Y436" s="24">
        <v>45271.541666666664</v>
      </c>
      <c r="Z436" s="25">
        <f t="shared" si="363"/>
        <v>0.125</v>
      </c>
      <c r="AA436" s="24">
        <v>45271.465277777781</v>
      </c>
      <c r="AB436" s="24">
        <v>45271.520833333336</v>
      </c>
      <c r="AC436" s="25">
        <f t="shared" si="364"/>
        <v>5.5555555554747116E-2</v>
      </c>
    </row>
    <row r="437" spans="1:29" x14ac:dyDescent="0.25">
      <c r="A437" s="68">
        <v>45271</v>
      </c>
      <c r="B437" s="80">
        <v>377</v>
      </c>
      <c r="C437" s="80">
        <v>9025225</v>
      </c>
      <c r="D437" s="123"/>
      <c r="E437" s="80" t="s">
        <v>1796</v>
      </c>
      <c r="F437" s="20">
        <v>45239</v>
      </c>
      <c r="G437" s="80" t="s">
        <v>1799</v>
      </c>
      <c r="H437" s="80" t="s">
        <v>1418</v>
      </c>
      <c r="I437" s="17">
        <v>5212252</v>
      </c>
      <c r="J437" s="17" t="s">
        <v>23</v>
      </c>
      <c r="K437" s="123"/>
      <c r="L437" s="80">
        <v>0</v>
      </c>
      <c r="M437" s="80">
        <v>25</v>
      </c>
      <c r="N437" s="80">
        <v>219</v>
      </c>
      <c r="O437" s="80">
        <f t="shared" si="342"/>
        <v>5475</v>
      </c>
      <c r="P437" s="123" t="s">
        <v>477</v>
      </c>
      <c r="Q437" s="80" t="s">
        <v>247</v>
      </c>
      <c r="R437" s="123" t="s">
        <v>209</v>
      </c>
      <c r="S437" s="80" t="s">
        <v>1801</v>
      </c>
      <c r="T437" s="80">
        <v>1058</v>
      </c>
      <c r="U437" s="20">
        <v>45269</v>
      </c>
      <c r="V437" s="20">
        <v>45271</v>
      </c>
      <c r="W437" s="123"/>
      <c r="X437" s="24">
        <v>45271.416666666664</v>
      </c>
      <c r="Y437" s="24">
        <v>45271.5</v>
      </c>
      <c r="Z437" s="25">
        <f t="shared" si="363"/>
        <v>8.3333333335758653E-2</v>
      </c>
      <c r="AA437" s="24">
        <v>45271.430555555555</v>
      </c>
      <c r="AB437" s="24">
        <v>45271.479166666664</v>
      </c>
      <c r="AC437" s="25">
        <f t="shared" si="364"/>
        <v>4.8611111109494232E-2</v>
      </c>
    </row>
    <row r="438" spans="1:29" x14ac:dyDescent="0.25">
      <c r="A438" s="68">
        <v>45271</v>
      </c>
      <c r="B438" s="80">
        <v>377</v>
      </c>
      <c r="C438" s="80">
        <v>9025225</v>
      </c>
      <c r="D438" s="123"/>
      <c r="E438" s="80" t="s">
        <v>1796</v>
      </c>
      <c r="F438" s="20">
        <v>45239</v>
      </c>
      <c r="G438" s="80" t="s">
        <v>1800</v>
      </c>
      <c r="H438" s="80" t="s">
        <v>1418</v>
      </c>
      <c r="I438" s="17">
        <v>5212252</v>
      </c>
      <c r="J438" s="17" t="s">
        <v>23</v>
      </c>
      <c r="K438" s="123"/>
      <c r="L438" s="80">
        <v>0</v>
      </c>
      <c r="M438" s="80">
        <v>25</v>
      </c>
      <c r="N438" s="80">
        <v>430</v>
      </c>
      <c r="O438" s="80">
        <f t="shared" si="342"/>
        <v>10750</v>
      </c>
      <c r="P438" s="123" t="s">
        <v>477</v>
      </c>
      <c r="Q438" s="80" t="s">
        <v>247</v>
      </c>
      <c r="R438" s="123" t="s">
        <v>209</v>
      </c>
      <c r="S438" s="80" t="s">
        <v>1801</v>
      </c>
      <c r="T438" s="80">
        <v>1058</v>
      </c>
      <c r="U438" s="20">
        <v>45269</v>
      </c>
      <c r="V438" s="20">
        <v>45271</v>
      </c>
      <c r="W438" s="123"/>
      <c r="X438" s="24">
        <v>45271.416666666664</v>
      </c>
      <c r="Y438" s="24">
        <v>45271.5</v>
      </c>
      <c r="Z438" s="25">
        <f t="shared" ref="Z438:Z447" si="365">Y438-X438</f>
        <v>8.3333333335758653E-2</v>
      </c>
      <c r="AA438" s="24">
        <v>45271.430555555555</v>
      </c>
      <c r="AB438" s="24">
        <v>45271.479166666664</v>
      </c>
      <c r="AC438" s="25">
        <f t="shared" ref="AC438:AC447" si="366">AB438-AA438</f>
        <v>4.8611111109494232E-2</v>
      </c>
    </row>
    <row r="439" spans="1:29" x14ac:dyDescent="0.25">
      <c r="A439" s="68">
        <v>45271</v>
      </c>
      <c r="B439" s="80">
        <v>377</v>
      </c>
      <c r="C439" s="80">
        <v>9025225</v>
      </c>
      <c r="D439" s="123"/>
      <c r="E439" s="80" t="s">
        <v>1796</v>
      </c>
      <c r="F439" s="20">
        <v>45239</v>
      </c>
      <c r="G439" s="80" t="s">
        <v>1797</v>
      </c>
      <c r="H439" s="80" t="s">
        <v>1418</v>
      </c>
      <c r="I439" s="17">
        <v>5212252</v>
      </c>
      <c r="J439" s="17" t="s">
        <v>23</v>
      </c>
      <c r="K439" s="123"/>
      <c r="L439" s="80">
        <v>0</v>
      </c>
      <c r="M439" s="80">
        <v>25</v>
      </c>
      <c r="N439" s="80">
        <v>391</v>
      </c>
      <c r="O439" s="80">
        <f t="shared" si="342"/>
        <v>9775</v>
      </c>
      <c r="P439" s="123" t="s">
        <v>477</v>
      </c>
      <c r="Q439" s="80" t="s">
        <v>247</v>
      </c>
      <c r="R439" s="123" t="s">
        <v>209</v>
      </c>
      <c r="S439" s="80" t="s">
        <v>1801</v>
      </c>
      <c r="T439" s="80">
        <v>1058</v>
      </c>
      <c r="U439" s="20">
        <v>45269</v>
      </c>
      <c r="V439" s="20">
        <v>45271</v>
      </c>
      <c r="W439" s="123"/>
      <c r="X439" s="24">
        <v>45271.416666666664</v>
      </c>
      <c r="Y439" s="24">
        <v>45271.5</v>
      </c>
      <c r="Z439" s="25">
        <f t="shared" si="365"/>
        <v>8.3333333335758653E-2</v>
      </c>
      <c r="AA439" s="24">
        <v>45271.430555555555</v>
      </c>
      <c r="AB439" s="24">
        <v>45271.479166666664</v>
      </c>
      <c r="AC439" s="25">
        <f t="shared" si="366"/>
        <v>4.8611111109494232E-2</v>
      </c>
    </row>
    <row r="440" spans="1:29" x14ac:dyDescent="0.25">
      <c r="A440" s="68">
        <v>45271</v>
      </c>
      <c r="B440" s="80">
        <v>378</v>
      </c>
      <c r="C440" s="80">
        <v>9025225</v>
      </c>
      <c r="D440" s="80">
        <v>4909825601</v>
      </c>
      <c r="E440" s="80" t="s">
        <v>1796</v>
      </c>
      <c r="F440" s="20">
        <v>45239</v>
      </c>
      <c r="G440" s="80" t="s">
        <v>1800</v>
      </c>
      <c r="H440" s="80" t="s">
        <v>1418</v>
      </c>
      <c r="I440" s="17">
        <v>5212252</v>
      </c>
      <c r="J440" s="17" t="s">
        <v>23</v>
      </c>
      <c r="K440" s="123"/>
      <c r="L440" s="80">
        <v>0</v>
      </c>
      <c r="M440" s="80">
        <v>25</v>
      </c>
      <c r="N440" s="80">
        <v>1040</v>
      </c>
      <c r="O440" s="80">
        <f t="shared" si="342"/>
        <v>26000</v>
      </c>
      <c r="P440" s="123" t="s">
        <v>477</v>
      </c>
      <c r="Q440" s="80" t="s">
        <v>247</v>
      </c>
      <c r="R440" s="123" t="s">
        <v>209</v>
      </c>
      <c r="S440" s="80" t="s">
        <v>1802</v>
      </c>
      <c r="T440" s="80">
        <v>1057</v>
      </c>
      <c r="U440" s="20">
        <v>45269</v>
      </c>
      <c r="V440" s="20">
        <v>45271</v>
      </c>
      <c r="W440" s="123"/>
      <c r="X440" s="24">
        <v>45271.458333333336</v>
      </c>
      <c r="Y440" s="24">
        <v>45271.520833333336</v>
      </c>
      <c r="Z440" s="25">
        <f t="shared" si="365"/>
        <v>6.25E-2</v>
      </c>
      <c r="AA440" s="24">
        <v>45271.472222222219</v>
      </c>
      <c r="AB440" s="24">
        <v>45271.520833333336</v>
      </c>
      <c r="AC440" s="25">
        <f t="shared" si="366"/>
        <v>4.8611111116770189E-2</v>
      </c>
    </row>
    <row r="441" spans="1:29" x14ac:dyDescent="0.25">
      <c r="A441" s="68">
        <v>45272</v>
      </c>
      <c r="B441" s="80">
        <v>379</v>
      </c>
      <c r="C441" s="80">
        <v>9020260</v>
      </c>
      <c r="D441" s="50"/>
      <c r="E441" s="80" t="s">
        <v>1812</v>
      </c>
      <c r="F441" s="46">
        <v>45244</v>
      </c>
      <c r="G441" s="93" t="s">
        <v>1813</v>
      </c>
      <c r="H441" s="80" t="s">
        <v>1547</v>
      </c>
      <c r="I441" s="17">
        <v>5230831</v>
      </c>
      <c r="J441" s="17" t="s">
        <v>35</v>
      </c>
      <c r="K441" s="50"/>
      <c r="L441" s="80">
        <v>0</v>
      </c>
      <c r="M441" s="80">
        <v>240</v>
      </c>
      <c r="N441" s="80">
        <v>80</v>
      </c>
      <c r="O441" s="80">
        <f t="shared" si="342"/>
        <v>19200</v>
      </c>
      <c r="P441" s="124" t="s">
        <v>477</v>
      </c>
      <c r="Q441" s="80" t="s">
        <v>247</v>
      </c>
      <c r="R441" s="80" t="s">
        <v>997</v>
      </c>
      <c r="S441" s="80" t="s">
        <v>275</v>
      </c>
      <c r="T441" s="80">
        <v>1061</v>
      </c>
      <c r="U441" s="46">
        <v>45271</v>
      </c>
      <c r="V441" s="46">
        <v>45272</v>
      </c>
      <c r="W441" s="50"/>
      <c r="X441" s="24">
        <v>45272.381944444445</v>
      </c>
      <c r="Y441" s="24">
        <v>45272.451388888891</v>
      </c>
      <c r="Z441" s="25">
        <f t="shared" si="365"/>
        <v>6.9444444445252884E-2</v>
      </c>
      <c r="AA441" s="24">
        <v>45272.388888888891</v>
      </c>
      <c r="AB441" s="24">
        <v>45272.451388888891</v>
      </c>
      <c r="AC441" s="25">
        <f t="shared" si="366"/>
        <v>6.25E-2</v>
      </c>
    </row>
    <row r="442" spans="1:29" x14ac:dyDescent="0.25">
      <c r="A442" s="68">
        <v>45272</v>
      </c>
      <c r="B442" s="80">
        <v>380</v>
      </c>
      <c r="C442" s="80">
        <v>9020260</v>
      </c>
      <c r="D442" s="50"/>
      <c r="E442" s="80" t="s">
        <v>1812</v>
      </c>
      <c r="F442" s="46">
        <v>45244</v>
      </c>
      <c r="G442" s="93" t="s">
        <v>1813</v>
      </c>
      <c r="H442" s="80" t="s">
        <v>1547</v>
      </c>
      <c r="I442" s="17">
        <v>5230831</v>
      </c>
      <c r="J442" s="17" t="s">
        <v>35</v>
      </c>
      <c r="K442" s="50"/>
      <c r="L442" s="80">
        <v>0</v>
      </c>
      <c r="M442" s="80">
        <v>240</v>
      </c>
      <c r="N442" s="80">
        <v>80</v>
      </c>
      <c r="O442" s="80">
        <f t="shared" si="342"/>
        <v>19200</v>
      </c>
      <c r="P442" s="124" t="s">
        <v>477</v>
      </c>
      <c r="Q442" s="80" t="s">
        <v>247</v>
      </c>
      <c r="R442" s="80" t="s">
        <v>997</v>
      </c>
      <c r="S442" s="80" t="s">
        <v>813</v>
      </c>
      <c r="T442" s="80">
        <v>1062</v>
      </c>
      <c r="U442" s="46">
        <v>45271</v>
      </c>
      <c r="V442" s="46">
        <v>45272</v>
      </c>
      <c r="W442" s="50"/>
      <c r="X442" s="24">
        <v>45272.548611111109</v>
      </c>
      <c r="Y442" s="24">
        <v>45272.666666666664</v>
      </c>
      <c r="Z442" s="25">
        <f t="shared" si="365"/>
        <v>0.11805555555474712</v>
      </c>
      <c r="AA442" s="24">
        <v>45272.631944444445</v>
      </c>
      <c r="AB442" s="24">
        <v>45272.666666666664</v>
      </c>
      <c r="AC442" s="25">
        <f t="shared" si="366"/>
        <v>3.4722222218988463E-2</v>
      </c>
    </row>
    <row r="443" spans="1:29" x14ac:dyDescent="0.25">
      <c r="A443" s="68">
        <v>45272</v>
      </c>
      <c r="B443" s="80">
        <v>381</v>
      </c>
      <c r="C443" s="80">
        <v>9017766</v>
      </c>
      <c r="D443" s="50"/>
      <c r="E443" s="80" t="s">
        <v>1817</v>
      </c>
      <c r="F443" s="46">
        <v>45236</v>
      </c>
      <c r="G443" s="80" t="s">
        <v>1799</v>
      </c>
      <c r="H443" s="80" t="s">
        <v>1418</v>
      </c>
      <c r="I443" s="17">
        <v>5212252</v>
      </c>
      <c r="J443" s="17" t="s">
        <v>23</v>
      </c>
      <c r="K443" s="50"/>
      <c r="L443" s="80">
        <v>0</v>
      </c>
      <c r="M443" s="80">
        <v>25</v>
      </c>
      <c r="N443" s="80">
        <v>80</v>
      </c>
      <c r="O443" s="80">
        <f t="shared" si="342"/>
        <v>2000</v>
      </c>
      <c r="P443" s="124" t="s">
        <v>477</v>
      </c>
      <c r="Q443" s="80" t="s">
        <v>247</v>
      </c>
      <c r="R443" s="124" t="s">
        <v>209</v>
      </c>
      <c r="S443" s="80" t="s">
        <v>1493</v>
      </c>
      <c r="T443" s="80">
        <v>1060</v>
      </c>
      <c r="U443" s="46">
        <v>45271</v>
      </c>
      <c r="V443" s="46">
        <v>45272</v>
      </c>
      <c r="W443" s="50"/>
      <c r="X443" s="24">
        <v>45272.465277777781</v>
      </c>
      <c r="Y443" s="24">
        <v>45272.708333333336</v>
      </c>
      <c r="Z443" s="25">
        <f t="shared" si="365"/>
        <v>0.24305555555474712</v>
      </c>
      <c r="AA443" s="24">
        <v>45272.673611111109</v>
      </c>
      <c r="AB443" s="24">
        <v>45272.708333333336</v>
      </c>
      <c r="AC443" s="25">
        <f t="shared" si="366"/>
        <v>3.4722222226264421E-2</v>
      </c>
    </row>
    <row r="444" spans="1:29" x14ac:dyDescent="0.25">
      <c r="A444" s="68">
        <v>45272</v>
      </c>
      <c r="B444" s="80">
        <v>381</v>
      </c>
      <c r="C444" s="80">
        <v>9017766</v>
      </c>
      <c r="D444" s="50"/>
      <c r="E444" s="80" t="s">
        <v>1817</v>
      </c>
      <c r="F444" s="46">
        <v>45236</v>
      </c>
      <c r="G444" s="80" t="s">
        <v>1786</v>
      </c>
      <c r="H444" s="80" t="s">
        <v>1418</v>
      </c>
      <c r="I444" s="17">
        <v>5212252</v>
      </c>
      <c r="J444" s="17" t="s">
        <v>23</v>
      </c>
      <c r="K444" s="50"/>
      <c r="L444" s="80">
        <v>0</v>
      </c>
      <c r="M444" s="80">
        <v>25</v>
      </c>
      <c r="N444" s="80">
        <v>960</v>
      </c>
      <c r="O444" s="80">
        <f t="shared" si="342"/>
        <v>24000</v>
      </c>
      <c r="P444" s="124" t="s">
        <v>477</v>
      </c>
      <c r="Q444" s="80" t="s">
        <v>247</v>
      </c>
      <c r="R444" s="124" t="s">
        <v>209</v>
      </c>
      <c r="S444" s="80" t="s">
        <v>1493</v>
      </c>
      <c r="T444" s="80">
        <v>1060</v>
      </c>
      <c r="U444" s="46">
        <v>45271</v>
      </c>
      <c r="V444" s="46">
        <v>45272</v>
      </c>
      <c r="W444" s="50"/>
      <c r="X444" s="24">
        <v>45272.465277777781</v>
      </c>
      <c r="Y444" s="24">
        <v>45272.708333333336</v>
      </c>
      <c r="Z444" s="25">
        <f t="shared" si="365"/>
        <v>0.24305555555474712</v>
      </c>
      <c r="AA444" s="24">
        <v>45272.673611111109</v>
      </c>
      <c r="AB444" s="24">
        <v>45272.708333333336</v>
      </c>
      <c r="AC444" s="25">
        <f t="shared" si="366"/>
        <v>3.4722222226264421E-2</v>
      </c>
    </row>
    <row r="445" spans="1:29" x14ac:dyDescent="0.25">
      <c r="A445" s="68">
        <v>45272</v>
      </c>
      <c r="B445" s="80">
        <v>382</v>
      </c>
      <c r="C445" s="80">
        <v>9017766</v>
      </c>
      <c r="D445" s="50"/>
      <c r="E445" s="80" t="s">
        <v>1817</v>
      </c>
      <c r="F445" s="46">
        <v>45236</v>
      </c>
      <c r="G445" s="80" t="s">
        <v>1799</v>
      </c>
      <c r="H445" s="80" t="s">
        <v>1418</v>
      </c>
      <c r="I445" s="17">
        <v>5212252</v>
      </c>
      <c r="J445" s="17" t="s">
        <v>23</v>
      </c>
      <c r="K445" s="50"/>
      <c r="L445" s="80">
        <v>0</v>
      </c>
      <c r="M445" s="80">
        <v>25</v>
      </c>
      <c r="N445" s="80">
        <v>480</v>
      </c>
      <c r="O445" s="80">
        <f t="shared" si="342"/>
        <v>12000</v>
      </c>
      <c r="P445" s="124" t="s">
        <v>477</v>
      </c>
      <c r="Q445" s="80" t="s">
        <v>247</v>
      </c>
      <c r="R445" s="124" t="s">
        <v>209</v>
      </c>
      <c r="S445" s="80" t="s">
        <v>1818</v>
      </c>
      <c r="T445" s="80">
        <v>1059</v>
      </c>
      <c r="U445" s="46">
        <v>45271</v>
      </c>
      <c r="V445" s="46">
        <v>45272</v>
      </c>
      <c r="W445" s="50"/>
      <c r="X445" s="24">
        <v>45272.472222222219</v>
      </c>
      <c r="Y445" s="24">
        <v>45272.708333333336</v>
      </c>
      <c r="Z445" s="25">
        <f t="shared" si="365"/>
        <v>0.23611111111677019</v>
      </c>
      <c r="AA445" s="24">
        <v>45272.666666666664</v>
      </c>
      <c r="AB445" s="24">
        <v>45272.708333333336</v>
      </c>
      <c r="AC445" s="25">
        <f t="shared" si="366"/>
        <v>4.1666666671517305E-2</v>
      </c>
    </row>
    <row r="446" spans="1:29" x14ac:dyDescent="0.25">
      <c r="A446" s="68">
        <v>45272</v>
      </c>
      <c r="B446" s="80">
        <v>382</v>
      </c>
      <c r="C446" s="80">
        <v>9017766</v>
      </c>
      <c r="D446" s="50"/>
      <c r="E446" s="80" t="s">
        <v>1817</v>
      </c>
      <c r="F446" s="46">
        <v>45236</v>
      </c>
      <c r="G446" s="80" t="s">
        <v>1604</v>
      </c>
      <c r="H446" s="80" t="s">
        <v>1418</v>
      </c>
      <c r="I446" s="17">
        <v>5212252</v>
      </c>
      <c r="J446" s="17" t="s">
        <v>23</v>
      </c>
      <c r="K446" s="50"/>
      <c r="L446" s="80">
        <v>0</v>
      </c>
      <c r="M446" s="80">
        <v>25</v>
      </c>
      <c r="N446" s="80">
        <v>245</v>
      </c>
      <c r="O446" s="80">
        <f t="shared" si="342"/>
        <v>6125</v>
      </c>
      <c r="P446" s="124" t="s">
        <v>477</v>
      </c>
      <c r="Q446" s="80" t="s">
        <v>247</v>
      </c>
      <c r="R446" s="124" t="s">
        <v>209</v>
      </c>
      <c r="S446" s="80" t="s">
        <v>1818</v>
      </c>
      <c r="T446" s="80">
        <v>1059</v>
      </c>
      <c r="U446" s="46">
        <v>45271</v>
      </c>
      <c r="V446" s="46">
        <v>45272</v>
      </c>
      <c r="W446" s="50"/>
      <c r="X446" s="24">
        <v>45272.472222222219</v>
      </c>
      <c r="Y446" s="24">
        <v>45272.708333333336</v>
      </c>
      <c r="Z446" s="25">
        <f t="shared" si="365"/>
        <v>0.23611111111677019</v>
      </c>
      <c r="AA446" s="24">
        <v>45272.666666666664</v>
      </c>
      <c r="AB446" s="24">
        <v>45272.708333333336</v>
      </c>
      <c r="AC446" s="25">
        <f t="shared" si="366"/>
        <v>4.1666666671517305E-2</v>
      </c>
    </row>
    <row r="447" spans="1:29" x14ac:dyDescent="0.25">
      <c r="A447" s="68">
        <v>45272</v>
      </c>
      <c r="B447" s="80">
        <v>382</v>
      </c>
      <c r="C447" s="80">
        <v>9017766</v>
      </c>
      <c r="D447" s="50"/>
      <c r="E447" s="80" t="s">
        <v>1817</v>
      </c>
      <c r="F447" s="46">
        <v>45236</v>
      </c>
      <c r="G447" s="80" t="s">
        <v>1742</v>
      </c>
      <c r="H447" s="80" t="s">
        <v>1418</v>
      </c>
      <c r="I447" s="17">
        <v>5212252</v>
      </c>
      <c r="J447" s="17" t="s">
        <v>23</v>
      </c>
      <c r="K447" s="50"/>
      <c r="L447" s="80">
        <v>0</v>
      </c>
      <c r="M447" s="80">
        <v>25</v>
      </c>
      <c r="N447" s="80">
        <v>315</v>
      </c>
      <c r="O447" s="80">
        <f t="shared" si="342"/>
        <v>7875</v>
      </c>
      <c r="P447" s="124" t="s">
        <v>477</v>
      </c>
      <c r="Q447" s="80" t="s">
        <v>247</v>
      </c>
      <c r="R447" s="124" t="s">
        <v>209</v>
      </c>
      <c r="S447" s="80" t="s">
        <v>1818</v>
      </c>
      <c r="T447" s="80">
        <v>1059</v>
      </c>
      <c r="U447" s="46">
        <v>45271</v>
      </c>
      <c r="V447" s="46">
        <v>45272</v>
      </c>
      <c r="W447" s="50"/>
      <c r="X447" s="24">
        <v>45272.472222222219</v>
      </c>
      <c r="Y447" s="24">
        <v>45272.708333333336</v>
      </c>
      <c r="Z447" s="25">
        <f t="shared" si="365"/>
        <v>0.23611111111677019</v>
      </c>
      <c r="AA447" s="24">
        <v>45272.666666666664</v>
      </c>
      <c r="AB447" s="24">
        <v>45272.708333333336</v>
      </c>
      <c r="AC447" s="25">
        <f t="shared" si="366"/>
        <v>4.1666666671517305E-2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70"/>
  <sheetViews>
    <sheetView topLeftCell="B946" workbookViewId="0">
      <selection activeCell="D970" sqref="D970"/>
    </sheetView>
  </sheetViews>
  <sheetFormatPr defaultColWidth="8.140625" defaultRowHeight="15" x14ac:dyDescent="0.25"/>
  <cols>
    <col min="1" max="1" width="8" style="18" bestFit="1" customWidth="1"/>
    <col min="2" max="2" width="15.5703125" style="18" bestFit="1" customWidth="1"/>
    <col min="3" max="3" width="13.5703125" style="18" bestFit="1" customWidth="1"/>
    <col min="4" max="4" width="8.42578125" style="18" bestFit="1" customWidth="1"/>
    <col min="5" max="5" width="59.42578125" style="18" bestFit="1" customWidth="1"/>
    <col min="6" max="6" width="17.5703125" style="18" bestFit="1" customWidth="1"/>
    <col min="7" max="7" width="14.28515625" style="18" bestFit="1" customWidth="1"/>
    <col min="8" max="8" width="15.42578125" style="18" bestFit="1" customWidth="1"/>
    <col min="9" max="9" width="41.28515625" style="18" bestFit="1" customWidth="1"/>
    <col min="10" max="10" width="11.28515625" style="18" bestFit="1" customWidth="1"/>
    <col min="11" max="11" width="9.7109375" style="18" bestFit="1" customWidth="1"/>
    <col min="12" max="12" width="20.42578125" style="18" bestFit="1" customWidth="1"/>
    <col min="13" max="13" width="21" style="18" bestFit="1" customWidth="1"/>
    <col min="14" max="14" width="22.5703125" style="18" bestFit="1" customWidth="1"/>
    <col min="15" max="15" width="12.85546875" style="18" bestFit="1" customWidth="1"/>
    <col min="16" max="16" width="41.5703125" style="18" bestFit="1" customWidth="1"/>
    <col min="17" max="17" width="10.28515625" style="18" bestFit="1" customWidth="1"/>
    <col min="18" max="18" width="13.42578125" style="18" bestFit="1" customWidth="1"/>
    <col min="19" max="19" width="14.140625" style="18" bestFit="1" customWidth="1"/>
    <col min="20" max="20" width="16.140625" style="18" bestFit="1" customWidth="1"/>
    <col min="21" max="21" width="44.85546875" style="18" bestFit="1" customWidth="1"/>
    <col min="22" max="22" width="11.85546875" style="18" bestFit="1" customWidth="1"/>
    <col min="23" max="23" width="21.7109375" style="18" bestFit="1" customWidth="1"/>
    <col min="24" max="24" width="23.28515625" style="18" bestFit="1" customWidth="1"/>
    <col min="25" max="25" width="20.7109375" style="18" bestFit="1" customWidth="1"/>
    <col min="26" max="26" width="24.28515625" style="18" bestFit="1" customWidth="1"/>
    <col min="27" max="27" width="23.42578125" style="18" bestFit="1" customWidth="1"/>
    <col min="28" max="28" width="20.85546875" style="18" bestFit="1" customWidth="1"/>
    <col min="29" max="16384" width="8.140625" style="18"/>
  </cols>
  <sheetData>
    <row r="1" spans="1:28" ht="30" x14ac:dyDescent="0.25">
      <c r="A1" s="4" t="s">
        <v>108</v>
      </c>
      <c r="B1" s="10" t="s">
        <v>109</v>
      </c>
      <c r="C1" s="4" t="s">
        <v>110</v>
      </c>
      <c r="D1" s="4" t="s">
        <v>111</v>
      </c>
      <c r="E1" s="4" t="s">
        <v>112</v>
      </c>
      <c r="F1" s="4" t="s">
        <v>113</v>
      </c>
      <c r="G1" s="4" t="s">
        <v>114</v>
      </c>
      <c r="H1" s="4" t="s">
        <v>4</v>
      </c>
      <c r="I1" s="4" t="s">
        <v>5</v>
      </c>
      <c r="J1" s="4" t="s">
        <v>15</v>
      </c>
      <c r="K1" s="4" t="s">
        <v>10</v>
      </c>
      <c r="L1" s="4" t="s">
        <v>115</v>
      </c>
      <c r="M1" s="4" t="s">
        <v>116</v>
      </c>
      <c r="N1" s="4" t="s">
        <v>117</v>
      </c>
      <c r="O1" s="4" t="s">
        <v>118</v>
      </c>
      <c r="P1" s="4" t="s">
        <v>119</v>
      </c>
      <c r="Q1" s="4" t="s">
        <v>120</v>
      </c>
      <c r="R1" s="4" t="s">
        <v>121</v>
      </c>
      <c r="S1" s="11" t="s">
        <v>122</v>
      </c>
      <c r="T1" s="11" t="s">
        <v>123</v>
      </c>
      <c r="U1" s="11" t="s">
        <v>124</v>
      </c>
      <c r="V1" s="11" t="s">
        <v>125</v>
      </c>
      <c r="W1" s="4" t="s">
        <v>126</v>
      </c>
      <c r="X1" s="4" t="s">
        <v>127</v>
      </c>
      <c r="Y1" s="4" t="s">
        <v>128</v>
      </c>
      <c r="Z1" s="4" t="s">
        <v>129</v>
      </c>
      <c r="AA1" s="4" t="s">
        <v>130</v>
      </c>
      <c r="AB1" s="4" t="s">
        <v>131</v>
      </c>
    </row>
    <row r="2" spans="1:28" x14ac:dyDescent="0.25">
      <c r="A2" s="12">
        <v>45078</v>
      </c>
      <c r="B2" s="123" t="s">
        <v>138</v>
      </c>
      <c r="C2" s="20">
        <v>45082</v>
      </c>
      <c r="D2" s="123">
        <v>5464804</v>
      </c>
      <c r="E2" s="123" t="s">
        <v>139</v>
      </c>
      <c r="F2" s="123" t="s">
        <v>137</v>
      </c>
      <c r="G2" s="123" t="s">
        <v>132</v>
      </c>
      <c r="H2" s="17">
        <v>5200193</v>
      </c>
      <c r="I2" s="17" t="s">
        <v>41</v>
      </c>
      <c r="J2" s="21">
        <v>1223002401</v>
      </c>
      <c r="K2" s="22">
        <v>250</v>
      </c>
      <c r="L2" s="123">
        <v>40</v>
      </c>
      <c r="M2" s="123">
        <f t="shared" ref="M2:M6" si="0">+L2*K2</f>
        <v>10000</v>
      </c>
      <c r="N2" s="20">
        <v>45082</v>
      </c>
      <c r="O2" s="123" t="s">
        <v>133</v>
      </c>
      <c r="P2" s="123" t="s">
        <v>134</v>
      </c>
      <c r="Q2" s="123">
        <v>2236</v>
      </c>
      <c r="R2" s="123" t="s">
        <v>140</v>
      </c>
      <c r="S2" s="23">
        <v>261600038413</v>
      </c>
      <c r="T2" s="20">
        <v>45082</v>
      </c>
      <c r="U2" s="123"/>
      <c r="V2" s="123">
        <v>192</v>
      </c>
      <c r="W2" s="24">
        <v>45082.590277777781</v>
      </c>
      <c r="X2" s="24">
        <v>45082.614583333336</v>
      </c>
      <c r="Y2" s="25">
        <f t="shared" ref="Y2:Y6" si="1">+X2-W2</f>
        <v>2.4305555554747116E-2</v>
      </c>
      <c r="Z2" s="24">
        <v>45082.597222222219</v>
      </c>
      <c r="AA2" s="24">
        <v>45082.611111111109</v>
      </c>
      <c r="AB2" s="25">
        <f t="shared" ref="AB2:AB6" si="2">+AA2-Z2</f>
        <v>1.3888888890505768E-2</v>
      </c>
    </row>
    <row r="3" spans="1:28" x14ac:dyDescent="0.25">
      <c r="A3" s="12">
        <v>45078</v>
      </c>
      <c r="B3" s="123" t="s">
        <v>142</v>
      </c>
      <c r="C3" s="20">
        <v>45082</v>
      </c>
      <c r="D3" s="123">
        <v>5464804</v>
      </c>
      <c r="E3" s="123" t="s">
        <v>143</v>
      </c>
      <c r="F3" s="123" t="s">
        <v>135</v>
      </c>
      <c r="G3" s="123" t="s">
        <v>132</v>
      </c>
      <c r="H3" s="17">
        <v>5200193</v>
      </c>
      <c r="I3" s="17" t="s">
        <v>41</v>
      </c>
      <c r="J3" s="21">
        <v>1223002401</v>
      </c>
      <c r="K3" s="123">
        <v>250</v>
      </c>
      <c r="L3" s="123">
        <v>35</v>
      </c>
      <c r="M3" s="123">
        <f t="shared" si="0"/>
        <v>8750</v>
      </c>
      <c r="N3" s="20">
        <v>45082</v>
      </c>
      <c r="O3" s="123" t="s">
        <v>136</v>
      </c>
      <c r="P3" s="123" t="s">
        <v>144</v>
      </c>
      <c r="Q3" s="123" t="s">
        <v>30</v>
      </c>
      <c r="R3" s="123" t="s">
        <v>145</v>
      </c>
      <c r="S3" s="23">
        <v>241600169999</v>
      </c>
      <c r="T3" s="20">
        <v>45082</v>
      </c>
      <c r="U3" s="123"/>
      <c r="V3" s="123">
        <v>193</v>
      </c>
      <c r="W3" s="24">
        <v>45082.625</v>
      </c>
      <c r="X3" s="24">
        <v>45082.666666666664</v>
      </c>
      <c r="Y3" s="25">
        <f t="shared" si="1"/>
        <v>4.1666666664241347E-2</v>
      </c>
      <c r="Z3" s="24">
        <v>45082.642361111109</v>
      </c>
      <c r="AA3" s="24">
        <v>45082.666666666664</v>
      </c>
      <c r="AB3" s="25">
        <f t="shared" si="2"/>
        <v>2.4305555554747116E-2</v>
      </c>
    </row>
    <row r="4" spans="1:28" x14ac:dyDescent="0.25">
      <c r="A4" s="12">
        <v>45078</v>
      </c>
      <c r="B4" s="123" t="s">
        <v>141</v>
      </c>
      <c r="C4" s="20">
        <v>45083</v>
      </c>
      <c r="D4" s="123">
        <v>5689755</v>
      </c>
      <c r="E4" s="123" t="s">
        <v>143</v>
      </c>
      <c r="F4" s="123" t="s">
        <v>135</v>
      </c>
      <c r="G4" s="123" t="s">
        <v>132</v>
      </c>
      <c r="H4" s="17">
        <v>5200193</v>
      </c>
      <c r="I4" s="17" t="s">
        <v>41</v>
      </c>
      <c r="J4" s="123">
        <v>1223003001</v>
      </c>
      <c r="K4" s="123">
        <v>250</v>
      </c>
      <c r="L4" s="123">
        <v>30</v>
      </c>
      <c r="M4" s="123">
        <f t="shared" si="0"/>
        <v>7500</v>
      </c>
      <c r="N4" s="20">
        <v>45083</v>
      </c>
      <c r="O4" s="123" t="s">
        <v>136</v>
      </c>
      <c r="P4" s="123" t="s">
        <v>144</v>
      </c>
      <c r="Q4" s="123" t="s">
        <v>30</v>
      </c>
      <c r="R4" s="123" t="s">
        <v>170</v>
      </c>
      <c r="S4" s="23">
        <v>241600692651</v>
      </c>
      <c r="T4" s="20">
        <v>45083</v>
      </c>
      <c r="U4" s="123"/>
      <c r="V4" s="123">
        <v>194</v>
      </c>
      <c r="W4" s="24">
        <v>45083.5</v>
      </c>
      <c r="X4" s="24">
        <v>45083.604166666664</v>
      </c>
      <c r="Y4" s="25">
        <f t="shared" si="1"/>
        <v>0.10416666666424135</v>
      </c>
      <c r="Z4" s="24">
        <v>45083.583333333336</v>
      </c>
      <c r="AA4" s="24">
        <v>45083.604166666664</v>
      </c>
      <c r="AB4" s="25">
        <f t="shared" si="2"/>
        <v>2.0833333328482695E-2</v>
      </c>
    </row>
    <row r="5" spans="1:28" x14ac:dyDescent="0.25">
      <c r="A5" s="12">
        <v>45078</v>
      </c>
      <c r="B5" s="123" t="s">
        <v>172</v>
      </c>
      <c r="C5" s="20">
        <v>45083</v>
      </c>
      <c r="D5" s="123">
        <v>5689755</v>
      </c>
      <c r="E5" s="123" t="s">
        <v>143</v>
      </c>
      <c r="F5" s="123" t="s">
        <v>135</v>
      </c>
      <c r="G5" s="123" t="s">
        <v>132</v>
      </c>
      <c r="H5" s="17">
        <v>5200193</v>
      </c>
      <c r="I5" s="17" t="s">
        <v>41</v>
      </c>
      <c r="J5" s="123">
        <v>1223003001</v>
      </c>
      <c r="K5" s="123">
        <v>250</v>
      </c>
      <c r="L5" s="123">
        <v>5</v>
      </c>
      <c r="M5" s="123">
        <f t="shared" ref="M5" si="3">+L5*K5</f>
        <v>1250</v>
      </c>
      <c r="N5" s="20">
        <v>45083</v>
      </c>
      <c r="O5" s="123" t="s">
        <v>136</v>
      </c>
      <c r="P5" s="123" t="s">
        <v>144</v>
      </c>
      <c r="Q5" s="123" t="s">
        <v>30</v>
      </c>
      <c r="R5" s="123" t="s">
        <v>170</v>
      </c>
      <c r="S5" s="23">
        <v>231600828592</v>
      </c>
      <c r="T5" s="20">
        <v>45083</v>
      </c>
      <c r="U5" s="123"/>
      <c r="V5" s="123">
        <v>194</v>
      </c>
      <c r="W5" s="24">
        <v>45083.5</v>
      </c>
      <c r="X5" s="24">
        <v>45083.604166666664</v>
      </c>
      <c r="Y5" s="25">
        <f t="shared" ref="Y5" si="4">+X5-W5</f>
        <v>0.10416666666424135</v>
      </c>
      <c r="Z5" s="24">
        <v>45083.583333333336</v>
      </c>
      <c r="AA5" s="24">
        <v>45083.604166666664</v>
      </c>
      <c r="AB5" s="25">
        <f t="shared" ref="AB5" si="5">+AA5-Z5</f>
        <v>2.0833333328482695E-2</v>
      </c>
    </row>
    <row r="6" spans="1:28" x14ac:dyDescent="0.25">
      <c r="A6" s="12">
        <v>45078</v>
      </c>
      <c r="B6" s="123" t="s">
        <v>169</v>
      </c>
      <c r="C6" s="20">
        <v>45083</v>
      </c>
      <c r="D6" s="123">
        <v>5689755</v>
      </c>
      <c r="E6" s="123" t="s">
        <v>143</v>
      </c>
      <c r="F6" s="123" t="s">
        <v>135</v>
      </c>
      <c r="G6" s="123" t="s">
        <v>132</v>
      </c>
      <c r="H6" s="17">
        <v>5200193</v>
      </c>
      <c r="I6" s="17" t="s">
        <v>41</v>
      </c>
      <c r="J6" s="123">
        <v>1223003001</v>
      </c>
      <c r="K6" s="123">
        <v>250</v>
      </c>
      <c r="L6" s="123">
        <v>30</v>
      </c>
      <c r="M6" s="123">
        <f t="shared" si="0"/>
        <v>7500</v>
      </c>
      <c r="N6" s="20">
        <v>45083</v>
      </c>
      <c r="O6" s="123" t="s">
        <v>136</v>
      </c>
      <c r="P6" s="123" t="s">
        <v>144</v>
      </c>
      <c r="Q6" s="123" t="s">
        <v>30</v>
      </c>
      <c r="R6" s="123" t="s">
        <v>171</v>
      </c>
      <c r="S6" s="23">
        <v>271600694908</v>
      </c>
      <c r="T6" s="20">
        <v>45083</v>
      </c>
      <c r="U6" s="123"/>
      <c r="V6" s="123">
        <v>195</v>
      </c>
      <c r="W6" s="24">
        <v>45083.5</v>
      </c>
      <c r="X6" s="24">
        <v>45083.604166666664</v>
      </c>
      <c r="Y6" s="25">
        <f t="shared" si="1"/>
        <v>0.10416666666424135</v>
      </c>
      <c r="Z6" s="24">
        <v>45083.583333333336</v>
      </c>
      <c r="AA6" s="24">
        <v>45083.604166666664</v>
      </c>
      <c r="AB6" s="25">
        <f t="shared" si="2"/>
        <v>2.0833333328482695E-2</v>
      </c>
    </row>
    <row r="7" spans="1:28" x14ac:dyDescent="0.25">
      <c r="A7" s="12">
        <v>45078</v>
      </c>
      <c r="B7" s="123" t="s">
        <v>173</v>
      </c>
      <c r="C7" s="20">
        <v>45083</v>
      </c>
      <c r="D7" s="123">
        <v>5689755</v>
      </c>
      <c r="E7" s="123" t="s">
        <v>143</v>
      </c>
      <c r="F7" s="123" t="s">
        <v>135</v>
      </c>
      <c r="G7" s="123" t="s">
        <v>132</v>
      </c>
      <c r="H7" s="17">
        <v>5200193</v>
      </c>
      <c r="I7" s="17" t="s">
        <v>41</v>
      </c>
      <c r="J7" s="123">
        <v>1223003001</v>
      </c>
      <c r="K7" s="123">
        <v>250</v>
      </c>
      <c r="L7" s="123">
        <v>5</v>
      </c>
      <c r="M7" s="123">
        <f t="shared" ref="M7:M18" si="6">+L7*K7</f>
        <v>1250</v>
      </c>
      <c r="N7" s="20">
        <v>45083</v>
      </c>
      <c r="O7" s="123" t="s">
        <v>136</v>
      </c>
      <c r="P7" s="123" t="s">
        <v>144</v>
      </c>
      <c r="Q7" s="123" t="s">
        <v>30</v>
      </c>
      <c r="R7" s="123" t="s">
        <v>171</v>
      </c>
      <c r="S7" s="23">
        <v>271600830883</v>
      </c>
      <c r="T7" s="20">
        <v>45083</v>
      </c>
      <c r="U7" s="123"/>
      <c r="V7" s="123">
        <v>195</v>
      </c>
      <c r="W7" s="24">
        <v>45083.5</v>
      </c>
      <c r="X7" s="24">
        <v>45083.604166666664</v>
      </c>
      <c r="Y7" s="25">
        <f t="shared" ref="Y7:Y18" si="7">+X7-W7</f>
        <v>0.10416666666424135</v>
      </c>
      <c r="Z7" s="24">
        <v>45083.583333333336</v>
      </c>
      <c r="AA7" s="24">
        <v>45083.604166666664</v>
      </c>
      <c r="AB7" s="25">
        <f t="shared" ref="AB7:AB18" si="8">+AA7-Z7</f>
        <v>2.0833333328482695E-2</v>
      </c>
    </row>
    <row r="8" spans="1:28" x14ac:dyDescent="0.25">
      <c r="A8" s="12">
        <v>45078</v>
      </c>
      <c r="B8" s="123" t="s">
        <v>174</v>
      </c>
      <c r="C8" s="20">
        <v>45082</v>
      </c>
      <c r="D8" s="123">
        <v>5464804</v>
      </c>
      <c r="E8" s="123" t="s">
        <v>175</v>
      </c>
      <c r="F8" s="123" t="s">
        <v>176</v>
      </c>
      <c r="G8" s="123" t="s">
        <v>132</v>
      </c>
      <c r="H8" s="17">
        <v>5200193</v>
      </c>
      <c r="I8" s="17" t="s">
        <v>41</v>
      </c>
      <c r="J8" s="21">
        <v>1223002401</v>
      </c>
      <c r="K8" s="123">
        <v>250</v>
      </c>
      <c r="L8" s="123">
        <v>30</v>
      </c>
      <c r="M8" s="123">
        <f t="shared" si="6"/>
        <v>7500</v>
      </c>
      <c r="N8" s="20">
        <v>45084</v>
      </c>
      <c r="O8" s="123" t="s">
        <v>177</v>
      </c>
      <c r="P8" s="123" t="s">
        <v>144</v>
      </c>
      <c r="Q8" s="123" t="s">
        <v>30</v>
      </c>
      <c r="R8" s="123" t="s">
        <v>178</v>
      </c>
      <c r="S8" s="23">
        <v>281601035310</v>
      </c>
      <c r="T8" s="20">
        <v>45084</v>
      </c>
      <c r="U8" s="123"/>
      <c r="V8" s="123">
        <v>196</v>
      </c>
      <c r="W8" s="24">
        <v>45084.416666666664</v>
      </c>
      <c r="X8" s="24">
        <v>45084.440972222219</v>
      </c>
      <c r="Y8" s="25">
        <f t="shared" si="7"/>
        <v>2.4305555554747116E-2</v>
      </c>
      <c r="Z8" s="24">
        <v>45084.427083333336</v>
      </c>
      <c r="AA8" s="24">
        <v>45084.440972222219</v>
      </c>
      <c r="AB8" s="25">
        <f t="shared" si="8"/>
        <v>1.3888888883229811E-2</v>
      </c>
    </row>
    <row r="9" spans="1:28" x14ac:dyDescent="0.25">
      <c r="A9" s="12">
        <v>45078</v>
      </c>
      <c r="B9" s="123" t="s">
        <v>179</v>
      </c>
      <c r="C9" s="20">
        <v>45082</v>
      </c>
      <c r="D9" s="123">
        <v>5464804</v>
      </c>
      <c r="E9" s="123" t="s">
        <v>175</v>
      </c>
      <c r="F9" s="123" t="s">
        <v>176</v>
      </c>
      <c r="G9" s="123" t="s">
        <v>132</v>
      </c>
      <c r="H9" s="17">
        <v>5200193</v>
      </c>
      <c r="I9" s="17" t="s">
        <v>41</v>
      </c>
      <c r="J9" s="21">
        <v>1223002401</v>
      </c>
      <c r="K9" s="123">
        <v>250</v>
      </c>
      <c r="L9" s="123">
        <v>9</v>
      </c>
      <c r="M9" s="123">
        <f t="shared" si="6"/>
        <v>2250</v>
      </c>
      <c r="N9" s="20">
        <v>45084</v>
      </c>
      <c r="O9" s="123" t="s">
        <v>177</v>
      </c>
      <c r="P9" s="123" t="s">
        <v>144</v>
      </c>
      <c r="Q9" s="123" t="s">
        <v>30</v>
      </c>
      <c r="R9" s="123" t="s">
        <v>180</v>
      </c>
      <c r="S9" s="23">
        <v>291601032596</v>
      </c>
      <c r="T9" s="20">
        <v>45084</v>
      </c>
      <c r="U9" s="123"/>
      <c r="V9" s="123">
        <v>197</v>
      </c>
      <c r="W9" s="24">
        <v>45084.416666666664</v>
      </c>
      <c r="X9" s="24">
        <v>45084.440972222219</v>
      </c>
      <c r="Y9" s="25">
        <f t="shared" si="7"/>
        <v>2.4305555554747116E-2</v>
      </c>
      <c r="Z9" s="24">
        <v>45084.427083333336</v>
      </c>
      <c r="AA9" s="24">
        <v>45084.440972222219</v>
      </c>
      <c r="AB9" s="25">
        <f t="shared" si="8"/>
        <v>1.3888888883229811E-2</v>
      </c>
    </row>
    <row r="10" spans="1:28" x14ac:dyDescent="0.25">
      <c r="A10" s="12">
        <v>45078</v>
      </c>
      <c r="B10" s="123" t="s">
        <v>179</v>
      </c>
      <c r="C10" s="20">
        <v>45082</v>
      </c>
      <c r="D10" s="123">
        <v>5689755</v>
      </c>
      <c r="E10" s="123" t="s">
        <v>175</v>
      </c>
      <c r="F10" s="123" t="s">
        <v>176</v>
      </c>
      <c r="G10" s="123" t="s">
        <v>132</v>
      </c>
      <c r="H10" s="17">
        <v>5200193</v>
      </c>
      <c r="I10" s="17" t="s">
        <v>41</v>
      </c>
      <c r="J10" s="123">
        <v>1223003001</v>
      </c>
      <c r="K10" s="123">
        <v>250</v>
      </c>
      <c r="L10" s="123">
        <v>21</v>
      </c>
      <c r="M10" s="123">
        <f t="shared" ref="M10" si="9">+L10*K10</f>
        <v>5250</v>
      </c>
      <c r="N10" s="20">
        <v>45084</v>
      </c>
      <c r="O10" s="123" t="s">
        <v>177</v>
      </c>
      <c r="P10" s="123" t="s">
        <v>144</v>
      </c>
      <c r="Q10" s="123" t="s">
        <v>30</v>
      </c>
      <c r="R10" s="123" t="s">
        <v>180</v>
      </c>
      <c r="S10" s="23">
        <v>291601032596</v>
      </c>
      <c r="T10" s="20">
        <v>45084</v>
      </c>
      <c r="U10" s="123"/>
      <c r="V10" s="123">
        <v>197</v>
      </c>
      <c r="W10" s="24">
        <v>45084.416666666664</v>
      </c>
      <c r="X10" s="24">
        <v>45084.440972222219</v>
      </c>
      <c r="Y10" s="25">
        <f t="shared" ref="Y10" si="10">+X10-W10</f>
        <v>2.4305555554747116E-2</v>
      </c>
      <c r="Z10" s="24">
        <v>45084.427083333336</v>
      </c>
      <c r="AA10" s="24">
        <v>45084.440972222219</v>
      </c>
      <c r="AB10" s="25">
        <f t="shared" ref="AB10" si="11">+AA10-Z10</f>
        <v>1.3888888883229811E-2</v>
      </c>
    </row>
    <row r="11" spans="1:28" x14ac:dyDescent="0.25">
      <c r="A11" s="12">
        <v>45078</v>
      </c>
      <c r="B11" s="123" t="s">
        <v>181</v>
      </c>
      <c r="C11" s="20">
        <v>45082</v>
      </c>
      <c r="D11" s="123">
        <v>5689755</v>
      </c>
      <c r="E11" s="123" t="s">
        <v>175</v>
      </c>
      <c r="F11" s="123" t="s">
        <v>176</v>
      </c>
      <c r="G11" s="123" t="s">
        <v>132</v>
      </c>
      <c r="H11" s="17">
        <v>5200193</v>
      </c>
      <c r="I11" s="17" t="s">
        <v>41</v>
      </c>
      <c r="J11" s="123">
        <v>1223003001</v>
      </c>
      <c r="K11" s="123">
        <v>250</v>
      </c>
      <c r="L11" s="123">
        <v>20</v>
      </c>
      <c r="M11" s="123">
        <f t="shared" si="6"/>
        <v>5000</v>
      </c>
      <c r="N11" s="20">
        <v>45084</v>
      </c>
      <c r="O11" s="123" t="s">
        <v>177</v>
      </c>
      <c r="P11" s="123" t="s">
        <v>144</v>
      </c>
      <c r="Q11" s="123" t="s">
        <v>30</v>
      </c>
      <c r="R11" s="123" t="s">
        <v>182</v>
      </c>
      <c r="S11" s="23">
        <v>261601039077</v>
      </c>
      <c r="T11" s="20">
        <v>45084</v>
      </c>
      <c r="U11" s="123"/>
      <c r="V11" s="123">
        <v>198</v>
      </c>
      <c r="W11" s="24">
        <v>45084.416666666664</v>
      </c>
      <c r="X11" s="24">
        <v>45084.451388888891</v>
      </c>
      <c r="Y11" s="25">
        <f t="shared" si="7"/>
        <v>3.4722222226264421E-2</v>
      </c>
      <c r="Z11" s="24">
        <v>45084.4375</v>
      </c>
      <c r="AA11" s="24">
        <v>45084.451388888891</v>
      </c>
      <c r="AB11" s="25">
        <f t="shared" si="8"/>
        <v>1.3888888890505768E-2</v>
      </c>
    </row>
    <row r="12" spans="1:28" x14ac:dyDescent="0.25">
      <c r="A12" s="12">
        <v>45078</v>
      </c>
      <c r="B12" s="123" t="s">
        <v>183</v>
      </c>
      <c r="C12" s="20">
        <v>45083</v>
      </c>
      <c r="D12" s="123">
        <v>5153890</v>
      </c>
      <c r="E12" s="123" t="s">
        <v>184</v>
      </c>
      <c r="F12" s="123" t="s">
        <v>185</v>
      </c>
      <c r="G12" s="123" t="s">
        <v>132</v>
      </c>
      <c r="H12" s="17">
        <v>5242603</v>
      </c>
      <c r="I12" s="17" t="s">
        <v>43</v>
      </c>
      <c r="J12" s="123" t="s">
        <v>63</v>
      </c>
      <c r="K12" s="123">
        <v>210</v>
      </c>
      <c r="L12" s="123">
        <v>3</v>
      </c>
      <c r="M12" s="123">
        <f t="shared" si="6"/>
        <v>630</v>
      </c>
      <c r="N12" s="20">
        <v>45084</v>
      </c>
      <c r="O12" s="123" t="s">
        <v>186</v>
      </c>
      <c r="P12" s="123" t="s">
        <v>187</v>
      </c>
      <c r="Q12" s="123" t="s">
        <v>30</v>
      </c>
      <c r="R12" s="123" t="s">
        <v>188</v>
      </c>
      <c r="S12" s="23" t="s">
        <v>189</v>
      </c>
      <c r="T12" s="20">
        <v>45084</v>
      </c>
      <c r="U12" s="123"/>
      <c r="V12" s="123">
        <v>199</v>
      </c>
      <c r="W12" s="24">
        <v>45084.59375</v>
      </c>
      <c r="X12" s="24">
        <v>45084.607638888891</v>
      </c>
      <c r="Y12" s="25">
        <f t="shared" si="7"/>
        <v>1.3888888890505768E-2</v>
      </c>
      <c r="Z12" s="24">
        <v>45084.604166666664</v>
      </c>
      <c r="AA12" s="24">
        <v>45084.607638888891</v>
      </c>
      <c r="AB12" s="25">
        <f t="shared" si="8"/>
        <v>3.4722222262644209E-3</v>
      </c>
    </row>
    <row r="13" spans="1:28" x14ac:dyDescent="0.25">
      <c r="A13" s="12">
        <v>45078</v>
      </c>
      <c r="B13" s="123" t="s">
        <v>190</v>
      </c>
      <c r="C13" s="20">
        <v>45084</v>
      </c>
      <c r="D13" s="123">
        <v>4605823</v>
      </c>
      <c r="E13" s="123" t="s">
        <v>191</v>
      </c>
      <c r="F13" s="123" t="s">
        <v>135</v>
      </c>
      <c r="G13" s="123" t="s">
        <v>192</v>
      </c>
      <c r="H13" s="17">
        <v>5210451</v>
      </c>
      <c r="I13" s="17" t="s">
        <v>29</v>
      </c>
      <c r="J13" s="123" t="s">
        <v>48</v>
      </c>
      <c r="K13" s="123">
        <v>25</v>
      </c>
      <c r="L13" s="123">
        <v>40</v>
      </c>
      <c r="M13" s="123">
        <f t="shared" si="6"/>
        <v>1000</v>
      </c>
      <c r="N13" s="20">
        <v>45084</v>
      </c>
      <c r="O13" s="123" t="s">
        <v>193</v>
      </c>
      <c r="P13" s="123" t="s">
        <v>144</v>
      </c>
      <c r="Q13" s="123" t="s">
        <v>30</v>
      </c>
      <c r="R13" s="123" t="s">
        <v>194</v>
      </c>
      <c r="S13" s="23">
        <v>241601307093</v>
      </c>
      <c r="T13" s="20">
        <v>45084</v>
      </c>
      <c r="U13" s="123"/>
      <c r="V13" s="123">
        <v>200</v>
      </c>
      <c r="W13" s="24">
        <v>45084.5</v>
      </c>
      <c r="X13" s="24">
        <v>45084.652777777781</v>
      </c>
      <c r="Y13" s="25">
        <f t="shared" si="7"/>
        <v>0.15277777778101154</v>
      </c>
      <c r="Z13" s="24">
        <v>45084.631944444445</v>
      </c>
      <c r="AA13" s="24">
        <v>45084.652777777781</v>
      </c>
      <c r="AB13" s="25">
        <f t="shared" si="8"/>
        <v>2.0833333335758653E-2</v>
      </c>
    </row>
    <row r="14" spans="1:28" x14ac:dyDescent="0.25">
      <c r="A14" s="12">
        <v>45078</v>
      </c>
      <c r="B14" s="123" t="s">
        <v>190</v>
      </c>
      <c r="C14" s="20">
        <v>45084</v>
      </c>
      <c r="D14" s="123">
        <v>5743118</v>
      </c>
      <c r="E14" s="123" t="s">
        <v>191</v>
      </c>
      <c r="F14" s="123" t="s">
        <v>135</v>
      </c>
      <c r="G14" s="123" t="s">
        <v>192</v>
      </c>
      <c r="H14" s="17">
        <v>5211003</v>
      </c>
      <c r="I14" s="17" t="s">
        <v>31</v>
      </c>
      <c r="J14" s="123" t="s">
        <v>85</v>
      </c>
      <c r="K14" s="123">
        <v>25</v>
      </c>
      <c r="L14" s="123">
        <v>10</v>
      </c>
      <c r="M14" s="123">
        <f t="shared" ref="M14:M15" si="12">+L14*K14</f>
        <v>250</v>
      </c>
      <c r="N14" s="20">
        <v>45084</v>
      </c>
      <c r="O14" s="123" t="s">
        <v>193</v>
      </c>
      <c r="P14" s="123" t="s">
        <v>144</v>
      </c>
      <c r="Q14" s="123" t="s">
        <v>30</v>
      </c>
      <c r="R14" s="123" t="s">
        <v>194</v>
      </c>
      <c r="S14" s="23">
        <v>241601307093</v>
      </c>
      <c r="T14" s="20">
        <v>45084</v>
      </c>
      <c r="U14" s="123"/>
      <c r="V14" s="123">
        <v>200</v>
      </c>
      <c r="W14" s="24">
        <v>45084.5</v>
      </c>
      <c r="X14" s="24">
        <v>45084.652777777781</v>
      </c>
      <c r="Y14" s="25">
        <f t="shared" ref="Y14:Y15" si="13">+X14-W14</f>
        <v>0.15277777778101154</v>
      </c>
      <c r="Z14" s="24">
        <v>45084.631944444445</v>
      </c>
      <c r="AA14" s="24">
        <v>45084.652777777781</v>
      </c>
      <c r="AB14" s="25">
        <f t="shared" ref="AB14:AB15" si="14">+AA14-Z14</f>
        <v>2.0833333335758653E-2</v>
      </c>
    </row>
    <row r="15" spans="1:28" x14ac:dyDescent="0.25">
      <c r="A15" s="12">
        <v>45078</v>
      </c>
      <c r="B15" s="123" t="s">
        <v>190</v>
      </c>
      <c r="C15" s="20">
        <v>45084</v>
      </c>
      <c r="D15" s="123">
        <v>5936674</v>
      </c>
      <c r="E15" s="123" t="s">
        <v>191</v>
      </c>
      <c r="F15" s="123" t="s">
        <v>135</v>
      </c>
      <c r="G15" s="123" t="s">
        <v>192</v>
      </c>
      <c r="H15" s="17">
        <v>5210162</v>
      </c>
      <c r="I15" s="17" t="s">
        <v>24</v>
      </c>
      <c r="J15" s="123" t="s">
        <v>77</v>
      </c>
      <c r="K15" s="123">
        <v>25</v>
      </c>
      <c r="L15" s="123">
        <v>10</v>
      </c>
      <c r="M15" s="123">
        <f t="shared" si="12"/>
        <v>250</v>
      </c>
      <c r="N15" s="20">
        <v>45084</v>
      </c>
      <c r="O15" s="123" t="s">
        <v>193</v>
      </c>
      <c r="P15" s="123" t="s">
        <v>144</v>
      </c>
      <c r="Q15" s="123" t="s">
        <v>30</v>
      </c>
      <c r="R15" s="123" t="s">
        <v>194</v>
      </c>
      <c r="S15" s="23">
        <v>241601307093</v>
      </c>
      <c r="T15" s="20">
        <v>45084</v>
      </c>
      <c r="U15" s="123"/>
      <c r="V15" s="123">
        <v>200</v>
      </c>
      <c r="W15" s="24">
        <v>45084.5</v>
      </c>
      <c r="X15" s="24">
        <v>45084.652777777781</v>
      </c>
      <c r="Y15" s="25">
        <f t="shared" si="13"/>
        <v>0.15277777778101154</v>
      </c>
      <c r="Z15" s="24">
        <v>45084.631944444445</v>
      </c>
      <c r="AA15" s="24">
        <v>45084.652777777781</v>
      </c>
      <c r="AB15" s="25">
        <f t="shared" si="14"/>
        <v>2.0833333335758653E-2</v>
      </c>
    </row>
    <row r="16" spans="1:28" x14ac:dyDescent="0.25">
      <c r="A16" s="12">
        <v>45078</v>
      </c>
      <c r="B16" s="123" t="s">
        <v>195</v>
      </c>
      <c r="C16" s="20">
        <v>45084</v>
      </c>
      <c r="D16" s="123">
        <v>4755234</v>
      </c>
      <c r="E16" s="123" t="s">
        <v>196</v>
      </c>
      <c r="F16" s="123" t="s">
        <v>197</v>
      </c>
      <c r="G16" s="123" t="s">
        <v>132</v>
      </c>
      <c r="H16" s="17">
        <v>5230831</v>
      </c>
      <c r="I16" s="17" t="s">
        <v>35</v>
      </c>
      <c r="J16" s="21" t="s">
        <v>49</v>
      </c>
      <c r="K16" s="123">
        <v>240</v>
      </c>
      <c r="L16" s="123">
        <v>40</v>
      </c>
      <c r="M16" s="123">
        <f t="shared" si="6"/>
        <v>9600</v>
      </c>
      <c r="N16" s="20">
        <v>45084</v>
      </c>
      <c r="O16" s="123" t="s">
        <v>136</v>
      </c>
      <c r="P16" s="123" t="s">
        <v>144</v>
      </c>
      <c r="Q16" s="123" t="s">
        <v>30</v>
      </c>
      <c r="R16" s="123" t="s">
        <v>198</v>
      </c>
      <c r="S16" s="23">
        <v>241601321879</v>
      </c>
      <c r="T16" s="20">
        <v>45084</v>
      </c>
      <c r="U16" s="123"/>
      <c r="V16" s="123">
        <v>201</v>
      </c>
      <c r="W16" s="24">
        <v>45084.604166666664</v>
      </c>
      <c r="X16" s="24">
        <v>45084.635416666664</v>
      </c>
      <c r="Y16" s="25">
        <f t="shared" si="7"/>
        <v>3.125E-2</v>
      </c>
      <c r="Z16" s="24">
        <v>45084.618055555555</v>
      </c>
      <c r="AA16" s="24">
        <v>45084.635416666664</v>
      </c>
      <c r="AB16" s="25">
        <f t="shared" si="8"/>
        <v>1.7361111109494232E-2</v>
      </c>
    </row>
    <row r="17" spans="1:28" x14ac:dyDescent="0.25">
      <c r="A17" s="12">
        <v>45078</v>
      </c>
      <c r="B17" s="123" t="s">
        <v>199</v>
      </c>
      <c r="C17" s="20">
        <v>45084</v>
      </c>
      <c r="D17" s="123">
        <v>5689755</v>
      </c>
      <c r="E17" s="123" t="s">
        <v>200</v>
      </c>
      <c r="F17" s="123" t="s">
        <v>201</v>
      </c>
      <c r="G17" s="123" t="s">
        <v>132</v>
      </c>
      <c r="H17" s="17">
        <v>5200193</v>
      </c>
      <c r="I17" s="17" t="s">
        <v>41</v>
      </c>
      <c r="J17" s="123">
        <v>1223003001</v>
      </c>
      <c r="K17" s="123">
        <v>250</v>
      </c>
      <c r="L17" s="123">
        <v>36</v>
      </c>
      <c r="M17" s="123">
        <f t="shared" si="6"/>
        <v>9000</v>
      </c>
      <c r="N17" s="20">
        <v>45084</v>
      </c>
      <c r="O17" s="123" t="s">
        <v>136</v>
      </c>
      <c r="P17" s="123" t="s">
        <v>134</v>
      </c>
      <c r="Q17" s="123">
        <v>2237</v>
      </c>
      <c r="R17" s="123" t="s">
        <v>202</v>
      </c>
      <c r="S17" s="23">
        <v>261601325439</v>
      </c>
      <c r="T17" s="20">
        <v>45084</v>
      </c>
      <c r="U17" s="123"/>
      <c r="V17" s="123">
        <v>202</v>
      </c>
      <c r="W17" s="24">
        <v>45084.583333333336</v>
      </c>
      <c r="X17" s="24">
        <v>45084.732638888891</v>
      </c>
      <c r="Y17" s="25">
        <f t="shared" si="7"/>
        <v>0.14930555555474712</v>
      </c>
      <c r="Z17" s="24">
        <v>45084.611111111109</v>
      </c>
      <c r="AA17" s="24">
        <v>45084.638888888891</v>
      </c>
      <c r="AB17" s="25">
        <f t="shared" si="8"/>
        <v>2.7777777781011537E-2</v>
      </c>
    </row>
    <row r="18" spans="1:28" x14ac:dyDescent="0.25">
      <c r="A18" s="12">
        <v>45078</v>
      </c>
      <c r="B18" s="123" t="s">
        <v>203</v>
      </c>
      <c r="C18" s="20">
        <v>45084</v>
      </c>
      <c r="D18" s="123">
        <v>5916473</v>
      </c>
      <c r="E18" s="123" t="s">
        <v>191</v>
      </c>
      <c r="F18" s="123" t="s">
        <v>135</v>
      </c>
      <c r="G18" s="123" t="s">
        <v>192</v>
      </c>
      <c r="H18" s="17">
        <v>5212252</v>
      </c>
      <c r="I18" s="17" t="s">
        <v>23</v>
      </c>
      <c r="J18" s="123" t="s">
        <v>81</v>
      </c>
      <c r="K18" s="123">
        <v>25</v>
      </c>
      <c r="L18" s="123">
        <v>256</v>
      </c>
      <c r="M18" s="123">
        <f t="shared" si="6"/>
        <v>6400</v>
      </c>
      <c r="N18" s="20">
        <v>45084</v>
      </c>
      <c r="O18" s="123" t="s">
        <v>204</v>
      </c>
      <c r="P18" s="123" t="s">
        <v>144</v>
      </c>
      <c r="Q18" s="123" t="s">
        <v>30</v>
      </c>
      <c r="R18" s="123" t="s">
        <v>205</v>
      </c>
      <c r="S18" s="23">
        <v>221601376336</v>
      </c>
      <c r="T18" s="20">
        <v>45084</v>
      </c>
      <c r="U18" s="123"/>
      <c r="V18" s="123">
        <v>203</v>
      </c>
      <c r="W18" s="24">
        <v>45084.458333333336</v>
      </c>
      <c r="X18" s="24">
        <v>45084.861111111109</v>
      </c>
      <c r="Y18" s="25">
        <f t="shared" si="7"/>
        <v>0.40277777777373558</v>
      </c>
      <c r="Z18" s="24">
        <v>45084.75</v>
      </c>
      <c r="AA18" s="24">
        <v>45084.857638888891</v>
      </c>
      <c r="AB18" s="25">
        <f t="shared" si="8"/>
        <v>0.10763888889050577</v>
      </c>
    </row>
    <row r="19" spans="1:28" x14ac:dyDescent="0.25">
      <c r="A19" s="12">
        <v>45078</v>
      </c>
      <c r="B19" s="123" t="s">
        <v>203</v>
      </c>
      <c r="C19" s="20">
        <v>45084</v>
      </c>
      <c r="D19" s="123">
        <v>5153050</v>
      </c>
      <c r="E19" s="123" t="s">
        <v>191</v>
      </c>
      <c r="F19" s="123" t="s">
        <v>135</v>
      </c>
      <c r="G19" s="123" t="s">
        <v>192</v>
      </c>
      <c r="H19" s="17">
        <v>5211013</v>
      </c>
      <c r="I19" s="17" t="s">
        <v>27</v>
      </c>
      <c r="J19" s="123" t="s">
        <v>61</v>
      </c>
      <c r="K19" s="123">
        <v>25</v>
      </c>
      <c r="L19" s="123">
        <v>600</v>
      </c>
      <c r="M19" s="123">
        <f t="shared" ref="M19" si="15">+L19*K19</f>
        <v>15000</v>
      </c>
      <c r="N19" s="20">
        <v>45084</v>
      </c>
      <c r="O19" s="123" t="s">
        <v>204</v>
      </c>
      <c r="P19" s="123" t="s">
        <v>144</v>
      </c>
      <c r="Q19" s="123" t="s">
        <v>30</v>
      </c>
      <c r="R19" s="123" t="s">
        <v>205</v>
      </c>
      <c r="S19" s="23">
        <v>221601376336</v>
      </c>
      <c r="T19" s="20">
        <v>45084</v>
      </c>
      <c r="U19" s="123"/>
      <c r="V19" s="123">
        <v>203</v>
      </c>
      <c r="W19" s="24">
        <v>45084.458333333336</v>
      </c>
      <c r="X19" s="24">
        <v>45084.861111111109</v>
      </c>
      <c r="Y19" s="25">
        <f t="shared" ref="Y19" si="16">+X19-W19</f>
        <v>0.40277777777373558</v>
      </c>
      <c r="Z19" s="24">
        <v>45084.75</v>
      </c>
      <c r="AA19" s="24">
        <v>45084.857638888891</v>
      </c>
      <c r="AB19" s="25">
        <f t="shared" ref="AB19" si="17">+AA19-Z19</f>
        <v>0.10763888889050577</v>
      </c>
    </row>
    <row r="20" spans="1:28" x14ac:dyDescent="0.25">
      <c r="A20" s="12">
        <v>45078</v>
      </c>
      <c r="B20" s="123" t="s">
        <v>203</v>
      </c>
      <c r="C20" s="20">
        <v>45084</v>
      </c>
      <c r="D20" s="123">
        <v>5219103</v>
      </c>
      <c r="E20" s="123" t="s">
        <v>191</v>
      </c>
      <c r="F20" s="123" t="s">
        <v>135</v>
      </c>
      <c r="G20" s="123" t="s">
        <v>192</v>
      </c>
      <c r="H20" s="17">
        <v>5211014</v>
      </c>
      <c r="I20" s="17" t="s">
        <v>38</v>
      </c>
      <c r="J20" s="21" t="s">
        <v>69</v>
      </c>
      <c r="K20" s="123">
        <v>25</v>
      </c>
      <c r="L20" s="123">
        <v>80</v>
      </c>
      <c r="M20" s="123">
        <f t="shared" ref="M20:M23" si="18">+L20*K20</f>
        <v>2000</v>
      </c>
      <c r="N20" s="20">
        <v>45084</v>
      </c>
      <c r="O20" s="123" t="s">
        <v>204</v>
      </c>
      <c r="P20" s="123" t="s">
        <v>144</v>
      </c>
      <c r="Q20" s="123" t="s">
        <v>30</v>
      </c>
      <c r="R20" s="123" t="s">
        <v>205</v>
      </c>
      <c r="S20" s="23">
        <v>221601376336</v>
      </c>
      <c r="T20" s="20">
        <v>45084</v>
      </c>
      <c r="U20" s="123"/>
      <c r="V20" s="123">
        <v>203</v>
      </c>
      <c r="W20" s="24">
        <v>45084.458333333336</v>
      </c>
      <c r="X20" s="24">
        <v>45084.861111111109</v>
      </c>
      <c r="Y20" s="25">
        <f t="shared" ref="Y20:Y23" si="19">+X20-W20</f>
        <v>0.40277777777373558</v>
      </c>
      <c r="Z20" s="24">
        <v>45084.75</v>
      </c>
      <c r="AA20" s="24">
        <v>45084.857638888891</v>
      </c>
      <c r="AB20" s="25">
        <f t="shared" ref="AB20:AB23" si="20">+AA20-Z20</f>
        <v>0.10763888889050577</v>
      </c>
    </row>
    <row r="21" spans="1:28" x14ac:dyDescent="0.25">
      <c r="A21" s="12">
        <v>45078</v>
      </c>
      <c r="B21" s="123" t="s">
        <v>203</v>
      </c>
      <c r="C21" s="20">
        <v>45084</v>
      </c>
      <c r="D21" s="123">
        <v>5936674</v>
      </c>
      <c r="E21" s="123" t="s">
        <v>191</v>
      </c>
      <c r="F21" s="123" t="s">
        <v>135</v>
      </c>
      <c r="G21" s="123" t="s">
        <v>192</v>
      </c>
      <c r="H21" s="17">
        <v>5210162</v>
      </c>
      <c r="I21" s="17" t="s">
        <v>24</v>
      </c>
      <c r="J21" s="123" t="s">
        <v>77</v>
      </c>
      <c r="K21" s="123">
        <v>25</v>
      </c>
      <c r="L21" s="123">
        <v>120</v>
      </c>
      <c r="M21" s="123">
        <f t="shared" si="18"/>
        <v>3000</v>
      </c>
      <c r="N21" s="20">
        <v>45084</v>
      </c>
      <c r="O21" s="123" t="s">
        <v>204</v>
      </c>
      <c r="P21" s="123" t="s">
        <v>144</v>
      </c>
      <c r="Q21" s="123" t="s">
        <v>30</v>
      </c>
      <c r="R21" s="123" t="s">
        <v>205</v>
      </c>
      <c r="S21" s="23">
        <v>221601376336</v>
      </c>
      <c r="T21" s="20">
        <v>45084</v>
      </c>
      <c r="U21" s="123"/>
      <c r="V21" s="123">
        <v>203</v>
      </c>
      <c r="W21" s="24">
        <v>45084.458333333336</v>
      </c>
      <c r="X21" s="24">
        <v>45084.861111111109</v>
      </c>
      <c r="Y21" s="25">
        <f t="shared" si="19"/>
        <v>0.40277777777373558</v>
      </c>
      <c r="Z21" s="24">
        <v>45084.75</v>
      </c>
      <c r="AA21" s="24">
        <v>45084.857638888891</v>
      </c>
      <c r="AB21" s="25">
        <f t="shared" si="20"/>
        <v>0.10763888889050577</v>
      </c>
    </row>
    <row r="22" spans="1:28" x14ac:dyDescent="0.25">
      <c r="A22" s="12">
        <v>45078</v>
      </c>
      <c r="B22" s="123" t="s">
        <v>206</v>
      </c>
      <c r="C22" s="20">
        <v>45084</v>
      </c>
      <c r="D22" s="123">
        <v>5153050</v>
      </c>
      <c r="E22" s="123" t="s">
        <v>191</v>
      </c>
      <c r="F22" s="123" t="s">
        <v>135</v>
      </c>
      <c r="G22" s="123" t="s">
        <v>192</v>
      </c>
      <c r="H22" s="17">
        <v>5211013</v>
      </c>
      <c r="I22" s="17" t="s">
        <v>27</v>
      </c>
      <c r="J22" s="123" t="s">
        <v>60</v>
      </c>
      <c r="K22" s="123">
        <v>25</v>
      </c>
      <c r="L22" s="123">
        <v>16</v>
      </c>
      <c r="M22" s="123">
        <f t="shared" ref="M22" si="21">+L22*K22</f>
        <v>400</v>
      </c>
      <c r="N22" s="20">
        <v>45084</v>
      </c>
      <c r="O22" s="123" t="s">
        <v>204</v>
      </c>
      <c r="P22" s="123" t="s">
        <v>144</v>
      </c>
      <c r="Q22" s="123" t="s">
        <v>30</v>
      </c>
      <c r="R22" s="123" t="s">
        <v>205</v>
      </c>
      <c r="S22" s="23">
        <v>231601377978</v>
      </c>
      <c r="T22" s="20">
        <v>45084</v>
      </c>
      <c r="U22" s="123"/>
      <c r="V22" s="123">
        <v>203</v>
      </c>
      <c r="W22" s="24">
        <v>45084.458333333336</v>
      </c>
      <c r="X22" s="24">
        <v>45084.861111111109</v>
      </c>
      <c r="Y22" s="25">
        <f t="shared" ref="Y22" si="22">+X22-W22</f>
        <v>0.40277777777373558</v>
      </c>
      <c r="Z22" s="24">
        <v>45084.75</v>
      </c>
      <c r="AA22" s="24">
        <v>45084.857638888891</v>
      </c>
      <c r="AB22" s="25">
        <f t="shared" ref="AB22" si="23">+AA22-Z22</f>
        <v>0.10763888889050577</v>
      </c>
    </row>
    <row r="23" spans="1:28" x14ac:dyDescent="0.25">
      <c r="A23" s="12">
        <v>45078</v>
      </c>
      <c r="B23" s="123" t="s">
        <v>206</v>
      </c>
      <c r="C23" s="20">
        <v>45084</v>
      </c>
      <c r="D23" s="123">
        <v>5153050</v>
      </c>
      <c r="E23" s="123" t="s">
        <v>191</v>
      </c>
      <c r="F23" s="123" t="s">
        <v>135</v>
      </c>
      <c r="G23" s="123" t="s">
        <v>192</v>
      </c>
      <c r="H23" s="17">
        <v>5211013</v>
      </c>
      <c r="I23" s="17" t="s">
        <v>27</v>
      </c>
      <c r="J23" s="123" t="s">
        <v>61</v>
      </c>
      <c r="K23" s="123">
        <v>25</v>
      </c>
      <c r="L23" s="123">
        <v>92</v>
      </c>
      <c r="M23" s="123">
        <f t="shared" si="18"/>
        <v>2300</v>
      </c>
      <c r="N23" s="20">
        <v>45084</v>
      </c>
      <c r="O23" s="123" t="s">
        <v>204</v>
      </c>
      <c r="P23" s="123" t="s">
        <v>144</v>
      </c>
      <c r="Q23" s="123" t="s">
        <v>30</v>
      </c>
      <c r="R23" s="123" t="s">
        <v>205</v>
      </c>
      <c r="S23" s="23">
        <v>231601377978</v>
      </c>
      <c r="T23" s="20">
        <v>45084</v>
      </c>
      <c r="U23" s="123"/>
      <c r="V23" s="123">
        <v>203</v>
      </c>
      <c r="W23" s="24">
        <v>45084.458333333336</v>
      </c>
      <c r="X23" s="24">
        <v>45084.861111111109</v>
      </c>
      <c r="Y23" s="25">
        <f t="shared" si="19"/>
        <v>0.40277777777373558</v>
      </c>
      <c r="Z23" s="24">
        <v>45084.75</v>
      </c>
      <c r="AA23" s="24">
        <v>45084.857638888891</v>
      </c>
      <c r="AB23" s="25">
        <f t="shared" si="20"/>
        <v>0.10763888889050577</v>
      </c>
    </row>
    <row r="24" spans="1:28" x14ac:dyDescent="0.25">
      <c r="A24" s="12">
        <v>45078</v>
      </c>
      <c r="B24" s="123" t="s">
        <v>206</v>
      </c>
      <c r="C24" s="20">
        <v>45084</v>
      </c>
      <c r="D24" s="123">
        <v>5743038</v>
      </c>
      <c r="E24" s="123" t="s">
        <v>191</v>
      </c>
      <c r="F24" s="123" t="s">
        <v>135</v>
      </c>
      <c r="G24" s="123" t="s">
        <v>192</v>
      </c>
      <c r="H24" s="17">
        <v>5211013</v>
      </c>
      <c r="I24" s="17" t="s">
        <v>27</v>
      </c>
      <c r="J24" s="123" t="s">
        <v>76</v>
      </c>
      <c r="K24" s="123">
        <v>25</v>
      </c>
      <c r="L24" s="123">
        <v>292</v>
      </c>
      <c r="M24" s="123">
        <f t="shared" ref="M24:M36" si="24">+L24*K24</f>
        <v>7300</v>
      </c>
      <c r="N24" s="20">
        <v>45084</v>
      </c>
      <c r="O24" s="123" t="s">
        <v>204</v>
      </c>
      <c r="P24" s="123" t="s">
        <v>144</v>
      </c>
      <c r="Q24" s="123" t="s">
        <v>30</v>
      </c>
      <c r="R24" s="123" t="s">
        <v>205</v>
      </c>
      <c r="S24" s="23">
        <v>231601377978</v>
      </c>
      <c r="T24" s="20">
        <v>45084</v>
      </c>
      <c r="U24" s="123"/>
      <c r="V24" s="123">
        <v>203</v>
      </c>
      <c r="W24" s="24">
        <v>45084.458333333336</v>
      </c>
      <c r="X24" s="24">
        <v>45084.861111111109</v>
      </c>
      <c r="Y24" s="25">
        <f t="shared" ref="Y24:Y36" si="25">+X24-W24</f>
        <v>0.40277777777373558</v>
      </c>
      <c r="Z24" s="24">
        <v>45084.75</v>
      </c>
      <c r="AA24" s="24">
        <v>45084.857638888891</v>
      </c>
      <c r="AB24" s="25">
        <f t="shared" ref="AB24:AB36" si="26">+AA24-Z24</f>
        <v>0.10763888889050577</v>
      </c>
    </row>
    <row r="25" spans="1:28" x14ac:dyDescent="0.25">
      <c r="A25" s="12">
        <v>45078</v>
      </c>
      <c r="B25" s="123" t="s">
        <v>213</v>
      </c>
      <c r="C25" s="20">
        <v>45085</v>
      </c>
      <c r="D25" s="123">
        <v>4755234</v>
      </c>
      <c r="E25" s="123" t="s">
        <v>214</v>
      </c>
      <c r="F25" s="123" t="s">
        <v>215</v>
      </c>
      <c r="G25" s="123" t="s">
        <v>132</v>
      </c>
      <c r="H25" s="17">
        <v>5230831</v>
      </c>
      <c r="I25" s="17" t="s">
        <v>35</v>
      </c>
      <c r="J25" s="21" t="s">
        <v>49</v>
      </c>
      <c r="K25" s="123">
        <v>240</v>
      </c>
      <c r="L25" s="123">
        <v>20</v>
      </c>
      <c r="M25" s="123">
        <f t="shared" si="24"/>
        <v>4800</v>
      </c>
      <c r="N25" s="20">
        <v>45085</v>
      </c>
      <c r="O25" s="123" t="s">
        <v>136</v>
      </c>
      <c r="P25" s="123" t="s">
        <v>134</v>
      </c>
      <c r="Q25" s="123">
        <v>2238</v>
      </c>
      <c r="R25" s="123" t="s">
        <v>216</v>
      </c>
      <c r="S25" s="23">
        <v>241601697866</v>
      </c>
      <c r="T25" s="20">
        <v>45085</v>
      </c>
      <c r="U25" s="123"/>
      <c r="V25" s="123">
        <v>204</v>
      </c>
      <c r="W25" s="24">
        <v>45085.583333333336</v>
      </c>
      <c r="X25" s="24">
        <v>45085.659722222219</v>
      </c>
      <c r="Y25" s="25">
        <f t="shared" si="25"/>
        <v>7.6388888883229811E-2</v>
      </c>
      <c r="Z25" s="24">
        <v>45085.611111111109</v>
      </c>
      <c r="AA25" s="24">
        <v>45085.659722222219</v>
      </c>
      <c r="AB25" s="25">
        <f t="shared" si="26"/>
        <v>4.8611111109494232E-2</v>
      </c>
    </row>
    <row r="26" spans="1:28" x14ac:dyDescent="0.25">
      <c r="A26" s="12">
        <v>45078</v>
      </c>
      <c r="B26" s="123" t="s">
        <v>217</v>
      </c>
      <c r="C26" s="20">
        <v>45085</v>
      </c>
      <c r="D26" s="123">
        <v>5689755</v>
      </c>
      <c r="E26" s="123" t="s">
        <v>218</v>
      </c>
      <c r="F26" s="123" t="s">
        <v>219</v>
      </c>
      <c r="G26" s="123" t="s">
        <v>132</v>
      </c>
      <c r="H26" s="17">
        <v>5200193</v>
      </c>
      <c r="I26" s="17" t="s">
        <v>41</v>
      </c>
      <c r="J26" s="123">
        <v>1223003001</v>
      </c>
      <c r="K26" s="123">
        <v>250</v>
      </c>
      <c r="L26" s="123">
        <v>40</v>
      </c>
      <c r="M26" s="123">
        <f t="shared" si="24"/>
        <v>10000</v>
      </c>
      <c r="N26" s="20">
        <v>45085</v>
      </c>
      <c r="O26" s="123" t="s">
        <v>220</v>
      </c>
      <c r="P26" s="123" t="s">
        <v>134</v>
      </c>
      <c r="Q26" s="123">
        <v>2240</v>
      </c>
      <c r="R26" s="123" t="s">
        <v>221</v>
      </c>
      <c r="S26" s="23">
        <v>261601700339</v>
      </c>
      <c r="T26" s="20">
        <v>45085</v>
      </c>
      <c r="U26" s="123"/>
      <c r="V26" s="123">
        <v>205</v>
      </c>
      <c r="W26" s="24">
        <v>45085.583333333336</v>
      </c>
      <c r="X26" s="24">
        <v>45085.673611111109</v>
      </c>
      <c r="Y26" s="25">
        <f t="shared" si="25"/>
        <v>9.0277777773735579E-2</v>
      </c>
      <c r="Z26" s="24">
        <v>45085.625</v>
      </c>
      <c r="AA26" s="24">
        <v>45085.673611111109</v>
      </c>
      <c r="AB26" s="25">
        <f t="shared" si="26"/>
        <v>4.8611111109494232E-2</v>
      </c>
    </row>
    <row r="27" spans="1:28" x14ac:dyDescent="0.25">
      <c r="A27" s="12">
        <v>45078</v>
      </c>
      <c r="B27" s="123" t="s">
        <v>222</v>
      </c>
      <c r="C27" s="20">
        <v>45085</v>
      </c>
      <c r="D27" s="123">
        <v>5689755</v>
      </c>
      <c r="E27" s="123" t="s">
        <v>218</v>
      </c>
      <c r="F27" s="123" t="s">
        <v>219</v>
      </c>
      <c r="G27" s="123" t="s">
        <v>132</v>
      </c>
      <c r="H27" s="17">
        <v>5200193</v>
      </c>
      <c r="I27" s="17" t="s">
        <v>41</v>
      </c>
      <c r="J27" s="123">
        <v>1223003001</v>
      </c>
      <c r="K27" s="123">
        <v>250</v>
      </c>
      <c r="L27" s="123">
        <v>40</v>
      </c>
      <c r="M27" s="123">
        <f t="shared" si="24"/>
        <v>10000</v>
      </c>
      <c r="N27" s="20">
        <v>45085</v>
      </c>
      <c r="O27" s="123" t="s">
        <v>220</v>
      </c>
      <c r="P27" s="123" t="s">
        <v>134</v>
      </c>
      <c r="Q27" s="123">
        <v>2239</v>
      </c>
      <c r="R27" s="123" t="s">
        <v>223</v>
      </c>
      <c r="S27" s="23">
        <v>221601699473</v>
      </c>
      <c r="T27" s="20">
        <v>45085</v>
      </c>
      <c r="U27" s="123"/>
      <c r="V27" s="123">
        <v>206</v>
      </c>
      <c r="W27" s="24">
        <v>45085.583333333336</v>
      </c>
      <c r="X27" s="24">
        <v>45085.666666666664</v>
      </c>
      <c r="Y27" s="25">
        <f t="shared" si="25"/>
        <v>8.3333333328482695E-2</v>
      </c>
      <c r="Z27" s="24">
        <v>45085.645833333336</v>
      </c>
      <c r="AA27" s="24">
        <v>45085.666666666664</v>
      </c>
      <c r="AB27" s="25">
        <f t="shared" si="26"/>
        <v>2.0833333328482695E-2</v>
      </c>
    </row>
    <row r="28" spans="1:28" x14ac:dyDescent="0.25">
      <c r="A28" s="12">
        <v>45078</v>
      </c>
      <c r="B28" s="123" t="s">
        <v>224</v>
      </c>
      <c r="C28" s="20">
        <v>45085</v>
      </c>
      <c r="D28" s="123">
        <v>5689755</v>
      </c>
      <c r="E28" s="123" t="s">
        <v>143</v>
      </c>
      <c r="F28" s="123" t="s">
        <v>135</v>
      </c>
      <c r="G28" s="123" t="s">
        <v>132</v>
      </c>
      <c r="H28" s="17">
        <v>5200193</v>
      </c>
      <c r="I28" s="17" t="s">
        <v>41</v>
      </c>
      <c r="J28" s="123">
        <v>1223003001</v>
      </c>
      <c r="K28" s="123">
        <v>250</v>
      </c>
      <c r="L28" s="123">
        <v>40</v>
      </c>
      <c r="M28" s="123">
        <f t="shared" si="24"/>
        <v>10000</v>
      </c>
      <c r="N28" s="20">
        <v>45085</v>
      </c>
      <c r="O28" s="123" t="s">
        <v>220</v>
      </c>
      <c r="P28" s="123" t="s">
        <v>144</v>
      </c>
      <c r="Q28" s="123" t="s">
        <v>30</v>
      </c>
      <c r="R28" s="123" t="s">
        <v>171</v>
      </c>
      <c r="S28" s="23">
        <v>221601794736</v>
      </c>
      <c r="T28" s="20">
        <v>45085</v>
      </c>
      <c r="U28" s="123"/>
      <c r="V28" s="123">
        <v>207</v>
      </c>
      <c r="W28" s="24">
        <v>45085.604166666664</v>
      </c>
      <c r="X28" s="24">
        <v>45085.6875</v>
      </c>
      <c r="Y28" s="25">
        <f t="shared" si="25"/>
        <v>8.3333333335758653E-2</v>
      </c>
      <c r="Z28" s="24">
        <v>45085.673611111109</v>
      </c>
      <c r="AA28" s="24">
        <v>45085.6875</v>
      </c>
      <c r="AB28" s="25">
        <f t="shared" si="26"/>
        <v>1.3888888890505768E-2</v>
      </c>
    </row>
    <row r="29" spans="1:28" x14ac:dyDescent="0.25">
      <c r="A29" s="12">
        <v>45078</v>
      </c>
      <c r="B29" s="123" t="s">
        <v>225</v>
      </c>
      <c r="C29" s="20">
        <v>45086</v>
      </c>
      <c r="D29" s="123">
        <v>5689755</v>
      </c>
      <c r="E29" s="123" t="s">
        <v>218</v>
      </c>
      <c r="F29" s="123" t="s">
        <v>219</v>
      </c>
      <c r="G29" s="123" t="s">
        <v>132</v>
      </c>
      <c r="H29" s="17">
        <v>5200193</v>
      </c>
      <c r="I29" s="17" t="s">
        <v>41</v>
      </c>
      <c r="J29" s="123">
        <v>1223003001</v>
      </c>
      <c r="K29" s="123">
        <v>250</v>
      </c>
      <c r="L29" s="123">
        <v>40</v>
      </c>
      <c r="M29" s="123">
        <f t="shared" si="24"/>
        <v>10000</v>
      </c>
      <c r="N29" s="20">
        <v>45086</v>
      </c>
      <c r="O29" s="123" t="s">
        <v>220</v>
      </c>
      <c r="P29" s="123" t="s">
        <v>134</v>
      </c>
      <c r="Q29" s="123">
        <v>2241</v>
      </c>
      <c r="R29" s="123" t="s">
        <v>226</v>
      </c>
      <c r="S29" s="23">
        <v>271602208273</v>
      </c>
      <c r="T29" s="20">
        <v>45086</v>
      </c>
      <c r="U29" s="123"/>
      <c r="V29" s="123">
        <v>208</v>
      </c>
      <c r="W29" s="24">
        <v>45086.625</v>
      </c>
      <c r="X29" s="24">
        <v>45086.645833333336</v>
      </c>
      <c r="Y29" s="25">
        <f t="shared" si="25"/>
        <v>2.0833333335758653E-2</v>
      </c>
      <c r="Z29" s="24">
        <v>45086.628472222219</v>
      </c>
      <c r="AA29" s="24">
        <v>45086.642361111109</v>
      </c>
      <c r="AB29" s="25">
        <f t="shared" si="26"/>
        <v>1.3888888890505768E-2</v>
      </c>
    </row>
    <row r="30" spans="1:28" x14ac:dyDescent="0.25">
      <c r="A30" s="12">
        <v>45078</v>
      </c>
      <c r="B30" s="123" t="s">
        <v>227</v>
      </c>
      <c r="C30" s="20">
        <v>45086</v>
      </c>
      <c r="D30" s="123">
        <v>5689755</v>
      </c>
      <c r="E30" s="123" t="s">
        <v>218</v>
      </c>
      <c r="F30" s="123" t="s">
        <v>219</v>
      </c>
      <c r="G30" s="123" t="s">
        <v>132</v>
      </c>
      <c r="H30" s="17">
        <v>5200193</v>
      </c>
      <c r="I30" s="17" t="s">
        <v>41</v>
      </c>
      <c r="J30" s="123">
        <v>1223003001</v>
      </c>
      <c r="K30" s="123">
        <v>250</v>
      </c>
      <c r="L30" s="123">
        <v>32</v>
      </c>
      <c r="M30" s="123">
        <f t="shared" si="24"/>
        <v>8000</v>
      </c>
      <c r="N30" s="20">
        <v>45086</v>
      </c>
      <c r="O30" s="123" t="s">
        <v>136</v>
      </c>
      <c r="P30" s="123" t="s">
        <v>134</v>
      </c>
      <c r="Q30" s="123">
        <v>2242</v>
      </c>
      <c r="R30" s="123" t="s">
        <v>228</v>
      </c>
      <c r="S30" s="23">
        <v>291602276036</v>
      </c>
      <c r="T30" s="20">
        <v>45086</v>
      </c>
      <c r="U30" s="123"/>
      <c r="V30" s="123">
        <v>209</v>
      </c>
      <c r="W30" s="24">
        <v>45086.680555555555</v>
      </c>
      <c r="X30" s="24">
        <v>45086.704861111109</v>
      </c>
      <c r="Y30" s="25">
        <f t="shared" si="25"/>
        <v>2.4305555554747116E-2</v>
      </c>
      <c r="Z30" s="24">
        <v>45086.6875</v>
      </c>
      <c r="AA30" s="24">
        <v>45086.701388888891</v>
      </c>
      <c r="AB30" s="25">
        <f t="shared" si="26"/>
        <v>1.3888888890505768E-2</v>
      </c>
    </row>
    <row r="31" spans="1:28" x14ac:dyDescent="0.25">
      <c r="A31" s="12">
        <v>45078</v>
      </c>
      <c r="B31" s="123" t="s">
        <v>229</v>
      </c>
      <c r="C31" s="20">
        <v>45085</v>
      </c>
      <c r="D31" s="123">
        <v>5743038</v>
      </c>
      <c r="E31" s="123" t="s">
        <v>230</v>
      </c>
      <c r="F31" s="123" t="s">
        <v>231</v>
      </c>
      <c r="G31" s="123" t="s">
        <v>192</v>
      </c>
      <c r="H31" s="17">
        <v>5211013</v>
      </c>
      <c r="I31" s="17" t="s">
        <v>27</v>
      </c>
      <c r="J31" s="123" t="s">
        <v>76</v>
      </c>
      <c r="K31" s="123">
        <v>25</v>
      </c>
      <c r="L31" s="123">
        <v>80</v>
      </c>
      <c r="M31" s="123">
        <f t="shared" si="24"/>
        <v>2000</v>
      </c>
      <c r="N31" s="20">
        <v>45086</v>
      </c>
      <c r="O31" s="123" t="s">
        <v>232</v>
      </c>
      <c r="P31" s="123" t="s">
        <v>187</v>
      </c>
      <c r="Q31" s="123" t="s">
        <v>30</v>
      </c>
      <c r="R31" s="123" t="s">
        <v>233</v>
      </c>
      <c r="S31" s="23" t="s">
        <v>236</v>
      </c>
      <c r="T31" s="20">
        <v>45086</v>
      </c>
      <c r="U31" s="123"/>
      <c r="V31" s="123">
        <v>210</v>
      </c>
      <c r="W31" s="24">
        <v>45086.708333333336</v>
      </c>
      <c r="X31" s="24">
        <v>45086.722222222219</v>
      </c>
      <c r="Y31" s="25">
        <f t="shared" si="25"/>
        <v>1.3888888883229811E-2</v>
      </c>
      <c r="Z31" s="24">
        <v>45086.708333333336</v>
      </c>
      <c r="AA31" s="24">
        <v>45086.715277777781</v>
      </c>
      <c r="AB31" s="25">
        <f t="shared" si="26"/>
        <v>6.9444444452528842E-3</v>
      </c>
    </row>
    <row r="32" spans="1:28" x14ac:dyDescent="0.25">
      <c r="A32" s="12">
        <v>45078</v>
      </c>
      <c r="B32" s="123" t="s">
        <v>234</v>
      </c>
      <c r="C32" s="20">
        <v>45086</v>
      </c>
      <c r="D32" s="123">
        <v>5689755</v>
      </c>
      <c r="E32" s="123" t="s">
        <v>200</v>
      </c>
      <c r="F32" s="123" t="s">
        <v>201</v>
      </c>
      <c r="G32" s="123" t="s">
        <v>132</v>
      </c>
      <c r="H32" s="17">
        <v>5200193</v>
      </c>
      <c r="I32" s="17" t="s">
        <v>41</v>
      </c>
      <c r="J32" s="123">
        <v>1223003001</v>
      </c>
      <c r="K32" s="123">
        <v>250</v>
      </c>
      <c r="L32" s="123">
        <v>36</v>
      </c>
      <c r="M32" s="123">
        <f t="shared" si="24"/>
        <v>9000</v>
      </c>
      <c r="N32" s="20">
        <v>45086</v>
      </c>
      <c r="O32" s="123" t="s">
        <v>136</v>
      </c>
      <c r="P32" s="123" t="s">
        <v>134</v>
      </c>
      <c r="Q32" s="123">
        <v>2243</v>
      </c>
      <c r="R32" s="123" t="s">
        <v>235</v>
      </c>
      <c r="S32" s="23">
        <v>261602316643</v>
      </c>
      <c r="T32" s="20">
        <v>45086</v>
      </c>
      <c r="U32" s="123"/>
      <c r="V32" s="123">
        <v>211</v>
      </c>
      <c r="W32" s="24">
        <v>45086.729166666664</v>
      </c>
      <c r="X32" s="24">
        <v>45086.753472222219</v>
      </c>
      <c r="Y32" s="25">
        <f t="shared" si="25"/>
        <v>2.4305555554747116E-2</v>
      </c>
      <c r="Z32" s="24">
        <v>45086.736111111109</v>
      </c>
      <c r="AA32" s="24">
        <v>45086.75</v>
      </c>
      <c r="AB32" s="25">
        <f t="shared" si="26"/>
        <v>1.3888888890505768E-2</v>
      </c>
    </row>
    <row r="33" spans="1:28" x14ac:dyDescent="0.25">
      <c r="A33" s="12">
        <v>45078</v>
      </c>
      <c r="B33" s="123" t="s">
        <v>237</v>
      </c>
      <c r="C33" s="20">
        <v>45089</v>
      </c>
      <c r="D33" s="123">
        <v>5689755</v>
      </c>
      <c r="E33" s="123" t="s">
        <v>143</v>
      </c>
      <c r="F33" s="123" t="s">
        <v>135</v>
      </c>
      <c r="G33" s="123" t="s">
        <v>132</v>
      </c>
      <c r="H33" s="17">
        <v>5200193</v>
      </c>
      <c r="I33" s="17" t="s">
        <v>41</v>
      </c>
      <c r="J33" s="123">
        <v>1223003001</v>
      </c>
      <c r="K33" s="123">
        <v>250</v>
      </c>
      <c r="L33" s="123">
        <v>40</v>
      </c>
      <c r="M33" s="123">
        <f t="shared" si="24"/>
        <v>10000</v>
      </c>
      <c r="N33" s="20">
        <v>45089</v>
      </c>
      <c r="O33" s="123" t="s">
        <v>220</v>
      </c>
      <c r="P33" s="123" t="s">
        <v>144</v>
      </c>
      <c r="Q33" s="123" t="s">
        <v>30</v>
      </c>
      <c r="R33" s="123" t="s">
        <v>238</v>
      </c>
      <c r="S33" s="23">
        <v>261603434704</v>
      </c>
      <c r="T33" s="20">
        <v>45089</v>
      </c>
      <c r="U33" s="123"/>
      <c r="V33" s="123">
        <v>212</v>
      </c>
      <c r="W33" s="24">
        <v>45089.625</v>
      </c>
      <c r="X33" s="24">
        <v>45089.666666666664</v>
      </c>
      <c r="Y33" s="25">
        <f t="shared" si="25"/>
        <v>4.1666666664241347E-2</v>
      </c>
      <c r="Z33" s="24">
        <v>45089.652777777781</v>
      </c>
      <c r="AA33" s="24">
        <v>45089.666666666664</v>
      </c>
      <c r="AB33" s="25">
        <f t="shared" si="26"/>
        <v>1.3888888883229811E-2</v>
      </c>
    </row>
    <row r="34" spans="1:28" x14ac:dyDescent="0.25">
      <c r="A34" s="12">
        <v>45078</v>
      </c>
      <c r="B34" s="123" t="s">
        <v>239</v>
      </c>
      <c r="C34" s="20">
        <v>45089</v>
      </c>
      <c r="D34" s="123">
        <v>5689755</v>
      </c>
      <c r="E34" s="123" t="s">
        <v>200</v>
      </c>
      <c r="F34" s="123" t="s">
        <v>240</v>
      </c>
      <c r="G34" s="123" t="s">
        <v>132</v>
      </c>
      <c r="H34" s="17">
        <v>5200193</v>
      </c>
      <c r="I34" s="17" t="s">
        <v>41</v>
      </c>
      <c r="J34" s="123">
        <v>1223003001</v>
      </c>
      <c r="K34" s="123">
        <v>250</v>
      </c>
      <c r="L34" s="123">
        <v>36</v>
      </c>
      <c r="M34" s="123">
        <f t="shared" si="24"/>
        <v>9000</v>
      </c>
      <c r="N34" s="20">
        <v>45089</v>
      </c>
      <c r="O34" s="123" t="s">
        <v>136</v>
      </c>
      <c r="P34" s="123" t="s">
        <v>134</v>
      </c>
      <c r="Q34" s="123">
        <v>2244</v>
      </c>
      <c r="R34" s="123" t="s">
        <v>241</v>
      </c>
      <c r="S34" s="23">
        <v>271603429352</v>
      </c>
      <c r="T34" s="20">
        <v>45089</v>
      </c>
      <c r="U34" s="123"/>
      <c r="V34" s="123">
        <v>213</v>
      </c>
      <c r="W34" s="24">
        <v>45089.625</v>
      </c>
      <c r="X34" s="24">
        <v>45089.666666666664</v>
      </c>
      <c r="Y34" s="25">
        <f t="shared" si="25"/>
        <v>4.1666666664241347E-2</v>
      </c>
      <c r="Z34" s="24">
        <v>45089.638888888891</v>
      </c>
      <c r="AA34" s="24">
        <v>45089.666666666664</v>
      </c>
      <c r="AB34" s="25">
        <f t="shared" si="26"/>
        <v>2.7777777773735579E-2</v>
      </c>
    </row>
    <row r="35" spans="1:28" x14ac:dyDescent="0.25">
      <c r="A35" s="12">
        <v>45078</v>
      </c>
      <c r="B35" s="123" t="s">
        <v>242</v>
      </c>
      <c r="C35" s="20">
        <v>45089</v>
      </c>
      <c r="D35" s="123">
        <v>5689755</v>
      </c>
      <c r="E35" s="123" t="s">
        <v>218</v>
      </c>
      <c r="F35" s="123" t="s">
        <v>219</v>
      </c>
      <c r="G35" s="123" t="s">
        <v>132</v>
      </c>
      <c r="H35" s="17">
        <v>5200193</v>
      </c>
      <c r="I35" s="17" t="s">
        <v>41</v>
      </c>
      <c r="J35" s="123">
        <v>1223003001</v>
      </c>
      <c r="K35" s="123">
        <v>250</v>
      </c>
      <c r="L35" s="123">
        <v>40</v>
      </c>
      <c r="M35" s="123">
        <f t="shared" si="24"/>
        <v>10000</v>
      </c>
      <c r="N35" s="20">
        <v>45089</v>
      </c>
      <c r="O35" s="123" t="s">
        <v>220</v>
      </c>
      <c r="P35" s="123" t="s">
        <v>134</v>
      </c>
      <c r="Q35" s="123">
        <v>2245</v>
      </c>
      <c r="R35" s="123" t="s">
        <v>228</v>
      </c>
      <c r="S35" s="23">
        <v>231603439768</v>
      </c>
      <c r="T35" s="20">
        <v>45089</v>
      </c>
      <c r="U35" s="123"/>
      <c r="V35" s="123">
        <v>214</v>
      </c>
      <c r="W35" s="24">
        <v>45089.652777777781</v>
      </c>
      <c r="X35" s="24">
        <v>45089.708333333336</v>
      </c>
      <c r="Y35" s="25">
        <f t="shared" si="25"/>
        <v>5.5555555554747116E-2</v>
      </c>
      <c r="Z35" s="24">
        <v>45089.680555555555</v>
      </c>
      <c r="AA35" s="24">
        <v>45089.708333333336</v>
      </c>
      <c r="AB35" s="25">
        <f t="shared" si="26"/>
        <v>2.7777777781011537E-2</v>
      </c>
    </row>
    <row r="36" spans="1:28" x14ac:dyDescent="0.25">
      <c r="A36" s="12">
        <v>45078</v>
      </c>
      <c r="B36" s="123" t="s">
        <v>243</v>
      </c>
      <c r="C36" s="20">
        <v>45089</v>
      </c>
      <c r="D36" s="123">
        <v>4755234</v>
      </c>
      <c r="E36" s="123" t="s">
        <v>244</v>
      </c>
      <c r="F36" s="123" t="s">
        <v>215</v>
      </c>
      <c r="G36" s="123" t="s">
        <v>132</v>
      </c>
      <c r="H36" s="17">
        <v>5230831</v>
      </c>
      <c r="I36" s="17" t="s">
        <v>35</v>
      </c>
      <c r="J36" s="21" t="s">
        <v>49</v>
      </c>
      <c r="K36" s="123">
        <v>240</v>
      </c>
      <c r="L36" s="123">
        <v>16</v>
      </c>
      <c r="M36" s="123">
        <f t="shared" si="24"/>
        <v>3840</v>
      </c>
      <c r="N36" s="20">
        <v>45089</v>
      </c>
      <c r="O36" s="123" t="s">
        <v>136</v>
      </c>
      <c r="P36" s="123" t="s">
        <v>144</v>
      </c>
      <c r="Q36" s="123" t="s">
        <v>30</v>
      </c>
      <c r="R36" s="123" t="s">
        <v>245</v>
      </c>
      <c r="S36" s="23">
        <v>241603424118</v>
      </c>
      <c r="T36" s="20">
        <v>45089</v>
      </c>
      <c r="U36" s="123"/>
      <c r="V36" s="123">
        <v>215</v>
      </c>
      <c r="W36" s="24">
        <v>45089.645833333336</v>
      </c>
      <c r="X36" s="24">
        <v>45089.6875</v>
      </c>
      <c r="Y36" s="25">
        <f t="shared" si="25"/>
        <v>4.1666666664241347E-2</v>
      </c>
      <c r="Z36" s="24">
        <v>45089.666666666664</v>
      </c>
      <c r="AA36" s="24">
        <v>45089.6875</v>
      </c>
      <c r="AB36" s="25">
        <f t="shared" si="26"/>
        <v>2.0833333335758653E-2</v>
      </c>
    </row>
    <row r="37" spans="1:28" x14ac:dyDescent="0.25">
      <c r="A37" s="12">
        <v>45078</v>
      </c>
      <c r="B37" s="123" t="s">
        <v>243</v>
      </c>
      <c r="C37" s="20">
        <v>45089</v>
      </c>
      <c r="D37" s="123">
        <v>5080127</v>
      </c>
      <c r="E37" s="123" t="s">
        <v>244</v>
      </c>
      <c r="F37" s="123" t="s">
        <v>215</v>
      </c>
      <c r="G37" s="123" t="s">
        <v>132</v>
      </c>
      <c r="H37" s="17">
        <v>5230831</v>
      </c>
      <c r="I37" s="17" t="s">
        <v>35</v>
      </c>
      <c r="J37" s="21" t="s">
        <v>59</v>
      </c>
      <c r="K37" s="123">
        <v>240</v>
      </c>
      <c r="L37" s="123">
        <v>24</v>
      </c>
      <c r="M37" s="123">
        <f t="shared" ref="M37:M38" si="27">+L37*K37</f>
        <v>5760</v>
      </c>
      <c r="N37" s="20">
        <v>45089</v>
      </c>
      <c r="O37" s="123" t="s">
        <v>136</v>
      </c>
      <c r="P37" s="123" t="s">
        <v>144</v>
      </c>
      <c r="Q37" s="123" t="s">
        <v>30</v>
      </c>
      <c r="R37" s="123" t="s">
        <v>245</v>
      </c>
      <c r="S37" s="23">
        <v>241603424118</v>
      </c>
      <c r="T37" s="20">
        <v>45089</v>
      </c>
      <c r="U37" s="123"/>
      <c r="V37" s="123">
        <v>215</v>
      </c>
      <c r="W37" s="24">
        <v>45089.645833333336</v>
      </c>
      <c r="X37" s="24">
        <v>45089.6875</v>
      </c>
      <c r="Y37" s="25">
        <f t="shared" ref="Y37:Y48" si="28">+X37-W37</f>
        <v>4.1666666664241347E-2</v>
      </c>
      <c r="Z37" s="24">
        <v>45089.666666666664</v>
      </c>
      <c r="AA37" s="24">
        <v>45089.6875</v>
      </c>
      <c r="AB37" s="25">
        <f t="shared" ref="AB37:AB48" si="29">+AA37-Z37</f>
        <v>2.0833333335758653E-2</v>
      </c>
    </row>
    <row r="38" spans="1:28" x14ac:dyDescent="0.25">
      <c r="A38" s="12">
        <v>45078</v>
      </c>
      <c r="B38" s="123" t="s">
        <v>254</v>
      </c>
      <c r="C38" s="20">
        <v>45090</v>
      </c>
      <c r="D38" s="123">
        <v>5689755</v>
      </c>
      <c r="E38" s="123" t="s">
        <v>253</v>
      </c>
      <c r="F38" s="123" t="s">
        <v>215</v>
      </c>
      <c r="G38" s="123" t="s">
        <v>132</v>
      </c>
      <c r="H38" s="17">
        <v>5200193</v>
      </c>
      <c r="I38" s="17" t="s">
        <v>41</v>
      </c>
      <c r="J38" s="123">
        <v>1223003001</v>
      </c>
      <c r="K38" s="123">
        <v>250</v>
      </c>
      <c r="L38" s="123">
        <v>32</v>
      </c>
      <c r="M38" s="123">
        <f t="shared" si="27"/>
        <v>8000</v>
      </c>
      <c r="N38" s="20">
        <v>45090</v>
      </c>
      <c r="O38" s="123" t="s">
        <v>177</v>
      </c>
      <c r="P38" s="123" t="s">
        <v>134</v>
      </c>
      <c r="Q38" s="123">
        <v>2247</v>
      </c>
      <c r="R38" s="123" t="s">
        <v>255</v>
      </c>
      <c r="S38" s="23">
        <v>251603955794</v>
      </c>
      <c r="T38" s="20">
        <v>45090</v>
      </c>
      <c r="U38" s="123"/>
      <c r="V38" s="123">
        <v>216</v>
      </c>
      <c r="W38" s="24">
        <v>45090.677083333336</v>
      </c>
      <c r="X38" s="24">
        <v>45090.729166666664</v>
      </c>
      <c r="Y38" s="25">
        <f t="shared" si="28"/>
        <v>5.2083333328482695E-2</v>
      </c>
      <c r="Z38" s="24">
        <v>45090.708333333336</v>
      </c>
      <c r="AA38" s="24">
        <v>45090.725694444445</v>
      </c>
      <c r="AB38" s="25">
        <f t="shared" si="29"/>
        <v>1.7361111109494232E-2</v>
      </c>
    </row>
    <row r="39" spans="1:28" x14ac:dyDescent="0.25">
      <c r="A39" s="12">
        <v>45078</v>
      </c>
      <c r="B39" s="123" t="s">
        <v>256</v>
      </c>
      <c r="C39" s="20">
        <v>45090</v>
      </c>
      <c r="D39" s="123">
        <v>5689755</v>
      </c>
      <c r="E39" s="123" t="s">
        <v>253</v>
      </c>
      <c r="F39" s="123" t="s">
        <v>215</v>
      </c>
      <c r="G39" s="123" t="s">
        <v>132</v>
      </c>
      <c r="H39" s="17">
        <v>5200193</v>
      </c>
      <c r="I39" s="17" t="s">
        <v>41</v>
      </c>
      <c r="J39" s="123">
        <v>1223003001</v>
      </c>
      <c r="K39" s="123">
        <v>250</v>
      </c>
      <c r="L39" s="123">
        <v>32</v>
      </c>
      <c r="M39" s="123">
        <f t="shared" ref="M39:M63" si="30">+L39*K39</f>
        <v>8000</v>
      </c>
      <c r="N39" s="20">
        <v>45090</v>
      </c>
      <c r="O39" s="123" t="s">
        <v>177</v>
      </c>
      <c r="P39" s="123" t="s">
        <v>134</v>
      </c>
      <c r="Q39" s="123">
        <v>2246</v>
      </c>
      <c r="R39" s="123" t="s">
        <v>257</v>
      </c>
      <c r="S39" s="23">
        <v>261603946139</v>
      </c>
      <c r="T39" s="20">
        <v>45090</v>
      </c>
      <c r="U39" s="123"/>
      <c r="V39" s="123">
        <v>217</v>
      </c>
      <c r="W39" s="24">
        <v>45090.677083333336</v>
      </c>
      <c r="X39" s="24">
        <v>45090.729166666664</v>
      </c>
      <c r="Y39" s="25">
        <f t="shared" si="28"/>
        <v>5.2083333328482695E-2</v>
      </c>
      <c r="Z39" s="24">
        <v>45090.6875</v>
      </c>
      <c r="AA39" s="24">
        <v>45090.708333333336</v>
      </c>
      <c r="AB39" s="25">
        <f t="shared" si="29"/>
        <v>2.0833333335758653E-2</v>
      </c>
    </row>
    <row r="40" spans="1:28" x14ac:dyDescent="0.25">
      <c r="A40" s="12">
        <v>45078</v>
      </c>
      <c r="B40" s="123" t="s">
        <v>258</v>
      </c>
      <c r="C40" s="20">
        <v>45090</v>
      </c>
      <c r="D40" s="123">
        <v>5743038</v>
      </c>
      <c r="E40" s="123" t="s">
        <v>191</v>
      </c>
      <c r="F40" s="123" t="s">
        <v>135</v>
      </c>
      <c r="G40" s="123" t="s">
        <v>192</v>
      </c>
      <c r="H40" s="17">
        <v>5211013</v>
      </c>
      <c r="I40" s="17" t="s">
        <v>27</v>
      </c>
      <c r="J40" s="123" t="s">
        <v>76</v>
      </c>
      <c r="K40" s="123">
        <v>25</v>
      </c>
      <c r="L40" s="123">
        <v>200</v>
      </c>
      <c r="M40" s="123">
        <f t="shared" si="30"/>
        <v>5000</v>
      </c>
      <c r="N40" s="20">
        <v>45090</v>
      </c>
      <c r="O40" s="123" t="s">
        <v>259</v>
      </c>
      <c r="P40" s="123" t="s">
        <v>144</v>
      </c>
      <c r="Q40" s="123" t="s">
        <v>30</v>
      </c>
      <c r="R40" s="123" t="s">
        <v>260</v>
      </c>
      <c r="S40" s="23">
        <v>271603879700</v>
      </c>
      <c r="T40" s="20">
        <v>45090</v>
      </c>
      <c r="U40" s="123"/>
      <c r="V40" s="123">
        <v>218</v>
      </c>
      <c r="W40" s="24">
        <v>45090.666666666664</v>
      </c>
      <c r="X40" s="24">
        <v>45090.6875</v>
      </c>
      <c r="Y40" s="25">
        <f t="shared" si="28"/>
        <v>2.0833333335758653E-2</v>
      </c>
      <c r="Z40" s="24">
        <v>45090.666666666664</v>
      </c>
      <c r="AA40" s="24">
        <v>45090.684027777781</v>
      </c>
      <c r="AB40" s="25">
        <f t="shared" si="29"/>
        <v>1.7361111116770189E-2</v>
      </c>
    </row>
    <row r="41" spans="1:28" x14ac:dyDescent="0.25">
      <c r="A41" s="12">
        <v>45078</v>
      </c>
      <c r="B41" s="123" t="s">
        <v>261</v>
      </c>
      <c r="C41" s="20">
        <v>45090</v>
      </c>
      <c r="D41" s="123">
        <v>5689755</v>
      </c>
      <c r="E41" s="123" t="s">
        <v>262</v>
      </c>
      <c r="F41" s="123" t="s">
        <v>135</v>
      </c>
      <c r="G41" s="123" t="s">
        <v>132</v>
      </c>
      <c r="H41" s="17">
        <v>5200193</v>
      </c>
      <c r="I41" s="17" t="s">
        <v>41</v>
      </c>
      <c r="J41" s="123">
        <v>1223003001</v>
      </c>
      <c r="K41" s="123">
        <v>250</v>
      </c>
      <c r="L41" s="123">
        <v>40</v>
      </c>
      <c r="M41" s="123">
        <f t="shared" si="30"/>
        <v>10000</v>
      </c>
      <c r="N41" s="20">
        <v>45090</v>
      </c>
      <c r="O41" s="123" t="s">
        <v>220</v>
      </c>
      <c r="P41" s="123" t="s">
        <v>144</v>
      </c>
      <c r="Q41" s="123" t="s">
        <v>30</v>
      </c>
      <c r="R41" s="123" t="s">
        <v>171</v>
      </c>
      <c r="S41" s="23">
        <v>241604000850</v>
      </c>
      <c r="T41" s="20">
        <v>45090</v>
      </c>
      <c r="U41" s="123"/>
      <c r="V41" s="123">
        <v>219</v>
      </c>
      <c r="W41" s="24">
        <v>45090.6875</v>
      </c>
      <c r="X41" s="24">
        <v>45090.708333333336</v>
      </c>
      <c r="Y41" s="25">
        <f t="shared" si="28"/>
        <v>2.0833333335758653E-2</v>
      </c>
      <c r="Z41" s="24">
        <v>45090.6875</v>
      </c>
      <c r="AA41" s="24">
        <v>45090.708333333336</v>
      </c>
      <c r="AB41" s="25">
        <f t="shared" si="29"/>
        <v>2.0833333335758653E-2</v>
      </c>
    </row>
    <row r="42" spans="1:28" x14ac:dyDescent="0.25">
      <c r="A42" s="12">
        <v>45078</v>
      </c>
      <c r="B42" s="123" t="s">
        <v>264</v>
      </c>
      <c r="C42" s="20">
        <v>45091</v>
      </c>
      <c r="D42" s="123">
        <v>5080127</v>
      </c>
      <c r="E42" s="123" t="s">
        <v>196</v>
      </c>
      <c r="F42" s="123" t="s">
        <v>197</v>
      </c>
      <c r="G42" s="123" t="s">
        <v>132</v>
      </c>
      <c r="H42" s="17">
        <v>5230831</v>
      </c>
      <c r="I42" s="17" t="s">
        <v>35</v>
      </c>
      <c r="J42" s="21" t="s">
        <v>59</v>
      </c>
      <c r="K42" s="123">
        <v>240</v>
      </c>
      <c r="L42" s="123">
        <v>40</v>
      </c>
      <c r="M42" s="123">
        <f t="shared" si="30"/>
        <v>9600</v>
      </c>
      <c r="N42" s="20">
        <v>45091</v>
      </c>
      <c r="O42" s="123" t="s">
        <v>136</v>
      </c>
      <c r="P42" s="123" t="s">
        <v>144</v>
      </c>
      <c r="Q42" s="123" t="s">
        <v>30</v>
      </c>
      <c r="R42" s="123" t="s">
        <v>265</v>
      </c>
      <c r="S42" s="23">
        <v>231604466190</v>
      </c>
      <c r="T42" s="20">
        <v>45091</v>
      </c>
      <c r="U42" s="123"/>
      <c r="V42" s="123">
        <v>220</v>
      </c>
      <c r="W42" s="24">
        <v>45091.59375</v>
      </c>
      <c r="X42" s="24">
        <v>45091.6875</v>
      </c>
      <c r="Y42" s="25">
        <f t="shared" si="28"/>
        <v>9.375E-2</v>
      </c>
      <c r="Z42" s="24">
        <v>45091.604166666664</v>
      </c>
      <c r="AA42" s="24">
        <v>45091.625</v>
      </c>
      <c r="AB42" s="25">
        <f t="shared" si="29"/>
        <v>2.0833333335758653E-2</v>
      </c>
    </row>
    <row r="43" spans="1:28" x14ac:dyDescent="0.25">
      <c r="A43" s="12">
        <v>45078</v>
      </c>
      <c r="B43" s="123" t="s">
        <v>266</v>
      </c>
      <c r="C43" s="20">
        <v>45091</v>
      </c>
      <c r="D43" s="123">
        <v>4979075</v>
      </c>
      <c r="E43" s="123" t="s">
        <v>267</v>
      </c>
      <c r="F43" s="123" t="s">
        <v>268</v>
      </c>
      <c r="G43" s="123" t="s">
        <v>132</v>
      </c>
      <c r="H43" s="17">
        <v>5306988</v>
      </c>
      <c r="I43" s="17" t="s">
        <v>55</v>
      </c>
      <c r="J43" s="21" t="s">
        <v>57</v>
      </c>
      <c r="K43" s="123">
        <v>200</v>
      </c>
      <c r="L43" s="123">
        <v>27</v>
      </c>
      <c r="M43" s="123">
        <f t="shared" si="30"/>
        <v>5400</v>
      </c>
      <c r="N43" s="20">
        <v>45091</v>
      </c>
      <c r="O43" s="123" t="s">
        <v>177</v>
      </c>
      <c r="P43" s="123" t="s">
        <v>144</v>
      </c>
      <c r="Q43" s="123" t="s">
        <v>30</v>
      </c>
      <c r="R43" s="123" t="s">
        <v>269</v>
      </c>
      <c r="S43" s="23">
        <v>281604474495</v>
      </c>
      <c r="T43" s="20">
        <v>45091</v>
      </c>
      <c r="U43" s="123"/>
      <c r="V43" s="123">
        <v>221</v>
      </c>
      <c r="W43" s="24">
        <v>45091.604166666664</v>
      </c>
      <c r="X43" s="24">
        <v>45091.6875</v>
      </c>
      <c r="Y43" s="25">
        <f t="shared" si="28"/>
        <v>8.3333333335758653E-2</v>
      </c>
      <c r="Z43" s="24">
        <v>45091.618055555555</v>
      </c>
      <c r="AA43" s="24">
        <v>45091.638888888891</v>
      </c>
      <c r="AB43" s="25">
        <f t="shared" si="29"/>
        <v>2.0833333335758653E-2</v>
      </c>
    </row>
    <row r="44" spans="1:28" x14ac:dyDescent="0.25">
      <c r="A44" s="12">
        <v>45078</v>
      </c>
      <c r="B44" s="123" t="s">
        <v>266</v>
      </c>
      <c r="C44" s="20">
        <v>45091</v>
      </c>
      <c r="D44" s="123">
        <v>4979075</v>
      </c>
      <c r="E44" s="123" t="s">
        <v>267</v>
      </c>
      <c r="F44" s="123" t="s">
        <v>268</v>
      </c>
      <c r="G44" s="123" t="s">
        <v>132</v>
      </c>
      <c r="H44" s="17">
        <v>5306988</v>
      </c>
      <c r="I44" s="17" t="s">
        <v>55</v>
      </c>
      <c r="J44" s="21" t="s">
        <v>58</v>
      </c>
      <c r="K44" s="123">
        <v>200</v>
      </c>
      <c r="L44" s="123">
        <v>12</v>
      </c>
      <c r="M44" s="123">
        <f t="shared" ref="M44" si="31">+L44*K44</f>
        <v>2400</v>
      </c>
      <c r="N44" s="20">
        <v>45091</v>
      </c>
      <c r="O44" s="123" t="s">
        <v>177</v>
      </c>
      <c r="P44" s="123" t="s">
        <v>144</v>
      </c>
      <c r="Q44" s="123" t="s">
        <v>30</v>
      </c>
      <c r="R44" s="123" t="s">
        <v>269</v>
      </c>
      <c r="S44" s="23">
        <v>281604474495</v>
      </c>
      <c r="T44" s="20">
        <v>45091</v>
      </c>
      <c r="U44" s="123"/>
      <c r="V44" s="123">
        <v>221</v>
      </c>
      <c r="W44" s="24">
        <v>45091.604166666664</v>
      </c>
      <c r="X44" s="24">
        <v>45091.6875</v>
      </c>
      <c r="Y44" s="25">
        <f t="shared" ref="Y44" si="32">+X44-W44</f>
        <v>8.3333333335758653E-2</v>
      </c>
      <c r="Z44" s="24">
        <v>45091.618055555555</v>
      </c>
      <c r="AA44" s="24">
        <v>45091.638888888891</v>
      </c>
      <c r="AB44" s="25">
        <f t="shared" ref="AB44" si="33">+AA44-Z44</f>
        <v>2.0833333335758653E-2</v>
      </c>
    </row>
    <row r="45" spans="1:28" x14ac:dyDescent="0.25">
      <c r="A45" s="12">
        <v>45078</v>
      </c>
      <c r="B45" s="123" t="s">
        <v>270</v>
      </c>
      <c r="C45" s="20">
        <v>45091</v>
      </c>
      <c r="D45" s="123">
        <v>4979075</v>
      </c>
      <c r="E45" s="123" t="s">
        <v>267</v>
      </c>
      <c r="F45" s="123" t="s">
        <v>268</v>
      </c>
      <c r="G45" s="123" t="s">
        <v>132</v>
      </c>
      <c r="H45" s="17">
        <v>5306988</v>
      </c>
      <c r="I45" s="17" t="s">
        <v>55</v>
      </c>
      <c r="J45" s="21" t="s">
        <v>58</v>
      </c>
      <c r="K45" s="123">
        <v>200</v>
      </c>
      <c r="L45" s="123">
        <v>11</v>
      </c>
      <c r="M45" s="123">
        <f t="shared" si="30"/>
        <v>2200</v>
      </c>
      <c r="N45" s="20">
        <v>45091</v>
      </c>
      <c r="O45" s="123" t="s">
        <v>271</v>
      </c>
      <c r="P45" s="123" t="s">
        <v>144</v>
      </c>
      <c r="Q45" s="123" t="s">
        <v>30</v>
      </c>
      <c r="R45" s="123" t="s">
        <v>272</v>
      </c>
      <c r="S45" s="23">
        <v>211604482385</v>
      </c>
      <c r="T45" s="20">
        <v>45091</v>
      </c>
      <c r="U45" s="123"/>
      <c r="V45" s="123">
        <v>222</v>
      </c>
      <c r="W45" s="24">
        <v>45091.666666666664</v>
      </c>
      <c r="X45" s="24">
        <v>45091.722222222219</v>
      </c>
      <c r="Y45" s="25">
        <f t="shared" si="28"/>
        <v>5.5555555554747116E-2</v>
      </c>
      <c r="Z45" s="24">
        <v>45091.680555555555</v>
      </c>
      <c r="AA45" s="24">
        <v>45091.722222222219</v>
      </c>
      <c r="AB45" s="25">
        <f t="shared" si="29"/>
        <v>4.1666666664241347E-2</v>
      </c>
    </row>
    <row r="46" spans="1:28" x14ac:dyDescent="0.25">
      <c r="A46" s="12">
        <v>45078</v>
      </c>
      <c r="B46" s="123" t="s">
        <v>270</v>
      </c>
      <c r="C46" s="20">
        <v>45091</v>
      </c>
      <c r="D46" s="123">
        <v>5080127</v>
      </c>
      <c r="E46" s="123" t="s">
        <v>267</v>
      </c>
      <c r="F46" s="123" t="s">
        <v>268</v>
      </c>
      <c r="G46" s="123" t="s">
        <v>132</v>
      </c>
      <c r="H46" s="17">
        <v>5230831</v>
      </c>
      <c r="I46" s="17" t="s">
        <v>35</v>
      </c>
      <c r="J46" s="21" t="s">
        <v>59</v>
      </c>
      <c r="K46" s="123">
        <v>240</v>
      </c>
      <c r="L46" s="123">
        <v>30</v>
      </c>
      <c r="M46" s="123">
        <f t="shared" si="30"/>
        <v>7200</v>
      </c>
      <c r="N46" s="20">
        <v>45091</v>
      </c>
      <c r="O46" s="123" t="s">
        <v>271</v>
      </c>
      <c r="P46" s="123" t="s">
        <v>144</v>
      </c>
      <c r="Q46" s="123" t="s">
        <v>30</v>
      </c>
      <c r="R46" s="123" t="s">
        <v>272</v>
      </c>
      <c r="S46" s="23">
        <v>211604482385</v>
      </c>
      <c r="T46" s="20">
        <v>45091</v>
      </c>
      <c r="U46" s="123"/>
      <c r="V46" s="123">
        <v>222</v>
      </c>
      <c r="W46" s="24">
        <v>45091.666666666664</v>
      </c>
      <c r="X46" s="24">
        <v>45091.722222222219</v>
      </c>
      <c r="Y46" s="25">
        <f t="shared" si="28"/>
        <v>5.5555555554747116E-2</v>
      </c>
      <c r="Z46" s="24">
        <v>45091.680555555555</v>
      </c>
      <c r="AA46" s="24">
        <v>45091.722222222219</v>
      </c>
      <c r="AB46" s="25">
        <f t="shared" si="29"/>
        <v>4.1666666664241347E-2</v>
      </c>
    </row>
    <row r="47" spans="1:28" x14ac:dyDescent="0.25">
      <c r="A47" s="12">
        <v>45078</v>
      </c>
      <c r="B47" s="123" t="s">
        <v>270</v>
      </c>
      <c r="C47" s="20">
        <v>45091</v>
      </c>
      <c r="D47" s="123">
        <v>5689755</v>
      </c>
      <c r="E47" s="123" t="s">
        <v>267</v>
      </c>
      <c r="F47" s="123" t="s">
        <v>268</v>
      </c>
      <c r="G47" s="123" t="s">
        <v>132</v>
      </c>
      <c r="H47" s="17">
        <v>5200193</v>
      </c>
      <c r="I47" s="17" t="s">
        <v>41</v>
      </c>
      <c r="J47" s="123">
        <v>1223003001</v>
      </c>
      <c r="K47" s="123">
        <v>250</v>
      </c>
      <c r="L47" s="123">
        <v>40</v>
      </c>
      <c r="M47" s="123">
        <f t="shared" si="30"/>
        <v>10000</v>
      </c>
      <c r="N47" s="20">
        <v>45091</v>
      </c>
      <c r="O47" s="123" t="s">
        <v>271</v>
      </c>
      <c r="P47" s="123" t="s">
        <v>144</v>
      </c>
      <c r="Q47" s="123" t="s">
        <v>30</v>
      </c>
      <c r="R47" s="123" t="s">
        <v>272</v>
      </c>
      <c r="S47" s="23">
        <v>211604482385</v>
      </c>
      <c r="T47" s="20">
        <v>45091</v>
      </c>
      <c r="U47" s="123"/>
      <c r="V47" s="123">
        <v>222</v>
      </c>
      <c r="W47" s="24">
        <v>45091.666666666664</v>
      </c>
      <c r="X47" s="24">
        <v>45091.722222222219</v>
      </c>
      <c r="Y47" s="25">
        <f t="shared" si="28"/>
        <v>5.5555555554747116E-2</v>
      </c>
      <c r="Z47" s="24">
        <v>45091.680555555555</v>
      </c>
      <c r="AA47" s="24">
        <v>45091.722222222219</v>
      </c>
      <c r="AB47" s="25">
        <f t="shared" si="29"/>
        <v>4.1666666664241347E-2</v>
      </c>
    </row>
    <row r="48" spans="1:28" x14ac:dyDescent="0.25">
      <c r="A48" s="12">
        <v>45078</v>
      </c>
      <c r="B48" s="123" t="s">
        <v>276</v>
      </c>
      <c r="C48" s="20">
        <v>45092</v>
      </c>
      <c r="D48" s="123">
        <v>5689755</v>
      </c>
      <c r="E48" s="123" t="s">
        <v>253</v>
      </c>
      <c r="F48" s="123" t="s">
        <v>215</v>
      </c>
      <c r="G48" s="123" t="s">
        <v>132</v>
      </c>
      <c r="H48" s="17">
        <v>5200193</v>
      </c>
      <c r="I48" s="17" t="s">
        <v>41</v>
      </c>
      <c r="J48" s="123">
        <v>1223003001</v>
      </c>
      <c r="K48" s="123">
        <v>250</v>
      </c>
      <c r="L48" s="123">
        <v>32</v>
      </c>
      <c r="M48" s="123">
        <f t="shared" si="30"/>
        <v>8000</v>
      </c>
      <c r="N48" s="20">
        <v>45092</v>
      </c>
      <c r="O48" s="123" t="s">
        <v>220</v>
      </c>
      <c r="P48" s="123" t="s">
        <v>134</v>
      </c>
      <c r="Q48" s="123">
        <v>2248</v>
      </c>
      <c r="R48" s="123" t="s">
        <v>277</v>
      </c>
      <c r="S48" s="23">
        <v>261604867545</v>
      </c>
      <c r="T48" s="20">
        <v>45092</v>
      </c>
      <c r="U48" s="123"/>
      <c r="V48" s="123">
        <v>223</v>
      </c>
      <c r="W48" s="24">
        <v>45092.597222222219</v>
      </c>
      <c r="X48" s="24">
        <v>45092.614583333336</v>
      </c>
      <c r="Y48" s="25">
        <f t="shared" si="28"/>
        <v>1.7361111116770189E-2</v>
      </c>
      <c r="Z48" s="24">
        <v>45092.590277777781</v>
      </c>
      <c r="AA48" s="24">
        <v>45092.621527777781</v>
      </c>
      <c r="AB48" s="25">
        <f t="shared" si="29"/>
        <v>3.125E-2</v>
      </c>
    </row>
    <row r="49" spans="1:28" x14ac:dyDescent="0.25">
      <c r="A49" s="12">
        <v>45078</v>
      </c>
      <c r="B49" s="123" t="s">
        <v>278</v>
      </c>
      <c r="C49" s="20">
        <v>45092</v>
      </c>
      <c r="D49" s="123">
        <v>5689755</v>
      </c>
      <c r="E49" s="123" t="s">
        <v>253</v>
      </c>
      <c r="F49" s="123" t="s">
        <v>215</v>
      </c>
      <c r="G49" s="123" t="s">
        <v>132</v>
      </c>
      <c r="H49" s="17">
        <v>5200193</v>
      </c>
      <c r="I49" s="17" t="s">
        <v>41</v>
      </c>
      <c r="J49" s="123">
        <v>1223003001</v>
      </c>
      <c r="K49" s="123">
        <v>250</v>
      </c>
      <c r="L49" s="123">
        <v>8</v>
      </c>
      <c r="M49" s="123">
        <f t="shared" si="30"/>
        <v>2000</v>
      </c>
      <c r="N49" s="20">
        <v>45092</v>
      </c>
      <c r="O49" s="123" t="s">
        <v>220</v>
      </c>
      <c r="P49" s="123" t="s">
        <v>134</v>
      </c>
      <c r="Q49" s="123">
        <v>2248</v>
      </c>
      <c r="R49" s="123" t="s">
        <v>277</v>
      </c>
      <c r="S49" s="23">
        <v>291604870779</v>
      </c>
      <c r="T49" s="20">
        <v>45092</v>
      </c>
      <c r="U49" s="123"/>
      <c r="V49" s="123">
        <v>223</v>
      </c>
      <c r="W49" s="24">
        <v>45092.597222222219</v>
      </c>
      <c r="X49" s="24">
        <v>45092.614583333336</v>
      </c>
      <c r="Y49" s="25">
        <f t="shared" ref="Y49:Y52" si="34">+X49-W49</f>
        <v>1.7361111116770189E-2</v>
      </c>
      <c r="Z49" s="24">
        <v>45092.590277777781</v>
      </c>
      <c r="AA49" s="24">
        <v>45092.621527777781</v>
      </c>
      <c r="AB49" s="25">
        <f t="shared" ref="AB49:AB52" si="35">+AA49-Z49</f>
        <v>3.125E-2</v>
      </c>
    </row>
    <row r="50" spans="1:28" x14ac:dyDescent="0.25">
      <c r="A50" s="12">
        <v>45078</v>
      </c>
      <c r="B50" s="123" t="s">
        <v>279</v>
      </c>
      <c r="C50" s="20">
        <v>45091</v>
      </c>
      <c r="D50" s="123">
        <v>5219103</v>
      </c>
      <c r="E50" s="123" t="s">
        <v>280</v>
      </c>
      <c r="F50" s="123" t="s">
        <v>176</v>
      </c>
      <c r="G50" s="123" t="s">
        <v>192</v>
      </c>
      <c r="H50" s="17">
        <v>5211014</v>
      </c>
      <c r="I50" s="17" t="s">
        <v>38</v>
      </c>
      <c r="J50" s="21" t="s">
        <v>69</v>
      </c>
      <c r="K50" s="123">
        <v>25</v>
      </c>
      <c r="L50" s="123">
        <v>4</v>
      </c>
      <c r="M50" s="123">
        <f t="shared" si="30"/>
        <v>100</v>
      </c>
      <c r="N50" s="20">
        <v>45092</v>
      </c>
      <c r="O50" s="123" t="s">
        <v>186</v>
      </c>
      <c r="P50" s="123" t="s">
        <v>187</v>
      </c>
      <c r="Q50" s="123" t="s">
        <v>30</v>
      </c>
      <c r="R50" s="123" t="s">
        <v>233</v>
      </c>
      <c r="S50" s="23" t="s">
        <v>283</v>
      </c>
      <c r="T50" s="20">
        <v>45092</v>
      </c>
      <c r="U50" s="123"/>
      <c r="V50" s="123">
        <v>224</v>
      </c>
      <c r="W50" s="24">
        <v>45092.645833333336</v>
      </c>
      <c r="X50" s="24">
        <v>45092.663194444445</v>
      </c>
      <c r="Y50" s="25">
        <f t="shared" si="34"/>
        <v>1.7361111109494232E-2</v>
      </c>
      <c r="Z50" s="24">
        <v>45092.659722222219</v>
      </c>
      <c r="AA50" s="24">
        <v>45092.663194444445</v>
      </c>
      <c r="AB50" s="25">
        <f t="shared" si="35"/>
        <v>3.4722222262644209E-3</v>
      </c>
    </row>
    <row r="51" spans="1:28" x14ac:dyDescent="0.25">
      <c r="A51" s="12">
        <v>45078</v>
      </c>
      <c r="B51" s="123" t="s">
        <v>281</v>
      </c>
      <c r="C51" s="20">
        <v>45092</v>
      </c>
      <c r="D51" s="123">
        <v>5689755</v>
      </c>
      <c r="E51" s="123" t="s">
        <v>282</v>
      </c>
      <c r="F51" s="123" t="s">
        <v>135</v>
      </c>
      <c r="G51" s="123" t="s">
        <v>132</v>
      </c>
      <c r="H51" s="17">
        <v>5200193</v>
      </c>
      <c r="I51" s="17" t="s">
        <v>41</v>
      </c>
      <c r="J51" s="123">
        <v>1223003001</v>
      </c>
      <c r="K51" s="123">
        <v>250</v>
      </c>
      <c r="L51" s="123">
        <v>40</v>
      </c>
      <c r="M51" s="123">
        <f t="shared" si="30"/>
        <v>10000</v>
      </c>
      <c r="N51" s="20">
        <v>45092</v>
      </c>
      <c r="O51" s="123" t="s">
        <v>220</v>
      </c>
      <c r="P51" s="123" t="s">
        <v>144</v>
      </c>
      <c r="Q51" s="123" t="s">
        <v>30</v>
      </c>
      <c r="R51" s="123" t="s">
        <v>171</v>
      </c>
      <c r="S51" s="23">
        <v>261605035464</v>
      </c>
      <c r="T51" s="20">
        <v>45092</v>
      </c>
      <c r="U51" s="123"/>
      <c r="V51" s="123">
        <v>225</v>
      </c>
      <c r="W51" s="24">
        <v>45092.722222222219</v>
      </c>
      <c r="X51" s="24">
        <v>45092.763888888891</v>
      </c>
      <c r="Y51" s="25">
        <f t="shared" si="34"/>
        <v>4.1666666671517305E-2</v>
      </c>
      <c r="Z51" s="24">
        <v>45092.729166666664</v>
      </c>
      <c r="AA51" s="24">
        <v>45092.75</v>
      </c>
      <c r="AB51" s="25">
        <f t="shared" si="35"/>
        <v>2.0833333335758653E-2</v>
      </c>
    </row>
    <row r="52" spans="1:28" x14ac:dyDescent="0.25">
      <c r="A52" s="12">
        <v>45078</v>
      </c>
      <c r="B52" s="123" t="s">
        <v>286</v>
      </c>
      <c r="C52" s="20">
        <v>45092</v>
      </c>
      <c r="D52" s="123">
        <v>5689755</v>
      </c>
      <c r="E52" s="123" t="s">
        <v>253</v>
      </c>
      <c r="F52" s="123" t="s">
        <v>215</v>
      </c>
      <c r="G52" s="123" t="s">
        <v>132</v>
      </c>
      <c r="H52" s="17">
        <v>5200193</v>
      </c>
      <c r="I52" s="17" t="s">
        <v>41</v>
      </c>
      <c r="J52" s="123">
        <v>1223003001</v>
      </c>
      <c r="K52" s="123">
        <v>250</v>
      </c>
      <c r="L52" s="123">
        <v>32</v>
      </c>
      <c r="M52" s="123">
        <f t="shared" si="30"/>
        <v>8000</v>
      </c>
      <c r="N52" s="20">
        <v>45093</v>
      </c>
      <c r="O52" s="123" t="s">
        <v>220</v>
      </c>
      <c r="P52" s="123" t="s">
        <v>134</v>
      </c>
      <c r="Q52" s="123">
        <v>2249</v>
      </c>
      <c r="R52" s="123" t="s">
        <v>285</v>
      </c>
      <c r="S52" s="23">
        <v>251605343447</v>
      </c>
      <c r="T52" s="20">
        <v>45093</v>
      </c>
      <c r="U52" s="123"/>
      <c r="V52" s="123">
        <v>226</v>
      </c>
      <c r="W52" s="24">
        <v>45093.451388888891</v>
      </c>
      <c r="X52" s="24">
        <v>45093.486111111109</v>
      </c>
      <c r="Y52" s="25">
        <f t="shared" si="34"/>
        <v>3.4722222218988463E-2</v>
      </c>
      <c r="Z52" s="24">
        <v>45093.458333333336</v>
      </c>
      <c r="AA52" s="24">
        <v>45093.479166666664</v>
      </c>
      <c r="AB52" s="25">
        <f t="shared" si="35"/>
        <v>2.0833333328482695E-2</v>
      </c>
    </row>
    <row r="53" spans="1:28" x14ac:dyDescent="0.25">
      <c r="A53" s="12">
        <v>45078</v>
      </c>
      <c r="B53" s="123" t="s">
        <v>284</v>
      </c>
      <c r="C53" s="20">
        <v>45092</v>
      </c>
      <c r="D53" s="123">
        <v>5689755</v>
      </c>
      <c r="E53" s="123" t="s">
        <v>253</v>
      </c>
      <c r="F53" s="123" t="s">
        <v>215</v>
      </c>
      <c r="G53" s="123" t="s">
        <v>132</v>
      </c>
      <c r="H53" s="17">
        <v>5200193</v>
      </c>
      <c r="I53" s="17" t="s">
        <v>41</v>
      </c>
      <c r="J53" s="123">
        <v>1223003001</v>
      </c>
      <c r="K53" s="123">
        <v>250</v>
      </c>
      <c r="L53" s="123">
        <v>8</v>
      </c>
      <c r="M53" s="123">
        <f t="shared" si="30"/>
        <v>2000</v>
      </c>
      <c r="N53" s="20">
        <v>45093</v>
      </c>
      <c r="O53" s="123" t="s">
        <v>220</v>
      </c>
      <c r="P53" s="123" t="s">
        <v>134</v>
      </c>
      <c r="Q53" s="123">
        <v>2249</v>
      </c>
      <c r="R53" s="123" t="s">
        <v>285</v>
      </c>
      <c r="S53" s="23">
        <v>261605344935</v>
      </c>
      <c r="T53" s="20">
        <v>45093</v>
      </c>
      <c r="U53" s="123"/>
      <c r="V53" s="123">
        <v>226</v>
      </c>
      <c r="W53" s="24">
        <v>45093.451388888891</v>
      </c>
      <c r="X53" s="24">
        <v>45093.486111111109</v>
      </c>
      <c r="Y53" s="25">
        <f t="shared" ref="Y53:Y58" si="36">+X53-W53</f>
        <v>3.4722222218988463E-2</v>
      </c>
      <c r="Z53" s="24">
        <v>45093.458333333336</v>
      </c>
      <c r="AA53" s="24">
        <v>45093.479166666664</v>
      </c>
      <c r="AB53" s="25">
        <f t="shared" ref="AB53:AB58" si="37">+AA53-Z53</f>
        <v>2.0833333328482695E-2</v>
      </c>
    </row>
    <row r="54" spans="1:28" x14ac:dyDescent="0.25">
      <c r="A54" s="12">
        <v>45078</v>
      </c>
      <c r="B54" s="123" t="s">
        <v>287</v>
      </c>
      <c r="C54" s="20">
        <v>45092</v>
      </c>
      <c r="D54" s="123">
        <v>5689755</v>
      </c>
      <c r="E54" s="123" t="s">
        <v>288</v>
      </c>
      <c r="F54" s="123" t="s">
        <v>289</v>
      </c>
      <c r="G54" s="123" t="s">
        <v>132</v>
      </c>
      <c r="H54" s="17">
        <v>5200193</v>
      </c>
      <c r="I54" s="17" t="s">
        <v>41</v>
      </c>
      <c r="J54" s="123">
        <v>1223003001</v>
      </c>
      <c r="K54" s="123">
        <v>250</v>
      </c>
      <c r="L54" s="123">
        <v>10</v>
      </c>
      <c r="M54" s="123">
        <f t="shared" si="30"/>
        <v>2500</v>
      </c>
      <c r="N54" s="20">
        <v>45093</v>
      </c>
      <c r="O54" s="123" t="s">
        <v>220</v>
      </c>
      <c r="P54" s="123" t="s">
        <v>134</v>
      </c>
      <c r="Q54" s="123" t="s">
        <v>30</v>
      </c>
      <c r="R54" s="123" t="s">
        <v>290</v>
      </c>
      <c r="S54" s="23">
        <v>281605347266</v>
      </c>
      <c r="T54" s="20">
        <v>45093</v>
      </c>
      <c r="U54" s="123"/>
      <c r="V54" s="123">
        <v>227</v>
      </c>
      <c r="W54" s="24">
        <v>45093.534722222219</v>
      </c>
      <c r="X54" s="24">
        <v>45093.555555555555</v>
      </c>
      <c r="Y54" s="25">
        <f t="shared" si="36"/>
        <v>2.0833333335758653E-2</v>
      </c>
      <c r="Z54" s="24">
        <v>45093.541666666664</v>
      </c>
      <c r="AA54" s="24">
        <v>45093.548611111109</v>
      </c>
      <c r="AB54" s="25">
        <f t="shared" si="37"/>
        <v>6.9444444452528842E-3</v>
      </c>
    </row>
    <row r="55" spans="1:28" x14ac:dyDescent="0.25">
      <c r="A55" s="12">
        <v>45078</v>
      </c>
      <c r="B55" s="123" t="s">
        <v>291</v>
      </c>
      <c r="C55" s="20">
        <v>45094</v>
      </c>
      <c r="D55" s="123">
        <v>5080127</v>
      </c>
      <c r="E55" s="123" t="s">
        <v>196</v>
      </c>
      <c r="F55" s="123" t="s">
        <v>197</v>
      </c>
      <c r="G55" s="123" t="s">
        <v>132</v>
      </c>
      <c r="H55" s="17">
        <v>5230831</v>
      </c>
      <c r="I55" s="17" t="s">
        <v>35</v>
      </c>
      <c r="J55" s="21" t="s">
        <v>59</v>
      </c>
      <c r="K55" s="123">
        <v>240</v>
      </c>
      <c r="L55" s="123">
        <v>40</v>
      </c>
      <c r="M55" s="123">
        <f t="shared" si="30"/>
        <v>9600</v>
      </c>
      <c r="N55" s="20">
        <v>45094</v>
      </c>
      <c r="O55" s="123" t="s">
        <v>136</v>
      </c>
      <c r="P55" s="123" t="s">
        <v>144</v>
      </c>
      <c r="Q55" s="123" t="s">
        <v>30</v>
      </c>
      <c r="R55" s="123" t="s">
        <v>265</v>
      </c>
      <c r="S55" s="23">
        <v>231605926916</v>
      </c>
      <c r="T55" s="20">
        <v>45094</v>
      </c>
      <c r="U55" s="123"/>
      <c r="V55" s="123">
        <v>228</v>
      </c>
      <c r="W55" s="24">
        <v>45094.590277777781</v>
      </c>
      <c r="X55" s="24">
        <v>45094.618055555555</v>
      </c>
      <c r="Y55" s="25">
        <f t="shared" si="36"/>
        <v>2.7777777773735579E-2</v>
      </c>
      <c r="Z55" s="24">
        <v>45094.597222222219</v>
      </c>
      <c r="AA55" s="24">
        <v>45094.611111111109</v>
      </c>
      <c r="AB55" s="25">
        <f t="shared" si="37"/>
        <v>1.3888888890505768E-2</v>
      </c>
    </row>
    <row r="56" spans="1:28" x14ac:dyDescent="0.25">
      <c r="A56" s="12">
        <v>45078</v>
      </c>
      <c r="B56" s="123" t="s">
        <v>292</v>
      </c>
      <c r="C56" s="20">
        <v>45093</v>
      </c>
      <c r="D56" s="123">
        <v>5689755</v>
      </c>
      <c r="E56" s="123" t="s">
        <v>200</v>
      </c>
      <c r="F56" s="123" t="s">
        <v>201</v>
      </c>
      <c r="G56" s="123" t="s">
        <v>132</v>
      </c>
      <c r="H56" s="17">
        <v>5200193</v>
      </c>
      <c r="I56" s="17" t="s">
        <v>41</v>
      </c>
      <c r="J56" s="123">
        <v>1223003001</v>
      </c>
      <c r="K56" s="123">
        <v>250</v>
      </c>
      <c r="L56" s="123">
        <v>27</v>
      </c>
      <c r="M56" s="123">
        <f t="shared" si="30"/>
        <v>6750</v>
      </c>
      <c r="N56" s="20">
        <v>45094</v>
      </c>
      <c r="O56" s="123" t="s">
        <v>136</v>
      </c>
      <c r="P56" s="123" t="s">
        <v>134</v>
      </c>
      <c r="Q56" s="123">
        <v>2151</v>
      </c>
      <c r="R56" s="123" t="s">
        <v>293</v>
      </c>
      <c r="S56" s="23">
        <v>241605948137</v>
      </c>
      <c r="T56" s="20">
        <v>45094</v>
      </c>
      <c r="U56" s="123"/>
      <c r="V56" s="123">
        <v>229</v>
      </c>
      <c r="W56" s="24">
        <v>45094.618055555555</v>
      </c>
      <c r="X56" s="24">
        <v>45094.642361111109</v>
      </c>
      <c r="Y56" s="25">
        <f t="shared" si="36"/>
        <v>2.4305555554747116E-2</v>
      </c>
      <c r="Z56" s="24">
        <v>45094.618055555555</v>
      </c>
      <c r="AA56" s="24">
        <v>45094.642361111109</v>
      </c>
      <c r="AB56" s="25">
        <f t="shared" si="37"/>
        <v>2.4305555554747116E-2</v>
      </c>
    </row>
    <row r="57" spans="1:28" x14ac:dyDescent="0.25">
      <c r="A57" s="12">
        <v>45078</v>
      </c>
      <c r="B57" s="123" t="s">
        <v>292</v>
      </c>
      <c r="C57" s="20">
        <v>45093</v>
      </c>
      <c r="D57" s="123">
        <v>5690252</v>
      </c>
      <c r="E57" s="123" t="s">
        <v>200</v>
      </c>
      <c r="F57" s="123" t="s">
        <v>201</v>
      </c>
      <c r="G57" s="123" t="s">
        <v>132</v>
      </c>
      <c r="H57" s="17">
        <v>5200193</v>
      </c>
      <c r="I57" s="17" t="s">
        <v>41</v>
      </c>
      <c r="J57" s="123">
        <v>1223002801</v>
      </c>
      <c r="K57" s="123">
        <v>250</v>
      </c>
      <c r="L57" s="123">
        <v>9</v>
      </c>
      <c r="M57" s="123">
        <f t="shared" ref="M57" si="38">+L57*K57</f>
        <v>2250</v>
      </c>
      <c r="N57" s="20">
        <v>45094</v>
      </c>
      <c r="O57" s="123" t="s">
        <v>136</v>
      </c>
      <c r="P57" s="123" t="s">
        <v>134</v>
      </c>
      <c r="Q57" s="123">
        <v>2151</v>
      </c>
      <c r="R57" s="123" t="s">
        <v>293</v>
      </c>
      <c r="S57" s="23">
        <v>241605948137</v>
      </c>
      <c r="T57" s="20">
        <v>45094</v>
      </c>
      <c r="U57" s="123"/>
      <c r="V57" s="123">
        <v>229</v>
      </c>
      <c r="W57" s="24">
        <v>45094.618055555555</v>
      </c>
      <c r="X57" s="24">
        <v>45094.642361111109</v>
      </c>
      <c r="Y57" s="25">
        <f t="shared" ref="Y57" si="39">+X57-W57</f>
        <v>2.4305555554747116E-2</v>
      </c>
      <c r="Z57" s="24">
        <v>45094.618055555555</v>
      </c>
      <c r="AA57" s="24">
        <v>45094.642361111109</v>
      </c>
      <c r="AB57" s="25">
        <f t="shared" ref="AB57" si="40">+AA57-Z57</f>
        <v>2.4305555554747116E-2</v>
      </c>
    </row>
    <row r="58" spans="1:28" x14ac:dyDescent="0.25">
      <c r="A58" s="12">
        <v>45078</v>
      </c>
      <c r="B58" s="123" t="s">
        <v>294</v>
      </c>
      <c r="C58" s="20">
        <v>45094</v>
      </c>
      <c r="D58" s="123">
        <v>5743038</v>
      </c>
      <c r="E58" s="123" t="s">
        <v>191</v>
      </c>
      <c r="F58" s="123" t="s">
        <v>135</v>
      </c>
      <c r="G58" s="123" t="s">
        <v>192</v>
      </c>
      <c r="H58" s="17">
        <v>5211013</v>
      </c>
      <c r="I58" s="17" t="s">
        <v>27</v>
      </c>
      <c r="J58" s="123" t="s">
        <v>76</v>
      </c>
      <c r="K58" s="123">
        <v>25</v>
      </c>
      <c r="L58" s="123">
        <v>200</v>
      </c>
      <c r="M58" s="123">
        <f t="shared" si="30"/>
        <v>5000</v>
      </c>
      <c r="N58" s="20">
        <v>45094</v>
      </c>
      <c r="O58" s="123" t="s">
        <v>271</v>
      </c>
      <c r="P58" s="123" t="s">
        <v>144</v>
      </c>
      <c r="Q58" s="123" t="s">
        <v>30</v>
      </c>
      <c r="R58" s="123" t="s">
        <v>295</v>
      </c>
      <c r="S58" s="23">
        <v>271605966282</v>
      </c>
      <c r="T58" s="20">
        <v>45094</v>
      </c>
      <c r="U58" s="123"/>
      <c r="V58" s="123">
        <v>230</v>
      </c>
      <c r="W58" s="24">
        <v>45094.583333333336</v>
      </c>
      <c r="X58" s="24">
        <v>45094.680555555555</v>
      </c>
      <c r="Y58" s="25">
        <f t="shared" si="36"/>
        <v>9.7222222218988463E-2</v>
      </c>
      <c r="Z58" s="24">
        <v>45094.583333333336</v>
      </c>
      <c r="AA58" s="24">
        <v>45094.680555555555</v>
      </c>
      <c r="AB58" s="25">
        <f t="shared" si="37"/>
        <v>9.7222222218988463E-2</v>
      </c>
    </row>
    <row r="59" spans="1:28" x14ac:dyDescent="0.25">
      <c r="A59" s="12">
        <v>45078</v>
      </c>
      <c r="B59" s="123" t="s">
        <v>294</v>
      </c>
      <c r="C59" s="20">
        <v>45094</v>
      </c>
      <c r="D59" s="123">
        <v>5219103</v>
      </c>
      <c r="E59" s="123" t="s">
        <v>191</v>
      </c>
      <c r="F59" s="123" t="s">
        <v>135</v>
      </c>
      <c r="G59" s="123" t="s">
        <v>192</v>
      </c>
      <c r="H59" s="17">
        <v>5211014</v>
      </c>
      <c r="I59" s="17" t="s">
        <v>38</v>
      </c>
      <c r="J59" s="21" t="s">
        <v>69</v>
      </c>
      <c r="K59" s="123">
        <v>25</v>
      </c>
      <c r="L59" s="123">
        <v>240</v>
      </c>
      <c r="M59" s="123">
        <f t="shared" si="30"/>
        <v>6000</v>
      </c>
      <c r="N59" s="20">
        <v>45094</v>
      </c>
      <c r="O59" s="123" t="s">
        <v>271</v>
      </c>
      <c r="P59" s="123" t="s">
        <v>144</v>
      </c>
      <c r="Q59" s="123" t="s">
        <v>30</v>
      </c>
      <c r="R59" s="123" t="s">
        <v>295</v>
      </c>
      <c r="S59" s="23">
        <v>271605966282</v>
      </c>
      <c r="T59" s="20">
        <v>45094</v>
      </c>
      <c r="U59" s="123"/>
      <c r="V59" s="123">
        <v>230</v>
      </c>
      <c r="W59" s="24">
        <v>45094.583333333336</v>
      </c>
      <c r="X59" s="24">
        <v>45094.680555555555</v>
      </c>
      <c r="Y59" s="25">
        <f t="shared" ref="Y59:Y62" si="41">+X59-W59</f>
        <v>9.7222222218988463E-2</v>
      </c>
      <c r="Z59" s="24">
        <v>45094.583333333336</v>
      </c>
      <c r="AA59" s="24">
        <v>45094.680555555555</v>
      </c>
      <c r="AB59" s="25">
        <f t="shared" ref="AB59:AB63" si="42">+AA59-Z59</f>
        <v>9.7222222218988463E-2</v>
      </c>
    </row>
    <row r="60" spans="1:28" x14ac:dyDescent="0.25">
      <c r="A60" s="12">
        <v>45078</v>
      </c>
      <c r="B60" s="123" t="s">
        <v>294</v>
      </c>
      <c r="C60" s="20">
        <v>45094</v>
      </c>
      <c r="D60" s="123">
        <v>5743038</v>
      </c>
      <c r="E60" s="123" t="s">
        <v>191</v>
      </c>
      <c r="F60" s="123" t="s">
        <v>135</v>
      </c>
      <c r="G60" s="123" t="s">
        <v>192</v>
      </c>
      <c r="H60" s="17">
        <v>5212259</v>
      </c>
      <c r="I60" s="17" t="s">
        <v>26</v>
      </c>
      <c r="J60" s="123" t="s">
        <v>86</v>
      </c>
      <c r="K60" s="123">
        <v>25</v>
      </c>
      <c r="L60" s="123">
        <v>480</v>
      </c>
      <c r="M60" s="123">
        <f t="shared" si="30"/>
        <v>12000</v>
      </c>
      <c r="N60" s="20">
        <v>45094</v>
      </c>
      <c r="O60" s="123" t="s">
        <v>271</v>
      </c>
      <c r="P60" s="123" t="s">
        <v>144</v>
      </c>
      <c r="Q60" s="123" t="s">
        <v>30</v>
      </c>
      <c r="R60" s="123" t="s">
        <v>295</v>
      </c>
      <c r="S60" s="23">
        <v>271605966282</v>
      </c>
      <c r="T60" s="20">
        <v>45094</v>
      </c>
      <c r="U60" s="123"/>
      <c r="V60" s="123">
        <v>230</v>
      </c>
      <c r="W60" s="24">
        <v>45094.583333333336</v>
      </c>
      <c r="X60" s="24">
        <v>45094.680555555555</v>
      </c>
      <c r="Y60" s="25">
        <f t="shared" si="41"/>
        <v>9.7222222218988463E-2</v>
      </c>
      <c r="Z60" s="24">
        <v>45094.583333333336</v>
      </c>
      <c r="AA60" s="24">
        <v>45094.680555555555</v>
      </c>
      <c r="AB60" s="25">
        <f t="shared" si="42"/>
        <v>9.7222222218988463E-2</v>
      </c>
    </row>
    <row r="61" spans="1:28" x14ac:dyDescent="0.25">
      <c r="A61" s="12">
        <v>45078</v>
      </c>
      <c r="B61" s="123" t="s">
        <v>294</v>
      </c>
      <c r="C61" s="20">
        <v>45094</v>
      </c>
      <c r="D61" s="123">
        <v>5743038</v>
      </c>
      <c r="E61" s="123" t="s">
        <v>191</v>
      </c>
      <c r="F61" s="123" t="s">
        <v>135</v>
      </c>
      <c r="G61" s="123" t="s">
        <v>192</v>
      </c>
      <c r="H61" s="17">
        <v>5212259</v>
      </c>
      <c r="I61" s="17" t="s">
        <v>26</v>
      </c>
      <c r="J61" s="123" t="s">
        <v>87</v>
      </c>
      <c r="K61" s="123">
        <v>25</v>
      </c>
      <c r="L61" s="123">
        <v>80</v>
      </c>
      <c r="M61" s="123">
        <f t="shared" ref="M61" si="43">+L61*K61</f>
        <v>2000</v>
      </c>
      <c r="N61" s="20">
        <v>45094</v>
      </c>
      <c r="O61" s="123" t="s">
        <v>271</v>
      </c>
      <c r="P61" s="123" t="s">
        <v>144</v>
      </c>
      <c r="Q61" s="123" t="s">
        <v>30</v>
      </c>
      <c r="R61" s="123" t="s">
        <v>295</v>
      </c>
      <c r="S61" s="23">
        <v>271605966282</v>
      </c>
      <c r="T61" s="20">
        <v>45094</v>
      </c>
      <c r="U61" s="123"/>
      <c r="V61" s="123">
        <v>230</v>
      </c>
      <c r="W61" s="24">
        <v>45094.583333333336</v>
      </c>
      <c r="X61" s="24">
        <v>45094.680555555555</v>
      </c>
      <c r="Y61" s="25">
        <f t="shared" ref="Y61" si="44">+X61-W61</f>
        <v>9.7222222218988463E-2</v>
      </c>
      <c r="Z61" s="24">
        <v>45094.583333333336</v>
      </c>
      <c r="AA61" s="24">
        <v>45094.680555555555</v>
      </c>
      <c r="AB61" s="25">
        <f t="shared" ref="AB61" si="45">+AA61-Z61</f>
        <v>9.7222222218988463E-2</v>
      </c>
    </row>
    <row r="62" spans="1:28" x14ac:dyDescent="0.25">
      <c r="A62" s="12">
        <v>45078</v>
      </c>
      <c r="B62" s="123" t="s">
        <v>296</v>
      </c>
      <c r="C62" s="20">
        <v>45094</v>
      </c>
      <c r="D62" s="123">
        <v>5690252</v>
      </c>
      <c r="E62" s="123" t="s">
        <v>297</v>
      </c>
      <c r="F62" s="123" t="s">
        <v>268</v>
      </c>
      <c r="G62" s="123" t="s">
        <v>132</v>
      </c>
      <c r="H62" s="17">
        <v>5200193</v>
      </c>
      <c r="I62" s="17" t="s">
        <v>41</v>
      </c>
      <c r="J62" s="123">
        <v>1223002801</v>
      </c>
      <c r="K62" s="123">
        <v>250</v>
      </c>
      <c r="L62" s="123">
        <v>20</v>
      </c>
      <c r="M62" s="123">
        <f t="shared" si="30"/>
        <v>5000</v>
      </c>
      <c r="N62" s="20">
        <v>45094</v>
      </c>
      <c r="O62" s="123" t="s">
        <v>298</v>
      </c>
      <c r="P62" s="123" t="s">
        <v>134</v>
      </c>
      <c r="Q62" s="123">
        <v>2152</v>
      </c>
      <c r="R62" s="123" t="s">
        <v>299</v>
      </c>
      <c r="S62" s="23">
        <v>231606021038</v>
      </c>
      <c r="T62" s="20">
        <v>45094</v>
      </c>
      <c r="U62" s="123"/>
      <c r="V62" s="123">
        <v>231</v>
      </c>
      <c r="W62" s="24">
        <v>45094.694444444445</v>
      </c>
      <c r="X62" s="24">
        <v>45094.715277777781</v>
      </c>
      <c r="Y62" s="25">
        <f t="shared" si="41"/>
        <v>2.0833333335758653E-2</v>
      </c>
      <c r="Z62" s="24">
        <v>45094.701388888891</v>
      </c>
      <c r="AA62" s="24">
        <v>45094.708333333336</v>
      </c>
      <c r="AB62" s="25">
        <f t="shared" si="42"/>
        <v>6.9444444452528842E-3</v>
      </c>
    </row>
    <row r="63" spans="1:28" x14ac:dyDescent="0.25">
      <c r="A63" s="12">
        <v>45078</v>
      </c>
      <c r="B63" s="123" t="s">
        <v>300</v>
      </c>
      <c r="C63" s="20">
        <v>45096</v>
      </c>
      <c r="D63" s="123">
        <v>9247789</v>
      </c>
      <c r="E63" s="123" t="s">
        <v>282</v>
      </c>
      <c r="F63" s="123" t="s">
        <v>135</v>
      </c>
      <c r="G63" s="123" t="s">
        <v>132</v>
      </c>
      <c r="H63" s="17">
        <v>5200193</v>
      </c>
      <c r="I63" s="17" t="s">
        <v>41</v>
      </c>
      <c r="J63" s="21" t="s">
        <v>42</v>
      </c>
      <c r="K63" s="123">
        <v>250</v>
      </c>
      <c r="L63" s="123">
        <v>1</v>
      </c>
      <c r="M63" s="123">
        <f t="shared" si="30"/>
        <v>250</v>
      </c>
      <c r="N63" s="20">
        <v>45096</v>
      </c>
      <c r="O63" s="123" t="s">
        <v>136</v>
      </c>
      <c r="P63" s="123" t="s">
        <v>144</v>
      </c>
      <c r="Q63" s="123" t="s">
        <v>30</v>
      </c>
      <c r="R63" s="123" t="s">
        <v>170</v>
      </c>
      <c r="S63" s="23">
        <v>221606738263</v>
      </c>
      <c r="T63" s="20">
        <v>45096</v>
      </c>
      <c r="U63" s="123"/>
      <c r="V63" s="123">
        <v>232</v>
      </c>
      <c r="W63" s="24">
        <v>45096.625</v>
      </c>
      <c r="X63" s="24">
        <v>45096.715277777781</v>
      </c>
      <c r="Y63" s="25">
        <f t="shared" ref="Y63:Y70" si="46">+X63-W63</f>
        <v>9.0277777781011537E-2</v>
      </c>
      <c r="Z63" s="24">
        <v>45096.631944444445</v>
      </c>
      <c r="AA63" s="24">
        <v>45096.645833333336</v>
      </c>
      <c r="AB63" s="25">
        <f t="shared" si="42"/>
        <v>1.3888888890505768E-2</v>
      </c>
    </row>
    <row r="64" spans="1:28" x14ac:dyDescent="0.25">
      <c r="A64" s="12">
        <v>45078</v>
      </c>
      <c r="B64" s="123" t="s">
        <v>300</v>
      </c>
      <c r="C64" s="20">
        <v>45096</v>
      </c>
      <c r="D64" s="123">
        <v>5690252</v>
      </c>
      <c r="E64" s="123" t="s">
        <v>282</v>
      </c>
      <c r="F64" s="123" t="s">
        <v>135</v>
      </c>
      <c r="G64" s="123" t="s">
        <v>132</v>
      </c>
      <c r="H64" s="17">
        <v>5200193</v>
      </c>
      <c r="I64" s="17" t="s">
        <v>41</v>
      </c>
      <c r="J64" s="123">
        <v>1223002801</v>
      </c>
      <c r="K64" s="123">
        <v>250</v>
      </c>
      <c r="L64" s="123">
        <v>37</v>
      </c>
      <c r="M64" s="123">
        <f t="shared" ref="M64:M70" si="47">+L64*K64</f>
        <v>9250</v>
      </c>
      <c r="N64" s="20">
        <v>45096</v>
      </c>
      <c r="O64" s="123" t="s">
        <v>136</v>
      </c>
      <c r="P64" s="123" t="s">
        <v>144</v>
      </c>
      <c r="Q64" s="123" t="s">
        <v>30</v>
      </c>
      <c r="R64" s="123" t="s">
        <v>170</v>
      </c>
      <c r="S64" s="23">
        <v>221606738263</v>
      </c>
      <c r="T64" s="20">
        <v>45096</v>
      </c>
      <c r="U64" s="123"/>
      <c r="V64" s="123">
        <v>232</v>
      </c>
      <c r="W64" s="24">
        <v>45096.625</v>
      </c>
      <c r="X64" s="24">
        <v>45096.715277777781</v>
      </c>
      <c r="Y64" s="25">
        <f t="shared" si="46"/>
        <v>9.0277777781011537E-2</v>
      </c>
      <c r="Z64" s="24">
        <v>45096.631944444445</v>
      </c>
      <c r="AA64" s="24">
        <v>45096.645833333336</v>
      </c>
      <c r="AB64" s="25">
        <f t="shared" ref="AB64:AB70" si="48">+AA64-Z64</f>
        <v>1.3888888890505768E-2</v>
      </c>
    </row>
    <row r="65" spans="1:28" x14ac:dyDescent="0.25">
      <c r="A65" s="12">
        <v>45078</v>
      </c>
      <c r="B65" s="123" t="s">
        <v>301</v>
      </c>
      <c r="C65" s="20">
        <v>45096</v>
      </c>
      <c r="D65" s="123">
        <v>5743038</v>
      </c>
      <c r="E65" s="123" t="s">
        <v>191</v>
      </c>
      <c r="F65" s="123" t="s">
        <v>135</v>
      </c>
      <c r="G65" s="123" t="s">
        <v>192</v>
      </c>
      <c r="H65" s="17">
        <v>5211013</v>
      </c>
      <c r="I65" s="17" t="s">
        <v>27</v>
      </c>
      <c r="J65" s="123" t="s">
        <v>76</v>
      </c>
      <c r="K65" s="123">
        <v>25</v>
      </c>
      <c r="L65" s="123">
        <v>268</v>
      </c>
      <c r="M65" s="123">
        <f t="shared" si="47"/>
        <v>6700</v>
      </c>
      <c r="N65" s="20">
        <v>45096</v>
      </c>
      <c r="O65" s="123" t="s">
        <v>271</v>
      </c>
      <c r="P65" s="123" t="s">
        <v>144</v>
      </c>
      <c r="Q65" s="123" t="s">
        <v>30</v>
      </c>
      <c r="R65" s="123" t="s">
        <v>205</v>
      </c>
      <c r="S65" s="23">
        <v>261607179702</v>
      </c>
      <c r="T65" s="20">
        <v>45097</v>
      </c>
      <c r="U65" s="123"/>
      <c r="V65" s="123">
        <v>233</v>
      </c>
      <c r="W65" s="24">
        <v>45096.604166666664</v>
      </c>
      <c r="X65" s="24">
        <v>45096.75</v>
      </c>
      <c r="Y65" s="25">
        <f t="shared" si="46"/>
        <v>0.14583333333575865</v>
      </c>
      <c r="Z65" s="24">
        <v>45096.652777777781</v>
      </c>
      <c r="AA65" s="24">
        <v>45096.75</v>
      </c>
      <c r="AB65" s="25">
        <f t="shared" si="48"/>
        <v>9.7222222218988463E-2</v>
      </c>
    </row>
    <row r="66" spans="1:28" x14ac:dyDescent="0.25">
      <c r="A66" s="12">
        <v>45078</v>
      </c>
      <c r="B66" s="123" t="s">
        <v>301</v>
      </c>
      <c r="C66" s="20">
        <v>45096</v>
      </c>
      <c r="D66" s="123">
        <v>5743118</v>
      </c>
      <c r="E66" s="123" t="s">
        <v>191</v>
      </c>
      <c r="F66" s="123" t="s">
        <v>135</v>
      </c>
      <c r="G66" s="123" t="s">
        <v>192</v>
      </c>
      <c r="H66" s="17">
        <v>5211013</v>
      </c>
      <c r="I66" s="17" t="s">
        <v>27</v>
      </c>
      <c r="J66" s="123" t="s">
        <v>83</v>
      </c>
      <c r="K66" s="123">
        <v>25</v>
      </c>
      <c r="L66" s="123">
        <v>544</v>
      </c>
      <c r="M66" s="123">
        <f t="shared" si="47"/>
        <v>13600</v>
      </c>
      <c r="N66" s="20">
        <v>45096</v>
      </c>
      <c r="O66" s="123" t="s">
        <v>271</v>
      </c>
      <c r="P66" s="123" t="s">
        <v>144</v>
      </c>
      <c r="Q66" s="123" t="s">
        <v>30</v>
      </c>
      <c r="R66" s="123" t="s">
        <v>205</v>
      </c>
      <c r="S66" s="23">
        <v>261607179702</v>
      </c>
      <c r="T66" s="20">
        <v>45097</v>
      </c>
      <c r="U66" s="123"/>
      <c r="V66" s="123">
        <v>233</v>
      </c>
      <c r="W66" s="24">
        <v>45096.604166666664</v>
      </c>
      <c r="X66" s="24">
        <v>45096.75</v>
      </c>
      <c r="Y66" s="25">
        <f t="shared" si="46"/>
        <v>0.14583333333575865</v>
      </c>
      <c r="Z66" s="24">
        <v>45096.652777777781</v>
      </c>
      <c r="AA66" s="24">
        <v>45096.75</v>
      </c>
      <c r="AB66" s="25">
        <f t="shared" si="48"/>
        <v>9.7222222218988463E-2</v>
      </c>
    </row>
    <row r="67" spans="1:28" x14ac:dyDescent="0.25">
      <c r="A67" s="12">
        <v>45078</v>
      </c>
      <c r="B67" s="123" t="s">
        <v>301</v>
      </c>
      <c r="C67" s="20">
        <v>45096</v>
      </c>
      <c r="D67" s="123">
        <v>5743118</v>
      </c>
      <c r="E67" s="123" t="s">
        <v>191</v>
      </c>
      <c r="F67" s="123" t="s">
        <v>135</v>
      </c>
      <c r="G67" s="123" t="s">
        <v>192</v>
      </c>
      <c r="H67" s="17">
        <v>5211013</v>
      </c>
      <c r="I67" s="17" t="s">
        <v>27</v>
      </c>
      <c r="J67" s="123" t="s">
        <v>84</v>
      </c>
      <c r="K67" s="123">
        <v>25</v>
      </c>
      <c r="L67" s="123">
        <v>188</v>
      </c>
      <c r="M67" s="123">
        <f t="shared" si="47"/>
        <v>4700</v>
      </c>
      <c r="N67" s="20">
        <v>45096</v>
      </c>
      <c r="O67" s="123" t="s">
        <v>271</v>
      </c>
      <c r="P67" s="123" t="s">
        <v>144</v>
      </c>
      <c r="Q67" s="123" t="s">
        <v>30</v>
      </c>
      <c r="R67" s="123" t="s">
        <v>205</v>
      </c>
      <c r="S67" s="23">
        <v>261607179702</v>
      </c>
      <c r="T67" s="20">
        <v>45097</v>
      </c>
      <c r="U67" s="123"/>
      <c r="V67" s="123">
        <v>233</v>
      </c>
      <c r="W67" s="24">
        <v>45096.604166666664</v>
      </c>
      <c r="X67" s="24">
        <v>45096.75</v>
      </c>
      <c r="Y67" s="25">
        <f t="shared" si="46"/>
        <v>0.14583333333575865</v>
      </c>
      <c r="Z67" s="24">
        <v>45096.652777777781</v>
      </c>
      <c r="AA67" s="24">
        <v>45096.75</v>
      </c>
      <c r="AB67" s="25">
        <f t="shared" si="48"/>
        <v>9.7222222218988463E-2</v>
      </c>
    </row>
    <row r="68" spans="1:28" x14ac:dyDescent="0.25">
      <c r="A68" s="12">
        <v>45078</v>
      </c>
      <c r="B68" s="123" t="s">
        <v>304</v>
      </c>
      <c r="C68" s="20">
        <v>45097</v>
      </c>
      <c r="D68" s="123">
        <v>5690252</v>
      </c>
      <c r="E68" s="123" t="s">
        <v>262</v>
      </c>
      <c r="F68" s="123" t="s">
        <v>135</v>
      </c>
      <c r="G68" s="123" t="s">
        <v>132</v>
      </c>
      <c r="H68" s="17">
        <v>5200193</v>
      </c>
      <c r="I68" s="17" t="s">
        <v>41</v>
      </c>
      <c r="J68" s="123">
        <v>1223002801</v>
      </c>
      <c r="K68" s="123">
        <v>250</v>
      </c>
      <c r="L68" s="123">
        <v>36</v>
      </c>
      <c r="M68" s="123">
        <f t="shared" si="47"/>
        <v>9000</v>
      </c>
      <c r="N68" s="20">
        <v>45097</v>
      </c>
      <c r="O68" s="123" t="s">
        <v>136</v>
      </c>
      <c r="P68" s="123" t="s">
        <v>144</v>
      </c>
      <c r="Q68" s="123" t="s">
        <v>30</v>
      </c>
      <c r="R68" s="123" t="s">
        <v>305</v>
      </c>
      <c r="S68" s="23">
        <v>231607212730</v>
      </c>
      <c r="T68" s="20">
        <v>45097</v>
      </c>
      <c r="U68" s="123"/>
      <c r="V68" s="123">
        <v>234</v>
      </c>
      <c r="W68" s="24">
        <v>45097.652777777781</v>
      </c>
      <c r="X68" s="24">
        <v>45097.673611111109</v>
      </c>
      <c r="Y68" s="25">
        <f t="shared" si="46"/>
        <v>2.0833333328482695E-2</v>
      </c>
      <c r="Z68" s="24">
        <v>45097.659722222219</v>
      </c>
      <c r="AA68" s="24">
        <v>45097.673611111109</v>
      </c>
      <c r="AB68" s="25">
        <f t="shared" si="48"/>
        <v>1.3888888890505768E-2</v>
      </c>
    </row>
    <row r="69" spans="1:28" x14ac:dyDescent="0.25">
      <c r="A69" s="12">
        <v>45078</v>
      </c>
      <c r="B69" s="123" t="s">
        <v>317</v>
      </c>
      <c r="C69" s="20">
        <v>45098</v>
      </c>
      <c r="D69" s="123">
        <v>5690252</v>
      </c>
      <c r="E69" s="123" t="s">
        <v>318</v>
      </c>
      <c r="F69" s="123" t="s">
        <v>319</v>
      </c>
      <c r="G69" s="123" t="s">
        <v>132</v>
      </c>
      <c r="H69" s="17">
        <v>5200193</v>
      </c>
      <c r="I69" s="17" t="s">
        <v>41</v>
      </c>
      <c r="J69" s="123">
        <v>1223002801</v>
      </c>
      <c r="K69" s="123">
        <v>250</v>
      </c>
      <c r="L69" s="123">
        <v>40</v>
      </c>
      <c r="M69" s="123">
        <f t="shared" si="47"/>
        <v>10000</v>
      </c>
      <c r="N69" s="20">
        <v>45098</v>
      </c>
      <c r="O69" s="123" t="s">
        <v>220</v>
      </c>
      <c r="P69" s="123" t="s">
        <v>134</v>
      </c>
      <c r="Q69" s="123">
        <v>2153</v>
      </c>
      <c r="R69" s="123" t="s">
        <v>320</v>
      </c>
      <c r="S69" s="23">
        <v>291607898567</v>
      </c>
      <c r="T69" s="20">
        <v>45098</v>
      </c>
      <c r="U69" s="123"/>
      <c r="V69" s="123">
        <v>235</v>
      </c>
      <c r="W69" s="24">
        <v>45098.6875</v>
      </c>
      <c r="X69" s="24">
        <v>45098.715277777781</v>
      </c>
      <c r="Y69" s="25">
        <f t="shared" si="46"/>
        <v>2.7777777781011537E-2</v>
      </c>
      <c r="Z69" s="24">
        <v>45098.694444444445</v>
      </c>
      <c r="AA69" s="24">
        <v>45098.708333333336</v>
      </c>
      <c r="AB69" s="25">
        <f t="shared" si="48"/>
        <v>1.3888888890505768E-2</v>
      </c>
    </row>
    <row r="70" spans="1:28" x14ac:dyDescent="0.25">
      <c r="A70" s="12">
        <v>45078</v>
      </c>
      <c r="B70" s="123" t="s">
        <v>321</v>
      </c>
      <c r="C70" s="20">
        <v>45098</v>
      </c>
      <c r="D70" s="123">
        <v>5080127</v>
      </c>
      <c r="E70" s="123" t="s">
        <v>322</v>
      </c>
      <c r="F70" s="123" t="s">
        <v>323</v>
      </c>
      <c r="G70" s="123" t="s">
        <v>132</v>
      </c>
      <c r="H70" s="17">
        <v>5230831</v>
      </c>
      <c r="I70" s="17" t="s">
        <v>35</v>
      </c>
      <c r="J70" s="21" t="s">
        <v>59</v>
      </c>
      <c r="K70" s="123">
        <v>240</v>
      </c>
      <c r="L70" s="123">
        <v>36</v>
      </c>
      <c r="M70" s="123">
        <f t="shared" si="47"/>
        <v>8640</v>
      </c>
      <c r="N70" s="20">
        <v>45098</v>
      </c>
      <c r="O70" s="123" t="s">
        <v>136</v>
      </c>
      <c r="P70" s="123" t="s">
        <v>134</v>
      </c>
      <c r="Q70" s="123">
        <v>2154</v>
      </c>
      <c r="R70" s="123" t="s">
        <v>324</v>
      </c>
      <c r="S70" s="23">
        <v>261607911849</v>
      </c>
      <c r="T70" s="20">
        <v>45098</v>
      </c>
      <c r="U70" s="123"/>
      <c r="V70" s="123">
        <v>236</v>
      </c>
      <c r="W70" s="24">
        <v>45098.708333333336</v>
      </c>
      <c r="X70" s="24">
        <v>45098.743055555555</v>
      </c>
      <c r="Y70" s="25">
        <f t="shared" si="46"/>
        <v>3.4722222218988463E-2</v>
      </c>
      <c r="Z70" s="24">
        <v>45098.715277777781</v>
      </c>
      <c r="AA70" s="24">
        <v>45098.743055555555</v>
      </c>
      <c r="AB70" s="25">
        <f t="shared" si="48"/>
        <v>2.7777777773735579E-2</v>
      </c>
    </row>
    <row r="71" spans="1:28" x14ac:dyDescent="0.25">
      <c r="A71" s="12">
        <v>45078</v>
      </c>
      <c r="B71" s="123" t="s">
        <v>321</v>
      </c>
      <c r="C71" s="20">
        <v>45098</v>
      </c>
      <c r="D71" s="123" t="s">
        <v>30</v>
      </c>
      <c r="E71" s="123" t="s">
        <v>322</v>
      </c>
      <c r="F71" s="123" t="s">
        <v>323</v>
      </c>
      <c r="G71" s="123" t="s">
        <v>132</v>
      </c>
      <c r="H71" s="17">
        <v>5230831</v>
      </c>
      <c r="I71" s="17" t="s">
        <v>35</v>
      </c>
      <c r="J71" s="21" t="s">
        <v>40</v>
      </c>
      <c r="K71" s="123">
        <v>240</v>
      </c>
      <c r="L71" s="123">
        <v>4</v>
      </c>
      <c r="M71" s="123">
        <f t="shared" ref="M71:M74" si="49">+L71*K71</f>
        <v>960</v>
      </c>
      <c r="N71" s="20">
        <v>45098</v>
      </c>
      <c r="O71" s="123" t="s">
        <v>136</v>
      </c>
      <c r="P71" s="123" t="s">
        <v>134</v>
      </c>
      <c r="Q71" s="123">
        <v>2154</v>
      </c>
      <c r="R71" s="123" t="s">
        <v>324</v>
      </c>
      <c r="S71" s="23">
        <v>261607911849</v>
      </c>
      <c r="T71" s="20">
        <v>45098</v>
      </c>
      <c r="U71" s="123"/>
      <c r="V71" s="123">
        <v>236</v>
      </c>
      <c r="W71" s="24">
        <v>45098.708333333336</v>
      </c>
      <c r="X71" s="24">
        <v>45098.743055555555</v>
      </c>
      <c r="Y71" s="25">
        <f t="shared" ref="Y71:Y74" si="50">+X71-W71</f>
        <v>3.4722222218988463E-2</v>
      </c>
      <c r="Z71" s="24">
        <v>45098.715277777781</v>
      </c>
      <c r="AA71" s="24">
        <v>45098.743055555555</v>
      </c>
      <c r="AB71" s="25">
        <f t="shared" ref="AB71:AB74" si="51">+AA71-Z71</f>
        <v>2.7777777773735579E-2</v>
      </c>
    </row>
    <row r="72" spans="1:28" x14ac:dyDescent="0.25">
      <c r="A72" s="12">
        <v>45078</v>
      </c>
      <c r="B72" s="123" t="s">
        <v>325</v>
      </c>
      <c r="C72" s="20">
        <v>45098</v>
      </c>
      <c r="D72" s="123">
        <v>6087743</v>
      </c>
      <c r="E72" s="123" t="s">
        <v>326</v>
      </c>
      <c r="F72" s="123" t="s">
        <v>327</v>
      </c>
      <c r="G72" s="123" t="s">
        <v>132</v>
      </c>
      <c r="H72" s="17">
        <v>5309040</v>
      </c>
      <c r="I72" s="17" t="s">
        <v>105</v>
      </c>
      <c r="J72" s="123" t="s">
        <v>107</v>
      </c>
      <c r="K72" s="123">
        <v>250</v>
      </c>
      <c r="L72" s="123">
        <v>80</v>
      </c>
      <c r="M72" s="123">
        <f t="shared" si="49"/>
        <v>20000</v>
      </c>
      <c r="N72" s="20">
        <v>45099</v>
      </c>
      <c r="O72" s="123" t="s">
        <v>271</v>
      </c>
      <c r="P72" s="123" t="s">
        <v>134</v>
      </c>
      <c r="Q72" s="123">
        <v>2155</v>
      </c>
      <c r="R72" s="123" t="s">
        <v>328</v>
      </c>
      <c r="S72" s="23">
        <v>221607943952</v>
      </c>
      <c r="T72" s="20">
        <v>45098</v>
      </c>
      <c r="U72" s="123"/>
      <c r="V72" s="123">
        <v>237</v>
      </c>
      <c r="W72" s="24">
        <v>45099.416666666664</v>
      </c>
      <c r="X72" s="24">
        <v>45099.520833333336</v>
      </c>
      <c r="Y72" s="25">
        <f t="shared" si="50"/>
        <v>0.10416666667151731</v>
      </c>
      <c r="Z72" s="24">
        <v>45099.458333333336</v>
      </c>
      <c r="AA72" s="24">
        <v>45099.520833333336</v>
      </c>
      <c r="AB72" s="25">
        <f t="shared" si="51"/>
        <v>6.25E-2</v>
      </c>
    </row>
    <row r="73" spans="1:28" x14ac:dyDescent="0.25">
      <c r="A73" s="12">
        <v>45078</v>
      </c>
      <c r="B73" s="123" t="s">
        <v>329</v>
      </c>
      <c r="C73" s="20">
        <v>45099</v>
      </c>
      <c r="D73" s="123">
        <v>6137358</v>
      </c>
      <c r="E73" s="123" t="s">
        <v>191</v>
      </c>
      <c r="F73" s="123" t="s">
        <v>135</v>
      </c>
      <c r="G73" s="123" t="s">
        <v>192</v>
      </c>
      <c r="H73" s="17">
        <v>5212252</v>
      </c>
      <c r="I73" s="17" t="s">
        <v>23</v>
      </c>
      <c r="J73" s="123" t="s">
        <v>312</v>
      </c>
      <c r="K73" s="123">
        <v>25</v>
      </c>
      <c r="L73" s="123">
        <v>400</v>
      </c>
      <c r="M73" s="123">
        <f t="shared" si="49"/>
        <v>10000</v>
      </c>
      <c r="N73" s="20">
        <v>45099</v>
      </c>
      <c r="O73" s="123" t="s">
        <v>136</v>
      </c>
      <c r="P73" s="123" t="s">
        <v>144</v>
      </c>
      <c r="Q73" s="123" t="s">
        <v>30</v>
      </c>
      <c r="R73" s="123" t="s">
        <v>330</v>
      </c>
      <c r="S73" s="23">
        <v>291608335696</v>
      </c>
      <c r="T73" s="20">
        <v>45099</v>
      </c>
      <c r="U73" s="123"/>
      <c r="V73" s="123">
        <v>238</v>
      </c>
      <c r="W73" s="24">
        <v>45099.659722222219</v>
      </c>
      <c r="X73" s="24">
        <v>45099.684027777781</v>
      </c>
      <c r="Y73" s="25">
        <f t="shared" si="50"/>
        <v>2.4305555562023073E-2</v>
      </c>
      <c r="Z73" s="24">
        <v>45099.666666666664</v>
      </c>
      <c r="AA73" s="24">
        <v>45099.677083333336</v>
      </c>
      <c r="AB73" s="25">
        <f t="shared" si="51"/>
        <v>1.0416666671517305E-2</v>
      </c>
    </row>
    <row r="74" spans="1:28" x14ac:dyDescent="0.25">
      <c r="A74" s="12">
        <v>45078</v>
      </c>
      <c r="B74" s="123" t="s">
        <v>331</v>
      </c>
      <c r="C74" s="20">
        <v>45099</v>
      </c>
      <c r="D74" s="123">
        <v>6137358</v>
      </c>
      <c r="E74" s="123" t="s">
        <v>191</v>
      </c>
      <c r="F74" s="123" t="s">
        <v>135</v>
      </c>
      <c r="G74" s="123" t="s">
        <v>192</v>
      </c>
      <c r="H74" s="17">
        <v>5212252</v>
      </c>
      <c r="I74" s="17" t="s">
        <v>23</v>
      </c>
      <c r="J74" s="123" t="s">
        <v>312</v>
      </c>
      <c r="K74" s="123">
        <v>25</v>
      </c>
      <c r="L74" s="123">
        <v>184</v>
      </c>
      <c r="M74" s="123">
        <f t="shared" si="49"/>
        <v>4600</v>
      </c>
      <c r="N74" s="20">
        <v>45099</v>
      </c>
      <c r="O74" s="123" t="s">
        <v>271</v>
      </c>
      <c r="P74" s="123" t="s">
        <v>144</v>
      </c>
      <c r="Q74" s="123" t="s">
        <v>30</v>
      </c>
      <c r="R74" s="123" t="s">
        <v>332</v>
      </c>
      <c r="S74" s="23">
        <v>231608342771</v>
      </c>
      <c r="T74" s="20">
        <v>45099</v>
      </c>
      <c r="U74" s="123"/>
      <c r="V74" s="123">
        <v>239</v>
      </c>
      <c r="W74" s="24">
        <v>45099.597222222219</v>
      </c>
      <c r="X74" s="24">
        <v>45099.722222222219</v>
      </c>
      <c r="Y74" s="25">
        <f t="shared" si="50"/>
        <v>0.125</v>
      </c>
      <c r="Z74" s="24">
        <v>45099.604166666664</v>
      </c>
      <c r="AA74" s="24">
        <v>45099.708333333336</v>
      </c>
      <c r="AB74" s="25">
        <f t="shared" si="51"/>
        <v>0.10416666667151731</v>
      </c>
    </row>
    <row r="75" spans="1:28" x14ac:dyDescent="0.25">
      <c r="A75" s="12">
        <v>45078</v>
      </c>
      <c r="B75" s="123" t="s">
        <v>331</v>
      </c>
      <c r="C75" s="20">
        <v>45099</v>
      </c>
      <c r="D75" s="123">
        <v>6137358</v>
      </c>
      <c r="E75" s="123" t="s">
        <v>191</v>
      </c>
      <c r="F75" s="123" t="s">
        <v>135</v>
      </c>
      <c r="G75" s="123" t="s">
        <v>192</v>
      </c>
      <c r="H75" s="17">
        <v>5212252</v>
      </c>
      <c r="I75" s="17" t="s">
        <v>23</v>
      </c>
      <c r="J75" s="123" t="s">
        <v>313</v>
      </c>
      <c r="K75" s="123">
        <v>25</v>
      </c>
      <c r="L75" s="123">
        <v>816</v>
      </c>
      <c r="M75" s="123">
        <f t="shared" ref="M75:M100" si="52">+L75*K75</f>
        <v>20400</v>
      </c>
      <c r="N75" s="20">
        <v>45099</v>
      </c>
      <c r="O75" s="123" t="s">
        <v>271</v>
      </c>
      <c r="P75" s="123" t="s">
        <v>144</v>
      </c>
      <c r="Q75" s="123" t="s">
        <v>30</v>
      </c>
      <c r="R75" s="123" t="s">
        <v>332</v>
      </c>
      <c r="S75" s="23">
        <v>231608342771</v>
      </c>
      <c r="T75" s="20">
        <v>45099</v>
      </c>
      <c r="U75" s="123"/>
      <c r="V75" s="123">
        <v>239</v>
      </c>
      <c r="W75" s="24">
        <v>45099.597222222219</v>
      </c>
      <c r="X75" s="24">
        <v>45099.722222222219</v>
      </c>
      <c r="Y75" s="25">
        <f t="shared" ref="Y75:Y93" si="53">+X75-W75</f>
        <v>0.125</v>
      </c>
      <c r="Z75" s="24">
        <v>45099.604166666664</v>
      </c>
      <c r="AA75" s="24">
        <v>45099.708333333336</v>
      </c>
      <c r="AB75" s="25">
        <f t="shared" ref="AB75:AB93" si="54">+AA75-Z75</f>
        <v>0.10416666667151731</v>
      </c>
    </row>
    <row r="76" spans="1:28" x14ac:dyDescent="0.25">
      <c r="A76" s="12">
        <v>45078</v>
      </c>
      <c r="B76" s="123" t="s">
        <v>333</v>
      </c>
      <c r="C76" s="20">
        <v>45099</v>
      </c>
      <c r="D76" s="123">
        <v>6146274</v>
      </c>
      <c r="E76" s="123" t="s">
        <v>334</v>
      </c>
      <c r="F76" s="123" t="s">
        <v>268</v>
      </c>
      <c r="G76" s="123" t="s">
        <v>192</v>
      </c>
      <c r="H76" s="17">
        <v>5205449</v>
      </c>
      <c r="I76" s="17" t="str">
        <f>VLOOKUP(H76,[1]MASTER!$A:$B,2,0)</f>
        <v>PVC-WH1000F-Premium-Bag-25KG</v>
      </c>
      <c r="J76" s="123">
        <v>1230237372</v>
      </c>
      <c r="K76" s="123">
        <v>25</v>
      </c>
      <c r="L76" s="123">
        <v>400</v>
      </c>
      <c r="M76" s="123">
        <f t="shared" si="52"/>
        <v>10000</v>
      </c>
      <c r="N76" s="20">
        <v>45099</v>
      </c>
      <c r="O76" s="123" t="s">
        <v>136</v>
      </c>
      <c r="P76" s="123" t="s">
        <v>144</v>
      </c>
      <c r="Q76" s="123" t="s">
        <v>30</v>
      </c>
      <c r="R76" s="123" t="s">
        <v>335</v>
      </c>
      <c r="S76" s="23">
        <v>281608418598</v>
      </c>
      <c r="T76" s="20">
        <v>45099</v>
      </c>
      <c r="U76" s="123"/>
      <c r="V76" s="123">
        <v>240</v>
      </c>
      <c r="W76" s="24">
        <v>45099.583333333336</v>
      </c>
      <c r="X76" s="24">
        <v>45099.75</v>
      </c>
      <c r="Y76" s="25">
        <f t="shared" si="53"/>
        <v>0.16666666666424135</v>
      </c>
      <c r="Z76" s="24">
        <v>45099.597222222219</v>
      </c>
      <c r="AA76" s="24">
        <v>45099.638888888891</v>
      </c>
      <c r="AB76" s="25">
        <f t="shared" si="54"/>
        <v>4.1666666671517305E-2</v>
      </c>
    </row>
    <row r="77" spans="1:28" x14ac:dyDescent="0.25">
      <c r="A77" s="12">
        <v>45078</v>
      </c>
      <c r="B77" s="123" t="s">
        <v>336</v>
      </c>
      <c r="C77" s="20">
        <v>45099</v>
      </c>
      <c r="D77" s="123">
        <v>5690252</v>
      </c>
      <c r="E77" s="123" t="s">
        <v>262</v>
      </c>
      <c r="F77" s="123" t="s">
        <v>135</v>
      </c>
      <c r="G77" s="123" t="s">
        <v>132</v>
      </c>
      <c r="H77" s="17">
        <v>5200193</v>
      </c>
      <c r="I77" s="17" t="s">
        <v>41</v>
      </c>
      <c r="J77" s="123">
        <v>1223002801</v>
      </c>
      <c r="K77" s="123">
        <v>250</v>
      </c>
      <c r="L77" s="123">
        <v>35</v>
      </c>
      <c r="M77" s="123">
        <f t="shared" si="52"/>
        <v>8750</v>
      </c>
      <c r="N77" s="20">
        <v>45099</v>
      </c>
      <c r="O77" s="123" t="s">
        <v>136</v>
      </c>
      <c r="P77" s="123" t="s">
        <v>144</v>
      </c>
      <c r="Q77" s="123" t="s">
        <v>30</v>
      </c>
      <c r="R77" s="123" t="s">
        <v>305</v>
      </c>
      <c r="S77" s="23">
        <v>271608424901</v>
      </c>
      <c r="T77" s="20">
        <v>45099</v>
      </c>
      <c r="U77" s="123"/>
      <c r="V77" s="123">
        <v>241</v>
      </c>
      <c r="W77" s="24">
        <v>45099.666666666664</v>
      </c>
      <c r="X77" s="24">
        <v>45099.75</v>
      </c>
      <c r="Y77" s="25">
        <f t="shared" si="53"/>
        <v>8.3333333335758653E-2</v>
      </c>
      <c r="Z77" s="24">
        <v>45099.680555555555</v>
      </c>
      <c r="AA77" s="24">
        <v>45099.694444444445</v>
      </c>
      <c r="AB77" s="25">
        <f t="shared" si="54"/>
        <v>1.3888888890505768E-2</v>
      </c>
    </row>
    <row r="78" spans="1:28" x14ac:dyDescent="0.25">
      <c r="A78" s="12">
        <v>45078</v>
      </c>
      <c r="B78" s="123" t="s">
        <v>341</v>
      </c>
      <c r="C78" s="20">
        <v>45099</v>
      </c>
      <c r="D78" s="123">
        <v>5690252</v>
      </c>
      <c r="E78" s="123" t="s">
        <v>342</v>
      </c>
      <c r="F78" s="123" t="s">
        <v>343</v>
      </c>
      <c r="G78" s="123" t="s">
        <v>132</v>
      </c>
      <c r="H78" s="17">
        <v>5200193</v>
      </c>
      <c r="I78" s="17" t="s">
        <v>41</v>
      </c>
      <c r="J78" s="123">
        <v>1223002801</v>
      </c>
      <c r="K78" s="123">
        <v>250</v>
      </c>
      <c r="L78" s="123">
        <v>32</v>
      </c>
      <c r="M78" s="123">
        <f t="shared" si="52"/>
        <v>8000</v>
      </c>
      <c r="N78" s="20">
        <v>45100</v>
      </c>
      <c r="O78" s="123" t="s">
        <v>177</v>
      </c>
      <c r="P78" s="123" t="s">
        <v>134</v>
      </c>
      <c r="Q78" s="123">
        <v>2156</v>
      </c>
      <c r="R78" s="123" t="s">
        <v>344</v>
      </c>
      <c r="S78" s="23">
        <v>271608833558</v>
      </c>
      <c r="T78" s="20">
        <v>45100</v>
      </c>
      <c r="U78" s="123"/>
      <c r="V78" s="123">
        <v>242</v>
      </c>
      <c r="W78" s="24">
        <v>45100.645833333336</v>
      </c>
      <c r="X78" s="24">
        <v>45100.680555555555</v>
      </c>
      <c r="Y78" s="25">
        <f t="shared" si="53"/>
        <v>3.4722222218988463E-2</v>
      </c>
      <c r="Z78" s="24">
        <v>45100.652777777781</v>
      </c>
      <c r="AA78" s="24">
        <v>45100.680555555555</v>
      </c>
      <c r="AB78" s="25">
        <f t="shared" si="54"/>
        <v>2.7777777773735579E-2</v>
      </c>
    </row>
    <row r="79" spans="1:28" x14ac:dyDescent="0.25">
      <c r="A79" s="12">
        <v>45078</v>
      </c>
      <c r="B79" s="123" t="s">
        <v>345</v>
      </c>
      <c r="C79" s="20">
        <v>45100</v>
      </c>
      <c r="D79" s="123">
        <v>5690252</v>
      </c>
      <c r="E79" s="123" t="s">
        <v>342</v>
      </c>
      <c r="F79" s="123" t="s">
        <v>343</v>
      </c>
      <c r="G79" s="123" t="s">
        <v>132</v>
      </c>
      <c r="H79" s="17">
        <v>5200193</v>
      </c>
      <c r="I79" s="17" t="s">
        <v>41</v>
      </c>
      <c r="J79" s="123">
        <v>1223002801</v>
      </c>
      <c r="K79" s="123">
        <v>250</v>
      </c>
      <c r="L79" s="123">
        <v>32</v>
      </c>
      <c r="M79" s="123">
        <f t="shared" si="52"/>
        <v>8000</v>
      </c>
      <c r="N79" s="20">
        <v>45101</v>
      </c>
      <c r="O79" s="123" t="s">
        <v>177</v>
      </c>
      <c r="P79" s="123" t="s">
        <v>134</v>
      </c>
      <c r="Q79" s="123">
        <v>2158</v>
      </c>
      <c r="R79" s="123" t="s">
        <v>346</v>
      </c>
      <c r="S79" s="23">
        <v>291609355776</v>
      </c>
      <c r="T79" s="20">
        <v>45101</v>
      </c>
      <c r="U79" s="123"/>
      <c r="V79" s="123">
        <v>243</v>
      </c>
      <c r="W79" s="24">
        <v>45101.618055555555</v>
      </c>
      <c r="X79" s="24">
        <v>45101.645833333336</v>
      </c>
      <c r="Y79" s="25">
        <f t="shared" si="53"/>
        <v>2.7777777781011537E-2</v>
      </c>
      <c r="Z79" s="24">
        <v>45101.625</v>
      </c>
      <c r="AA79" s="24">
        <v>45101.638888888891</v>
      </c>
      <c r="AB79" s="25">
        <f t="shared" si="54"/>
        <v>1.3888888890505768E-2</v>
      </c>
    </row>
    <row r="80" spans="1:28" x14ac:dyDescent="0.25">
      <c r="A80" s="12">
        <v>45078</v>
      </c>
      <c r="B80" s="123" t="s">
        <v>347</v>
      </c>
      <c r="C80" s="20">
        <v>45100</v>
      </c>
      <c r="D80" s="123">
        <v>5690252</v>
      </c>
      <c r="E80" s="123" t="s">
        <v>348</v>
      </c>
      <c r="F80" s="123" t="s">
        <v>197</v>
      </c>
      <c r="G80" s="123" t="s">
        <v>132</v>
      </c>
      <c r="H80" s="17">
        <v>5200193</v>
      </c>
      <c r="I80" s="17" t="s">
        <v>41</v>
      </c>
      <c r="J80" s="123">
        <v>1223002801</v>
      </c>
      <c r="K80" s="123">
        <v>250</v>
      </c>
      <c r="L80" s="123">
        <v>40</v>
      </c>
      <c r="M80" s="123">
        <f t="shared" si="52"/>
        <v>10000</v>
      </c>
      <c r="N80" s="20">
        <v>45101</v>
      </c>
      <c r="O80" s="123" t="s">
        <v>220</v>
      </c>
      <c r="P80" s="123" t="s">
        <v>144</v>
      </c>
      <c r="Q80" s="123" t="s">
        <v>30</v>
      </c>
      <c r="R80" s="123" t="s">
        <v>349</v>
      </c>
      <c r="S80" s="23">
        <v>201609357890</v>
      </c>
      <c r="T80" s="20">
        <v>45101</v>
      </c>
      <c r="U80" s="123"/>
      <c r="V80" s="123">
        <v>244</v>
      </c>
      <c r="W80" s="24">
        <v>45101.625</v>
      </c>
      <c r="X80" s="24">
        <v>45101.659722222219</v>
      </c>
      <c r="Y80" s="25">
        <f t="shared" si="53"/>
        <v>3.4722222218988463E-2</v>
      </c>
      <c r="Z80" s="24">
        <v>45101.625</v>
      </c>
      <c r="AA80" s="24">
        <v>45101.65625</v>
      </c>
      <c r="AB80" s="25">
        <f t="shared" si="54"/>
        <v>3.125E-2</v>
      </c>
    </row>
    <row r="81" spans="1:28" x14ac:dyDescent="0.25">
      <c r="A81" s="12">
        <v>45078</v>
      </c>
      <c r="B81" s="123" t="s">
        <v>350</v>
      </c>
      <c r="C81" s="20">
        <v>45101</v>
      </c>
      <c r="D81" s="123">
        <v>5080127</v>
      </c>
      <c r="E81" s="123" t="s">
        <v>196</v>
      </c>
      <c r="F81" s="123" t="s">
        <v>197</v>
      </c>
      <c r="G81" s="123" t="s">
        <v>132</v>
      </c>
      <c r="H81" s="17">
        <v>5230831</v>
      </c>
      <c r="I81" s="17" t="s">
        <v>35</v>
      </c>
      <c r="J81" s="21" t="s">
        <v>59</v>
      </c>
      <c r="K81" s="123">
        <v>240</v>
      </c>
      <c r="L81" s="123">
        <v>40</v>
      </c>
      <c r="M81" s="123">
        <f t="shared" si="52"/>
        <v>9600</v>
      </c>
      <c r="N81" s="20">
        <v>45101</v>
      </c>
      <c r="O81" s="123" t="s">
        <v>136</v>
      </c>
      <c r="P81" s="123" t="s">
        <v>144</v>
      </c>
      <c r="Q81" s="123" t="s">
        <v>30</v>
      </c>
      <c r="R81" s="123" t="s">
        <v>265</v>
      </c>
      <c r="S81" s="23">
        <v>231609383740</v>
      </c>
      <c r="T81" s="20">
        <v>45101</v>
      </c>
      <c r="U81" s="123"/>
      <c r="V81" s="123">
        <v>245</v>
      </c>
      <c r="W81" s="24">
        <v>45101.590277777781</v>
      </c>
      <c r="X81" s="24">
        <v>45101.666666666664</v>
      </c>
      <c r="Y81" s="25">
        <f t="shared" si="53"/>
        <v>7.6388888883229811E-2</v>
      </c>
      <c r="Z81" s="24">
        <v>45101.597222222219</v>
      </c>
      <c r="AA81" s="24">
        <v>45101.614583333336</v>
      </c>
      <c r="AB81" s="25">
        <f t="shared" si="54"/>
        <v>1.7361111116770189E-2</v>
      </c>
    </row>
    <row r="82" spans="1:28" x14ac:dyDescent="0.25">
      <c r="A82" s="12">
        <v>45078</v>
      </c>
      <c r="B82" s="123" t="s">
        <v>351</v>
      </c>
      <c r="C82" s="20">
        <v>45101</v>
      </c>
      <c r="D82" s="123">
        <v>5080127</v>
      </c>
      <c r="E82" s="123" t="s">
        <v>214</v>
      </c>
      <c r="F82" s="123" t="s">
        <v>215</v>
      </c>
      <c r="G82" s="123" t="s">
        <v>132</v>
      </c>
      <c r="H82" s="17">
        <v>5230831</v>
      </c>
      <c r="I82" s="17" t="s">
        <v>35</v>
      </c>
      <c r="J82" s="21" t="s">
        <v>59</v>
      </c>
      <c r="K82" s="123">
        <v>240</v>
      </c>
      <c r="L82" s="123">
        <v>15</v>
      </c>
      <c r="M82" s="123">
        <f t="shared" si="52"/>
        <v>3600</v>
      </c>
      <c r="N82" s="20">
        <v>45101</v>
      </c>
      <c r="O82" s="123" t="s">
        <v>136</v>
      </c>
      <c r="P82" s="123" t="s">
        <v>134</v>
      </c>
      <c r="Q82" s="123">
        <v>2159</v>
      </c>
      <c r="R82" s="123" t="s">
        <v>352</v>
      </c>
      <c r="S82" s="23">
        <v>211609380237</v>
      </c>
      <c r="T82" s="20">
        <v>45101</v>
      </c>
      <c r="U82" s="123"/>
      <c r="V82" s="123">
        <v>246</v>
      </c>
      <c r="W82" s="24">
        <v>45101.625</v>
      </c>
      <c r="X82" s="24">
        <v>45101.663194444445</v>
      </c>
      <c r="Y82" s="25">
        <f t="shared" si="53"/>
        <v>3.8194444445252884E-2</v>
      </c>
      <c r="Z82" s="24">
        <v>45101.631944444445</v>
      </c>
      <c r="AA82" s="24">
        <v>45101.638888888891</v>
      </c>
      <c r="AB82" s="25">
        <f t="shared" si="54"/>
        <v>6.9444444452528842E-3</v>
      </c>
    </row>
    <row r="83" spans="1:28" x14ac:dyDescent="0.25">
      <c r="A83" s="12">
        <v>45078</v>
      </c>
      <c r="B83" s="123" t="s">
        <v>353</v>
      </c>
      <c r="C83" s="20">
        <v>45101</v>
      </c>
      <c r="D83" s="123">
        <v>5690252</v>
      </c>
      <c r="E83" s="123" t="s">
        <v>318</v>
      </c>
      <c r="F83" s="123" t="s">
        <v>319</v>
      </c>
      <c r="G83" s="123" t="s">
        <v>132</v>
      </c>
      <c r="H83" s="17">
        <v>5200193</v>
      </c>
      <c r="I83" s="17" t="s">
        <v>41</v>
      </c>
      <c r="J83" s="123">
        <v>1223002801</v>
      </c>
      <c r="K83" s="123">
        <v>250</v>
      </c>
      <c r="L83" s="123">
        <v>40</v>
      </c>
      <c r="M83" s="123">
        <f t="shared" si="52"/>
        <v>10000</v>
      </c>
      <c r="N83" s="20">
        <v>45101</v>
      </c>
      <c r="O83" s="123" t="s">
        <v>220</v>
      </c>
      <c r="P83" s="123" t="s">
        <v>134</v>
      </c>
      <c r="Q83" s="123">
        <v>2160</v>
      </c>
      <c r="R83" s="123" t="s">
        <v>354</v>
      </c>
      <c r="S83" s="23">
        <v>231609388758</v>
      </c>
      <c r="T83" s="20">
        <v>45101</v>
      </c>
      <c r="U83" s="123"/>
      <c r="V83" s="123">
        <v>247</v>
      </c>
      <c r="W83" s="24">
        <v>45101.666666666664</v>
      </c>
      <c r="X83" s="24">
        <v>45101.722222222219</v>
      </c>
      <c r="Y83" s="25">
        <f t="shared" si="53"/>
        <v>5.5555555554747116E-2</v>
      </c>
      <c r="Z83" s="24">
        <v>45101.673611111109</v>
      </c>
      <c r="AA83" s="24">
        <v>45101.722222222219</v>
      </c>
      <c r="AB83" s="25">
        <f t="shared" si="54"/>
        <v>4.8611111109494232E-2</v>
      </c>
    </row>
    <row r="84" spans="1:28" x14ac:dyDescent="0.25">
      <c r="A84" s="12">
        <v>45078</v>
      </c>
      <c r="B84" s="123" t="s">
        <v>355</v>
      </c>
      <c r="C84" s="20">
        <v>45100</v>
      </c>
      <c r="D84" s="123">
        <v>6087743</v>
      </c>
      <c r="E84" s="123" t="s">
        <v>356</v>
      </c>
      <c r="F84" s="123" t="s">
        <v>327</v>
      </c>
      <c r="G84" s="123" t="s">
        <v>132</v>
      </c>
      <c r="H84" s="17">
        <v>5309040</v>
      </c>
      <c r="I84" s="17" t="s">
        <v>105</v>
      </c>
      <c r="J84" s="123" t="s">
        <v>106</v>
      </c>
      <c r="K84" s="123">
        <v>250</v>
      </c>
      <c r="L84" s="123">
        <v>80</v>
      </c>
      <c r="M84" s="123">
        <f t="shared" si="52"/>
        <v>20000</v>
      </c>
      <c r="N84" s="20">
        <v>45101</v>
      </c>
      <c r="O84" s="123" t="s">
        <v>220</v>
      </c>
      <c r="P84" s="123" t="s">
        <v>134</v>
      </c>
      <c r="Q84" s="123">
        <v>2157</v>
      </c>
      <c r="R84" s="123" t="s">
        <v>357</v>
      </c>
      <c r="S84" s="23">
        <v>221609166263</v>
      </c>
      <c r="T84" s="20">
        <v>45101</v>
      </c>
      <c r="U84" s="123"/>
      <c r="V84" s="123">
        <v>248</v>
      </c>
      <c r="W84" s="24">
        <v>45101.6875</v>
      </c>
      <c r="X84" s="24">
        <v>45101.770833333336</v>
      </c>
      <c r="Y84" s="25">
        <f t="shared" si="53"/>
        <v>8.3333333335758653E-2</v>
      </c>
      <c r="Z84" s="24">
        <v>45101.708333333336</v>
      </c>
      <c r="AA84" s="24">
        <v>45101.770833333336</v>
      </c>
      <c r="AB84" s="25">
        <f t="shared" si="54"/>
        <v>6.25E-2</v>
      </c>
    </row>
    <row r="85" spans="1:28" x14ac:dyDescent="0.25">
      <c r="A85" s="12">
        <v>45078</v>
      </c>
      <c r="B85" s="123" t="s">
        <v>358</v>
      </c>
      <c r="C85" s="20">
        <v>45103</v>
      </c>
      <c r="D85" s="123">
        <v>5690252</v>
      </c>
      <c r="E85" s="123" t="s">
        <v>262</v>
      </c>
      <c r="F85" s="123" t="s">
        <v>135</v>
      </c>
      <c r="G85" s="123" t="s">
        <v>132</v>
      </c>
      <c r="H85" s="17">
        <v>5200193</v>
      </c>
      <c r="I85" s="17" t="s">
        <v>41</v>
      </c>
      <c r="J85" s="123">
        <v>1223002801</v>
      </c>
      <c r="K85" s="123">
        <v>250</v>
      </c>
      <c r="L85" s="123">
        <v>14</v>
      </c>
      <c r="M85" s="123">
        <f t="shared" si="52"/>
        <v>3500</v>
      </c>
      <c r="N85" s="20">
        <v>45103</v>
      </c>
      <c r="O85" s="123" t="s">
        <v>220</v>
      </c>
      <c r="P85" s="123" t="s">
        <v>144</v>
      </c>
      <c r="Q85" s="123" t="s">
        <v>30</v>
      </c>
      <c r="R85" s="123" t="s">
        <v>171</v>
      </c>
      <c r="S85" s="23">
        <v>231610210101</v>
      </c>
      <c r="T85" s="20">
        <v>45103</v>
      </c>
      <c r="U85" s="123"/>
      <c r="V85" s="123">
        <v>249</v>
      </c>
      <c r="W85" s="24">
        <v>45103.743055555555</v>
      </c>
      <c r="X85" s="24">
        <v>45103.763888888891</v>
      </c>
      <c r="Y85" s="25">
        <f t="shared" si="53"/>
        <v>2.0833333335758653E-2</v>
      </c>
      <c r="Z85" s="24">
        <v>45103.743055555555</v>
      </c>
      <c r="AA85" s="24">
        <v>45103.756944444445</v>
      </c>
      <c r="AB85" s="25">
        <f t="shared" si="54"/>
        <v>1.3888888890505768E-2</v>
      </c>
    </row>
    <row r="86" spans="1:28" x14ac:dyDescent="0.25">
      <c r="A86" s="12">
        <v>45078</v>
      </c>
      <c r="B86" s="123" t="s">
        <v>359</v>
      </c>
      <c r="C86" s="20">
        <v>45103</v>
      </c>
      <c r="D86" s="123">
        <v>5690252</v>
      </c>
      <c r="E86" s="123" t="s">
        <v>262</v>
      </c>
      <c r="F86" s="123" t="s">
        <v>135</v>
      </c>
      <c r="G86" s="123" t="s">
        <v>132</v>
      </c>
      <c r="H86" s="17">
        <v>5200193</v>
      </c>
      <c r="I86" s="17" t="s">
        <v>41</v>
      </c>
      <c r="J86" s="123">
        <v>1223002801</v>
      </c>
      <c r="K86" s="123">
        <v>250</v>
      </c>
      <c r="L86" s="123">
        <v>26</v>
      </c>
      <c r="M86" s="123">
        <f t="shared" si="52"/>
        <v>6500</v>
      </c>
      <c r="N86" s="20">
        <v>45103</v>
      </c>
      <c r="O86" s="123" t="s">
        <v>220</v>
      </c>
      <c r="P86" s="123" t="s">
        <v>144</v>
      </c>
      <c r="Q86" s="123" t="s">
        <v>30</v>
      </c>
      <c r="R86" s="123" t="s">
        <v>171</v>
      </c>
      <c r="S86" s="23">
        <v>271610213371</v>
      </c>
      <c r="T86" s="20">
        <v>45103</v>
      </c>
      <c r="U86" s="123"/>
      <c r="V86" s="123">
        <v>249</v>
      </c>
      <c r="W86" s="24">
        <v>45103.743055555555</v>
      </c>
      <c r="X86" s="24">
        <v>45103.763888888891</v>
      </c>
      <c r="Y86" s="25">
        <f t="shared" si="53"/>
        <v>2.0833333335758653E-2</v>
      </c>
      <c r="Z86" s="24">
        <v>45103.743055555555</v>
      </c>
      <c r="AA86" s="24">
        <v>45103.756944444445</v>
      </c>
      <c r="AB86" s="25">
        <f t="shared" si="54"/>
        <v>1.3888888890505768E-2</v>
      </c>
    </row>
    <row r="87" spans="1:28" x14ac:dyDescent="0.25">
      <c r="A87" s="12">
        <v>45078</v>
      </c>
      <c r="B87" s="123" t="s">
        <v>360</v>
      </c>
      <c r="C87" s="20">
        <v>45103</v>
      </c>
      <c r="D87" s="123">
        <v>5690252</v>
      </c>
      <c r="E87" s="123" t="s">
        <v>262</v>
      </c>
      <c r="F87" s="123" t="s">
        <v>135</v>
      </c>
      <c r="G87" s="123" t="s">
        <v>132</v>
      </c>
      <c r="H87" s="17">
        <v>5200193</v>
      </c>
      <c r="I87" s="17" t="s">
        <v>41</v>
      </c>
      <c r="J87" s="123">
        <v>1223002801</v>
      </c>
      <c r="K87" s="123">
        <v>250</v>
      </c>
      <c r="L87" s="123">
        <v>40</v>
      </c>
      <c r="M87" s="123">
        <f t="shared" si="52"/>
        <v>10000</v>
      </c>
      <c r="N87" s="20">
        <v>45103</v>
      </c>
      <c r="O87" s="123" t="s">
        <v>220</v>
      </c>
      <c r="P87" s="123" t="s">
        <v>144</v>
      </c>
      <c r="Q87" s="123" t="s">
        <v>30</v>
      </c>
      <c r="R87" s="123" t="s">
        <v>361</v>
      </c>
      <c r="S87" s="23">
        <v>261610245412</v>
      </c>
      <c r="T87" s="20">
        <v>45103</v>
      </c>
      <c r="U87" s="123"/>
      <c r="V87" s="123">
        <v>250</v>
      </c>
      <c r="W87" s="24">
        <v>45103.798611111109</v>
      </c>
      <c r="X87" s="24">
        <v>45103.826388888891</v>
      </c>
      <c r="Y87" s="25">
        <f t="shared" si="53"/>
        <v>2.7777777781011537E-2</v>
      </c>
      <c r="Z87" s="24">
        <v>45103.805555555555</v>
      </c>
      <c r="AA87" s="24">
        <v>45103.826388888891</v>
      </c>
      <c r="AB87" s="25">
        <f t="shared" si="54"/>
        <v>2.0833333335758653E-2</v>
      </c>
    </row>
    <row r="88" spans="1:28" x14ac:dyDescent="0.25">
      <c r="A88" s="12">
        <v>45078</v>
      </c>
      <c r="B88" s="123" t="s">
        <v>378</v>
      </c>
      <c r="C88" s="20">
        <v>45104</v>
      </c>
      <c r="D88" s="123">
        <v>5690252</v>
      </c>
      <c r="E88" s="123" t="s">
        <v>262</v>
      </c>
      <c r="F88" s="123" t="s">
        <v>135</v>
      </c>
      <c r="G88" s="123" t="s">
        <v>132</v>
      </c>
      <c r="H88" s="17">
        <v>5200193</v>
      </c>
      <c r="I88" s="17" t="s">
        <v>41</v>
      </c>
      <c r="J88" s="123">
        <v>1223002801</v>
      </c>
      <c r="K88" s="123">
        <v>250</v>
      </c>
      <c r="L88" s="123">
        <v>40</v>
      </c>
      <c r="M88" s="123">
        <f t="shared" si="52"/>
        <v>10000</v>
      </c>
      <c r="N88" s="20">
        <v>45104</v>
      </c>
      <c r="O88" s="123" t="s">
        <v>220</v>
      </c>
      <c r="P88" s="123" t="s">
        <v>144</v>
      </c>
      <c r="Q88" s="123" t="s">
        <v>30</v>
      </c>
      <c r="R88" s="123" t="s">
        <v>170</v>
      </c>
      <c r="S88" s="23">
        <v>291610708703</v>
      </c>
      <c r="T88" s="20">
        <v>45104</v>
      </c>
      <c r="U88" s="123"/>
      <c r="V88" s="123">
        <v>251</v>
      </c>
      <c r="W88" s="24">
        <v>45104.6875</v>
      </c>
      <c r="X88" s="24">
        <v>45104.715277777781</v>
      </c>
      <c r="Y88" s="25">
        <f t="shared" si="53"/>
        <v>2.7777777781011537E-2</v>
      </c>
      <c r="Z88" s="24">
        <v>45104.694444444445</v>
      </c>
      <c r="AA88" s="24">
        <v>45104.708333333336</v>
      </c>
      <c r="AB88" s="25">
        <f t="shared" si="54"/>
        <v>1.3888888890505768E-2</v>
      </c>
    </row>
    <row r="89" spans="1:28" x14ac:dyDescent="0.25">
      <c r="A89" s="12">
        <v>45078</v>
      </c>
      <c r="B89" s="123" t="s">
        <v>379</v>
      </c>
      <c r="C89" s="20">
        <v>45104</v>
      </c>
      <c r="D89" s="123">
        <v>5690252</v>
      </c>
      <c r="E89" s="123" t="s">
        <v>380</v>
      </c>
      <c r="F89" s="123" t="s">
        <v>219</v>
      </c>
      <c r="G89" s="123" t="s">
        <v>132</v>
      </c>
      <c r="H89" s="17">
        <v>5200193</v>
      </c>
      <c r="I89" s="17" t="s">
        <v>41</v>
      </c>
      <c r="J89" s="123">
        <v>1223002801</v>
      </c>
      <c r="K89" s="123">
        <v>250</v>
      </c>
      <c r="L89" s="123">
        <v>40</v>
      </c>
      <c r="M89" s="123">
        <f t="shared" si="52"/>
        <v>10000</v>
      </c>
      <c r="N89" s="20">
        <v>45104</v>
      </c>
      <c r="O89" s="123" t="s">
        <v>220</v>
      </c>
      <c r="P89" s="123" t="s">
        <v>144</v>
      </c>
      <c r="Q89" s="123" t="s">
        <v>30</v>
      </c>
      <c r="R89" s="123" t="s">
        <v>381</v>
      </c>
      <c r="S89" s="23">
        <v>271610712373</v>
      </c>
      <c r="T89" s="20">
        <v>45104</v>
      </c>
      <c r="U89" s="123"/>
      <c r="V89" s="123">
        <v>252</v>
      </c>
      <c r="W89" s="24">
        <v>45104.673611111109</v>
      </c>
      <c r="X89" s="24">
        <v>45104.715277777781</v>
      </c>
      <c r="Y89" s="25">
        <f t="shared" si="53"/>
        <v>4.1666666671517305E-2</v>
      </c>
      <c r="Z89" s="24">
        <v>45104.680555555555</v>
      </c>
      <c r="AA89" s="24">
        <v>45104.708333333336</v>
      </c>
      <c r="AB89" s="25">
        <f t="shared" si="54"/>
        <v>2.7777777781011537E-2</v>
      </c>
    </row>
    <row r="90" spans="1:28" x14ac:dyDescent="0.25">
      <c r="A90" s="12">
        <v>45078</v>
      </c>
      <c r="B90" s="123" t="s">
        <v>382</v>
      </c>
      <c r="C90" s="20">
        <v>45104</v>
      </c>
      <c r="D90" s="123">
        <v>5690252</v>
      </c>
      <c r="E90" s="123" t="s">
        <v>262</v>
      </c>
      <c r="F90" s="123" t="s">
        <v>135</v>
      </c>
      <c r="G90" s="123" t="s">
        <v>132</v>
      </c>
      <c r="H90" s="17">
        <v>5200193</v>
      </c>
      <c r="I90" s="17" t="s">
        <v>41</v>
      </c>
      <c r="J90" s="123">
        <v>1223002801</v>
      </c>
      <c r="K90" s="123">
        <v>250</v>
      </c>
      <c r="L90" s="123">
        <v>40</v>
      </c>
      <c r="M90" s="123">
        <f t="shared" si="52"/>
        <v>10000</v>
      </c>
      <c r="N90" s="20">
        <v>45104</v>
      </c>
      <c r="O90" s="123" t="s">
        <v>220</v>
      </c>
      <c r="P90" s="123" t="s">
        <v>144</v>
      </c>
      <c r="Q90" s="123" t="s">
        <v>30</v>
      </c>
      <c r="R90" s="123" t="s">
        <v>383</v>
      </c>
      <c r="S90" s="23">
        <v>221610784281</v>
      </c>
      <c r="T90" s="20">
        <v>45104</v>
      </c>
      <c r="U90" s="123"/>
      <c r="V90" s="123">
        <v>253</v>
      </c>
      <c r="W90" s="24">
        <v>45104.729166666664</v>
      </c>
      <c r="X90" s="24">
        <v>45104.791666666664</v>
      </c>
      <c r="Y90" s="25">
        <f t="shared" si="53"/>
        <v>6.25E-2</v>
      </c>
      <c r="Z90" s="24">
        <v>45104.770833333336</v>
      </c>
      <c r="AA90" s="24">
        <v>45104.784722222219</v>
      </c>
      <c r="AB90" s="25">
        <f t="shared" si="54"/>
        <v>1.3888888883229811E-2</v>
      </c>
    </row>
    <row r="91" spans="1:28" x14ac:dyDescent="0.25">
      <c r="A91" s="12">
        <v>45078</v>
      </c>
      <c r="B91" s="123" t="s">
        <v>384</v>
      </c>
      <c r="C91" s="20">
        <v>45104</v>
      </c>
      <c r="D91" s="123">
        <v>5936674</v>
      </c>
      <c r="E91" s="123" t="s">
        <v>385</v>
      </c>
      <c r="F91" s="123" t="s">
        <v>386</v>
      </c>
      <c r="G91" s="123" t="s">
        <v>192</v>
      </c>
      <c r="H91" s="17">
        <v>5210162</v>
      </c>
      <c r="I91" s="17" t="s">
        <v>24</v>
      </c>
      <c r="J91" s="123" t="s">
        <v>77</v>
      </c>
      <c r="K91" s="123">
        <v>25</v>
      </c>
      <c r="L91" s="123">
        <v>59</v>
      </c>
      <c r="M91" s="123">
        <f t="shared" si="52"/>
        <v>1475</v>
      </c>
      <c r="N91" s="20">
        <v>45105</v>
      </c>
      <c r="O91" s="123" t="s">
        <v>259</v>
      </c>
      <c r="P91" s="123" t="s">
        <v>144</v>
      </c>
      <c r="Q91" s="123" t="s">
        <v>30</v>
      </c>
      <c r="R91" s="123" t="s">
        <v>387</v>
      </c>
      <c r="S91" s="23">
        <v>201611214851</v>
      </c>
      <c r="T91" s="20">
        <v>45105</v>
      </c>
      <c r="U91" s="123"/>
      <c r="V91" s="123">
        <v>254</v>
      </c>
      <c r="W91" s="24">
        <v>45105.659722222219</v>
      </c>
      <c r="X91" s="24">
        <v>45105.6875</v>
      </c>
      <c r="Y91" s="25">
        <f t="shared" si="53"/>
        <v>2.7777777781011537E-2</v>
      </c>
      <c r="Z91" s="24">
        <v>45105.666666666664</v>
      </c>
      <c r="AA91" s="24">
        <v>45105.680555555555</v>
      </c>
      <c r="AB91" s="25">
        <f t="shared" si="54"/>
        <v>1.3888888890505768E-2</v>
      </c>
    </row>
    <row r="92" spans="1:28" x14ac:dyDescent="0.25">
      <c r="A92" s="12">
        <v>45078</v>
      </c>
      <c r="B92" s="123" t="s">
        <v>384</v>
      </c>
      <c r="C92" s="20">
        <v>45104</v>
      </c>
      <c r="D92" s="123">
        <v>6416249</v>
      </c>
      <c r="E92" s="123" t="s">
        <v>385</v>
      </c>
      <c r="F92" s="123" t="s">
        <v>386</v>
      </c>
      <c r="G92" s="123" t="s">
        <v>192</v>
      </c>
      <c r="H92" s="17">
        <v>5210162</v>
      </c>
      <c r="I92" s="17" t="s">
        <v>24</v>
      </c>
      <c r="J92" s="123" t="s">
        <v>376</v>
      </c>
      <c r="K92" s="123">
        <v>25</v>
      </c>
      <c r="L92" s="123">
        <v>141</v>
      </c>
      <c r="M92" s="123">
        <f t="shared" ref="M92" si="55">+L92*K92</f>
        <v>3525</v>
      </c>
      <c r="N92" s="20">
        <v>45105</v>
      </c>
      <c r="O92" s="123" t="s">
        <v>259</v>
      </c>
      <c r="P92" s="123" t="s">
        <v>144</v>
      </c>
      <c r="Q92" s="123" t="s">
        <v>30</v>
      </c>
      <c r="R92" s="123" t="s">
        <v>387</v>
      </c>
      <c r="S92" s="23">
        <v>201611214851</v>
      </c>
      <c r="T92" s="20">
        <v>45105</v>
      </c>
      <c r="U92" s="123"/>
      <c r="V92" s="123">
        <v>254</v>
      </c>
      <c r="W92" s="24">
        <v>45105.659722222219</v>
      </c>
      <c r="X92" s="24">
        <v>45105.6875</v>
      </c>
      <c r="Y92" s="25">
        <f t="shared" ref="Y92" si="56">+X92-W92</f>
        <v>2.7777777781011537E-2</v>
      </c>
      <c r="Z92" s="24">
        <v>45105.666666666664</v>
      </c>
      <c r="AA92" s="24">
        <v>45105.680555555555</v>
      </c>
      <c r="AB92" s="25">
        <f t="shared" ref="AB92" si="57">+AA92-Z92</f>
        <v>1.3888888890505768E-2</v>
      </c>
    </row>
    <row r="93" spans="1:28" x14ac:dyDescent="0.25">
      <c r="A93" s="12">
        <v>45078</v>
      </c>
      <c r="B93" s="123" t="s">
        <v>388</v>
      </c>
      <c r="C93" s="20">
        <v>45105</v>
      </c>
      <c r="D93" s="123">
        <v>6137358</v>
      </c>
      <c r="E93" s="123" t="s">
        <v>191</v>
      </c>
      <c r="F93" s="123" t="s">
        <v>135</v>
      </c>
      <c r="G93" s="123" t="s">
        <v>192</v>
      </c>
      <c r="H93" s="17">
        <v>5212252</v>
      </c>
      <c r="I93" s="17" t="s">
        <v>23</v>
      </c>
      <c r="J93" s="123" t="s">
        <v>313</v>
      </c>
      <c r="K93" s="123">
        <v>25</v>
      </c>
      <c r="L93" s="123">
        <v>200</v>
      </c>
      <c r="M93" s="123">
        <f t="shared" si="52"/>
        <v>5000</v>
      </c>
      <c r="N93" s="20">
        <v>45105</v>
      </c>
      <c r="O93" s="123" t="s">
        <v>136</v>
      </c>
      <c r="P93" s="123" t="s">
        <v>144</v>
      </c>
      <c r="Q93" s="123" t="s">
        <v>30</v>
      </c>
      <c r="R93" s="123" t="s">
        <v>330</v>
      </c>
      <c r="S93" s="23">
        <v>231611270089</v>
      </c>
      <c r="T93" s="20">
        <v>45105</v>
      </c>
      <c r="U93" s="123"/>
      <c r="V93" s="123">
        <v>255</v>
      </c>
      <c r="W93" s="24">
        <v>45105.680555555555</v>
      </c>
      <c r="X93" s="24">
        <v>45105.715277777781</v>
      </c>
      <c r="Y93" s="25">
        <f t="shared" si="53"/>
        <v>3.4722222226264421E-2</v>
      </c>
      <c r="Z93" s="24">
        <v>45105.6875</v>
      </c>
      <c r="AA93" s="24">
        <v>45105.708333333336</v>
      </c>
      <c r="AB93" s="25">
        <f t="shared" si="54"/>
        <v>2.0833333335758653E-2</v>
      </c>
    </row>
    <row r="94" spans="1:28" x14ac:dyDescent="0.25">
      <c r="A94" s="12">
        <v>45078</v>
      </c>
      <c r="B94" s="123" t="s">
        <v>389</v>
      </c>
      <c r="C94" s="20">
        <v>45104</v>
      </c>
      <c r="D94" s="123">
        <v>5743038</v>
      </c>
      <c r="E94" s="123" t="s">
        <v>191</v>
      </c>
      <c r="F94" s="123" t="s">
        <v>135</v>
      </c>
      <c r="G94" s="123" t="s">
        <v>192</v>
      </c>
      <c r="H94" s="17">
        <v>5212259</v>
      </c>
      <c r="I94" s="17" t="s">
        <v>26</v>
      </c>
      <c r="J94" s="123" t="s">
        <v>87</v>
      </c>
      <c r="K94" s="123">
        <v>25</v>
      </c>
      <c r="L94" s="123">
        <v>200</v>
      </c>
      <c r="M94" s="123">
        <f t="shared" si="52"/>
        <v>5000</v>
      </c>
      <c r="N94" s="20">
        <v>45105</v>
      </c>
      <c r="O94" s="123" t="s">
        <v>136</v>
      </c>
      <c r="P94" s="123" t="s">
        <v>144</v>
      </c>
      <c r="Q94" s="123" t="s">
        <v>30</v>
      </c>
      <c r="R94" s="123" t="s">
        <v>330</v>
      </c>
      <c r="S94" s="23">
        <v>271611277686</v>
      </c>
      <c r="T94" s="20">
        <v>45105</v>
      </c>
      <c r="U94" s="123"/>
      <c r="V94" s="123">
        <v>255</v>
      </c>
      <c r="W94" s="24">
        <v>45105.680555555555</v>
      </c>
      <c r="X94" s="24">
        <v>45105.715277777781</v>
      </c>
      <c r="Y94" s="25">
        <f t="shared" ref="Y94:Y97" si="58">+X94-W94</f>
        <v>3.4722222226264421E-2</v>
      </c>
      <c r="Z94" s="24">
        <v>45105.6875</v>
      </c>
      <c r="AA94" s="24">
        <v>45105.708333333336</v>
      </c>
      <c r="AB94" s="25">
        <f t="shared" ref="AB94:AB97" si="59">+AA94-Z94</f>
        <v>2.0833333335758653E-2</v>
      </c>
    </row>
    <row r="95" spans="1:28" x14ac:dyDescent="0.25">
      <c r="A95" s="12">
        <v>45078</v>
      </c>
      <c r="B95" s="123" t="s">
        <v>390</v>
      </c>
      <c r="C95" s="20">
        <v>45103</v>
      </c>
      <c r="D95" s="123">
        <v>6087743</v>
      </c>
      <c r="E95" s="123" t="s">
        <v>356</v>
      </c>
      <c r="F95" s="123" t="s">
        <v>327</v>
      </c>
      <c r="G95" s="123" t="s">
        <v>132</v>
      </c>
      <c r="H95" s="17">
        <v>5309040</v>
      </c>
      <c r="I95" s="17" t="s">
        <v>105</v>
      </c>
      <c r="J95" s="123" t="s">
        <v>107</v>
      </c>
      <c r="K95" s="123">
        <v>250</v>
      </c>
      <c r="L95" s="123">
        <v>80</v>
      </c>
      <c r="M95" s="123">
        <f t="shared" si="52"/>
        <v>20000</v>
      </c>
      <c r="N95" s="20">
        <v>45105</v>
      </c>
      <c r="O95" s="123" t="s">
        <v>136</v>
      </c>
      <c r="P95" s="123" t="s">
        <v>134</v>
      </c>
      <c r="Q95" s="123" t="s">
        <v>30</v>
      </c>
      <c r="R95" s="123" t="s">
        <v>391</v>
      </c>
      <c r="S95" s="23">
        <v>221610091631</v>
      </c>
      <c r="T95" s="20">
        <v>45105</v>
      </c>
      <c r="U95" s="123"/>
      <c r="V95" s="123">
        <v>256</v>
      </c>
      <c r="W95" s="24">
        <v>45105.576388888891</v>
      </c>
      <c r="X95" s="24">
        <v>45105.673611111109</v>
      </c>
      <c r="Y95" s="25">
        <f t="shared" si="58"/>
        <v>9.7222222218988463E-2</v>
      </c>
      <c r="Z95" s="24">
        <v>45105.583333333336</v>
      </c>
      <c r="AA95" s="24">
        <v>45105.666666666664</v>
      </c>
      <c r="AB95" s="25">
        <f t="shared" si="59"/>
        <v>8.3333333328482695E-2</v>
      </c>
    </row>
    <row r="96" spans="1:28" x14ac:dyDescent="0.25">
      <c r="A96" s="12">
        <v>45078</v>
      </c>
      <c r="B96" s="123" t="s">
        <v>392</v>
      </c>
      <c r="C96" s="20">
        <v>45105</v>
      </c>
      <c r="D96" s="123">
        <v>5690252</v>
      </c>
      <c r="E96" s="123" t="s">
        <v>342</v>
      </c>
      <c r="F96" s="123" t="s">
        <v>343</v>
      </c>
      <c r="G96" s="123" t="s">
        <v>132</v>
      </c>
      <c r="H96" s="17">
        <v>5200193</v>
      </c>
      <c r="I96" s="17" t="s">
        <v>41</v>
      </c>
      <c r="J96" s="123">
        <v>1223002801</v>
      </c>
      <c r="K96" s="123">
        <v>250</v>
      </c>
      <c r="L96" s="123">
        <v>32</v>
      </c>
      <c r="M96" s="123">
        <f t="shared" si="52"/>
        <v>8000</v>
      </c>
      <c r="N96" s="20">
        <v>45105</v>
      </c>
      <c r="O96" s="123" t="s">
        <v>177</v>
      </c>
      <c r="P96" s="123" t="s">
        <v>134</v>
      </c>
      <c r="Q96" s="123">
        <v>2162</v>
      </c>
      <c r="R96" s="123" t="s">
        <v>393</v>
      </c>
      <c r="S96" s="23">
        <v>251611368591</v>
      </c>
      <c r="T96" s="20">
        <v>45105</v>
      </c>
      <c r="U96" s="123"/>
      <c r="V96" s="123">
        <v>257</v>
      </c>
      <c r="W96" s="24">
        <v>45105.715277777781</v>
      </c>
      <c r="X96" s="24">
        <v>45105.736111111109</v>
      </c>
      <c r="Y96" s="25">
        <f t="shared" si="58"/>
        <v>2.0833333328482695E-2</v>
      </c>
      <c r="Z96" s="24">
        <v>45105.715277777781</v>
      </c>
      <c r="AA96" s="24">
        <v>45105.729166666664</v>
      </c>
      <c r="AB96" s="25">
        <f t="shared" si="59"/>
        <v>1.3888888883229811E-2</v>
      </c>
    </row>
    <row r="97" spans="1:28" x14ac:dyDescent="0.25">
      <c r="A97" s="12">
        <v>45078</v>
      </c>
      <c r="B97" s="123" t="s">
        <v>394</v>
      </c>
      <c r="C97" s="20">
        <v>45104</v>
      </c>
      <c r="D97" s="123">
        <v>6416249</v>
      </c>
      <c r="E97" s="123" t="s">
        <v>395</v>
      </c>
      <c r="F97" s="123" t="s">
        <v>396</v>
      </c>
      <c r="G97" s="123" t="s">
        <v>192</v>
      </c>
      <c r="H97" s="17">
        <v>5210162</v>
      </c>
      <c r="I97" s="17" t="s">
        <v>24</v>
      </c>
      <c r="J97" s="123" t="s">
        <v>376</v>
      </c>
      <c r="K97" s="123">
        <v>25</v>
      </c>
      <c r="L97" s="123">
        <v>200</v>
      </c>
      <c r="M97" s="123">
        <f t="shared" si="52"/>
        <v>5000</v>
      </c>
      <c r="N97" s="20">
        <v>45105</v>
      </c>
      <c r="O97" s="123" t="s">
        <v>177</v>
      </c>
      <c r="P97" s="123" t="s">
        <v>134</v>
      </c>
      <c r="Q97" s="123">
        <v>2164</v>
      </c>
      <c r="R97" s="123" t="s">
        <v>397</v>
      </c>
      <c r="S97" s="23">
        <v>271611372259</v>
      </c>
      <c r="T97" s="20">
        <v>45105</v>
      </c>
      <c r="U97" s="123"/>
      <c r="V97" s="123">
        <v>258</v>
      </c>
      <c r="W97" s="24">
        <v>45105.791666666664</v>
      </c>
      <c r="X97" s="24">
        <v>45105.840277777781</v>
      </c>
      <c r="Y97" s="25">
        <f t="shared" si="58"/>
        <v>4.8611111116770189E-2</v>
      </c>
      <c r="Z97" s="24">
        <v>45105.791666666664</v>
      </c>
      <c r="AA97" s="24">
        <v>45105.833333333336</v>
      </c>
      <c r="AB97" s="25">
        <f t="shared" si="59"/>
        <v>4.1666666671517305E-2</v>
      </c>
    </row>
    <row r="98" spans="1:28" x14ac:dyDescent="0.25">
      <c r="A98" s="12">
        <v>45078</v>
      </c>
      <c r="B98" s="123" t="s">
        <v>394</v>
      </c>
      <c r="C98" s="20">
        <v>45104</v>
      </c>
      <c r="D98" s="123">
        <v>5772525</v>
      </c>
      <c r="E98" s="123" t="s">
        <v>395</v>
      </c>
      <c r="F98" s="123" t="s">
        <v>396</v>
      </c>
      <c r="G98" s="123" t="s">
        <v>192</v>
      </c>
      <c r="H98" s="17">
        <v>5210933</v>
      </c>
      <c r="I98" s="17" t="s">
        <v>21</v>
      </c>
      <c r="J98" s="123" t="s">
        <v>90</v>
      </c>
      <c r="K98" s="123">
        <v>25</v>
      </c>
      <c r="L98" s="123">
        <v>64</v>
      </c>
      <c r="M98" s="123">
        <f t="shared" si="52"/>
        <v>1600</v>
      </c>
      <c r="N98" s="20">
        <v>45105</v>
      </c>
      <c r="O98" s="123" t="s">
        <v>177</v>
      </c>
      <c r="P98" s="123" t="s">
        <v>134</v>
      </c>
      <c r="Q98" s="123">
        <v>2164</v>
      </c>
      <c r="R98" s="123" t="s">
        <v>397</v>
      </c>
      <c r="S98" s="23">
        <v>271611372259</v>
      </c>
      <c r="T98" s="20">
        <v>45105</v>
      </c>
      <c r="U98" s="123"/>
      <c r="V98" s="123">
        <v>258</v>
      </c>
      <c r="W98" s="24">
        <v>45105.791666666664</v>
      </c>
      <c r="X98" s="24">
        <v>45105.840277777781</v>
      </c>
      <c r="Y98" s="25">
        <f t="shared" ref="Y98" si="60">+X98-W98</f>
        <v>4.8611111116770189E-2</v>
      </c>
      <c r="Z98" s="24">
        <v>45105.791666666664</v>
      </c>
      <c r="AA98" s="24">
        <v>45105.833333333336</v>
      </c>
      <c r="AB98" s="25">
        <f t="shared" ref="AB98" si="61">+AA98-Z98</f>
        <v>4.1666666671517305E-2</v>
      </c>
    </row>
    <row r="99" spans="1:28" x14ac:dyDescent="0.25">
      <c r="A99" s="12">
        <v>45078</v>
      </c>
      <c r="B99" s="123" t="s">
        <v>394</v>
      </c>
      <c r="C99" s="20">
        <v>45104</v>
      </c>
      <c r="D99" s="123">
        <v>5936674</v>
      </c>
      <c r="E99" s="123" t="s">
        <v>395</v>
      </c>
      <c r="F99" s="123" t="s">
        <v>396</v>
      </c>
      <c r="G99" s="123" t="s">
        <v>192</v>
      </c>
      <c r="H99" s="17">
        <v>5210933</v>
      </c>
      <c r="I99" s="17" t="s">
        <v>21</v>
      </c>
      <c r="J99" s="123" t="s">
        <v>90</v>
      </c>
      <c r="K99" s="123">
        <v>25</v>
      </c>
      <c r="L99" s="123">
        <v>56</v>
      </c>
      <c r="M99" s="123">
        <f t="shared" ref="M99" si="62">+L99*K99</f>
        <v>1400</v>
      </c>
      <c r="N99" s="20">
        <v>45105</v>
      </c>
      <c r="O99" s="123" t="s">
        <v>177</v>
      </c>
      <c r="P99" s="123" t="s">
        <v>134</v>
      </c>
      <c r="Q99" s="123">
        <v>2164</v>
      </c>
      <c r="R99" s="123" t="s">
        <v>397</v>
      </c>
      <c r="S99" s="23">
        <v>271611372259</v>
      </c>
      <c r="T99" s="20">
        <v>45105</v>
      </c>
      <c r="U99" s="123"/>
      <c r="V99" s="123">
        <v>258</v>
      </c>
      <c r="W99" s="24">
        <v>45105.791666666664</v>
      </c>
      <c r="X99" s="24">
        <v>45105.840277777781</v>
      </c>
      <c r="Y99" s="25">
        <f t="shared" ref="Y99:Y100" si="63">+X99-W99</f>
        <v>4.8611111116770189E-2</v>
      </c>
      <c r="Z99" s="24">
        <v>45105.791666666664</v>
      </c>
      <c r="AA99" s="24">
        <v>45105.833333333336</v>
      </c>
      <c r="AB99" s="25">
        <f t="shared" ref="AB99:AB100" si="64">+AA99-Z99</f>
        <v>4.1666666671517305E-2</v>
      </c>
    </row>
    <row r="100" spans="1:28" x14ac:dyDescent="0.25">
      <c r="A100" s="12">
        <v>45078</v>
      </c>
      <c r="B100" s="123" t="s">
        <v>398</v>
      </c>
      <c r="C100" s="20">
        <v>45105</v>
      </c>
      <c r="D100" s="123">
        <v>5743118</v>
      </c>
      <c r="E100" s="123" t="s">
        <v>385</v>
      </c>
      <c r="F100" s="123" t="s">
        <v>386</v>
      </c>
      <c r="G100" s="123" t="s">
        <v>192</v>
      </c>
      <c r="H100" s="17">
        <v>5211013</v>
      </c>
      <c r="I100" s="17" t="s">
        <v>27</v>
      </c>
      <c r="J100" s="123" t="s">
        <v>84</v>
      </c>
      <c r="K100" s="123">
        <v>25</v>
      </c>
      <c r="L100" s="123">
        <v>308</v>
      </c>
      <c r="M100" s="123">
        <f t="shared" si="52"/>
        <v>7700</v>
      </c>
      <c r="N100" s="20">
        <v>45105</v>
      </c>
      <c r="O100" s="123" t="s">
        <v>399</v>
      </c>
      <c r="P100" s="123" t="s">
        <v>134</v>
      </c>
      <c r="Q100" s="123">
        <v>2163</v>
      </c>
      <c r="R100" s="123" t="s">
        <v>400</v>
      </c>
      <c r="S100" s="23">
        <v>211611370255</v>
      </c>
      <c r="T100" s="20">
        <v>45105</v>
      </c>
      <c r="U100" s="123"/>
      <c r="V100" s="123">
        <v>259</v>
      </c>
      <c r="W100" s="24">
        <v>45105.770833333336</v>
      </c>
      <c r="X100" s="24">
        <v>45105.916666666664</v>
      </c>
      <c r="Y100" s="25">
        <f t="shared" si="63"/>
        <v>0.14583333332848269</v>
      </c>
      <c r="Z100" s="24">
        <v>45105.777777777781</v>
      </c>
      <c r="AA100" s="24">
        <v>45105.909722222219</v>
      </c>
      <c r="AB100" s="25">
        <f t="shared" si="64"/>
        <v>0.13194444443797693</v>
      </c>
    </row>
    <row r="101" spans="1:28" x14ac:dyDescent="0.25">
      <c r="A101" s="12">
        <v>45078</v>
      </c>
      <c r="B101" s="123" t="s">
        <v>398</v>
      </c>
      <c r="C101" s="20">
        <v>45105</v>
      </c>
      <c r="D101" s="123">
        <v>5772525</v>
      </c>
      <c r="E101" s="123" t="s">
        <v>385</v>
      </c>
      <c r="F101" s="123" t="s">
        <v>386</v>
      </c>
      <c r="G101" s="123" t="s">
        <v>192</v>
      </c>
      <c r="H101" s="17">
        <v>5211013</v>
      </c>
      <c r="I101" s="17" t="s">
        <v>27</v>
      </c>
      <c r="J101" s="123" t="s">
        <v>91</v>
      </c>
      <c r="K101" s="123">
        <v>25</v>
      </c>
      <c r="L101" s="123">
        <v>892</v>
      </c>
      <c r="M101" s="123">
        <f t="shared" ref="M101:M114" si="65">+L101*K101</f>
        <v>22300</v>
      </c>
      <c r="N101" s="20">
        <v>45105</v>
      </c>
      <c r="O101" s="123" t="s">
        <v>399</v>
      </c>
      <c r="P101" s="123" t="s">
        <v>134</v>
      </c>
      <c r="Q101" s="123">
        <v>2163</v>
      </c>
      <c r="R101" s="123" t="s">
        <v>400</v>
      </c>
      <c r="S101" s="23">
        <v>211611370255</v>
      </c>
      <c r="T101" s="20">
        <v>45105</v>
      </c>
      <c r="U101" s="123"/>
      <c r="V101" s="123">
        <v>259</v>
      </c>
      <c r="W101" s="24">
        <v>45105.770833333336</v>
      </c>
      <c r="X101" s="24">
        <v>45105.916666666664</v>
      </c>
      <c r="Y101" s="25">
        <f t="shared" ref="Y101:Y106" si="66">+X101-W101</f>
        <v>0.14583333332848269</v>
      </c>
      <c r="Z101" s="24">
        <v>45105.777777777781</v>
      </c>
      <c r="AA101" s="24">
        <v>45105.909722222219</v>
      </c>
      <c r="AB101" s="25">
        <f t="shared" ref="AB101:AB106" si="67">+AA101-Z101</f>
        <v>0.13194444443797693</v>
      </c>
    </row>
    <row r="102" spans="1:28" x14ac:dyDescent="0.25">
      <c r="A102" s="12">
        <v>45078</v>
      </c>
      <c r="B102" s="123" t="s">
        <v>401</v>
      </c>
      <c r="C102" s="20">
        <v>45105</v>
      </c>
      <c r="D102" s="123">
        <v>5690252</v>
      </c>
      <c r="E102" s="123" t="s">
        <v>342</v>
      </c>
      <c r="F102" s="123" t="s">
        <v>343</v>
      </c>
      <c r="G102" s="123" t="s">
        <v>132</v>
      </c>
      <c r="H102" s="17">
        <v>5200193</v>
      </c>
      <c r="I102" s="17" t="s">
        <v>41</v>
      </c>
      <c r="J102" s="123">
        <v>1223002801</v>
      </c>
      <c r="K102" s="123">
        <v>250</v>
      </c>
      <c r="L102" s="123">
        <v>32</v>
      </c>
      <c r="M102" s="123">
        <f t="shared" si="65"/>
        <v>8000</v>
      </c>
      <c r="N102" s="20">
        <v>45106</v>
      </c>
      <c r="O102" s="123" t="s">
        <v>177</v>
      </c>
      <c r="P102" s="123" t="s">
        <v>134</v>
      </c>
      <c r="Q102" s="123">
        <v>2165</v>
      </c>
      <c r="R102" s="123" t="s">
        <v>402</v>
      </c>
      <c r="S102" s="23">
        <v>251611762540</v>
      </c>
      <c r="T102" s="20">
        <v>45106</v>
      </c>
      <c r="U102" s="123"/>
      <c r="V102" s="123">
        <v>260</v>
      </c>
      <c r="W102" s="24">
        <v>45106.659722222219</v>
      </c>
      <c r="X102" s="24">
        <v>45106.6875</v>
      </c>
      <c r="Y102" s="25">
        <f t="shared" si="66"/>
        <v>2.7777777781011537E-2</v>
      </c>
      <c r="Z102" s="24">
        <v>45106.666666666664</v>
      </c>
      <c r="AA102" s="24">
        <v>45106.680555555555</v>
      </c>
      <c r="AB102" s="25">
        <f t="shared" si="67"/>
        <v>1.3888888890505768E-2</v>
      </c>
    </row>
    <row r="103" spans="1:28" x14ac:dyDescent="0.25">
      <c r="A103" s="12">
        <v>45078</v>
      </c>
      <c r="B103" s="123" t="s">
        <v>403</v>
      </c>
      <c r="C103" s="20">
        <v>45106</v>
      </c>
      <c r="D103" s="123">
        <v>5080127</v>
      </c>
      <c r="E103" s="123" t="s">
        <v>196</v>
      </c>
      <c r="F103" s="123" t="s">
        <v>197</v>
      </c>
      <c r="G103" s="123" t="s">
        <v>132</v>
      </c>
      <c r="H103" s="17">
        <v>5230831</v>
      </c>
      <c r="I103" s="17" t="s">
        <v>35</v>
      </c>
      <c r="J103" s="21" t="s">
        <v>59</v>
      </c>
      <c r="K103" s="123">
        <v>240</v>
      </c>
      <c r="L103" s="123">
        <v>40</v>
      </c>
      <c r="M103" s="123">
        <f t="shared" si="65"/>
        <v>9600</v>
      </c>
      <c r="N103" s="20">
        <v>45106</v>
      </c>
      <c r="O103" s="123" t="s">
        <v>136</v>
      </c>
      <c r="P103" s="123" t="s">
        <v>144</v>
      </c>
      <c r="Q103" s="123" t="s">
        <v>30</v>
      </c>
      <c r="R103" s="123" t="s">
        <v>404</v>
      </c>
      <c r="S103" s="23">
        <v>271611809393</v>
      </c>
      <c r="T103" s="20">
        <v>45106</v>
      </c>
      <c r="U103" s="123"/>
      <c r="V103" s="123">
        <v>261</v>
      </c>
      <c r="W103" s="24">
        <v>45106.694444444445</v>
      </c>
      <c r="X103" s="24">
        <v>45106.736111111109</v>
      </c>
      <c r="Y103" s="25">
        <f t="shared" si="66"/>
        <v>4.1666666664241347E-2</v>
      </c>
      <c r="Z103" s="24">
        <v>45106.701388888891</v>
      </c>
      <c r="AA103" s="24">
        <v>45106.729166666664</v>
      </c>
      <c r="AB103" s="25">
        <f t="shared" si="67"/>
        <v>2.7777777773735579E-2</v>
      </c>
    </row>
    <row r="104" spans="1:28" x14ac:dyDescent="0.25">
      <c r="A104" s="12">
        <v>45078</v>
      </c>
      <c r="B104" s="123" t="s">
        <v>405</v>
      </c>
      <c r="C104" s="20">
        <v>45106</v>
      </c>
      <c r="D104" s="123">
        <v>2988726</v>
      </c>
      <c r="E104" s="123" t="s">
        <v>406</v>
      </c>
      <c r="F104" s="123" t="s">
        <v>407</v>
      </c>
      <c r="G104" s="123" t="s">
        <v>132</v>
      </c>
      <c r="H104" s="17">
        <v>5303117</v>
      </c>
      <c r="I104" s="17" t="s">
        <v>36</v>
      </c>
      <c r="J104" s="21" t="s">
        <v>37</v>
      </c>
      <c r="K104" s="123">
        <v>210</v>
      </c>
      <c r="L104" s="123">
        <v>1</v>
      </c>
      <c r="M104" s="123">
        <f t="shared" si="65"/>
        <v>210</v>
      </c>
      <c r="N104" s="20">
        <v>45106</v>
      </c>
      <c r="O104" s="123" t="s">
        <v>186</v>
      </c>
      <c r="P104" s="123" t="s">
        <v>187</v>
      </c>
      <c r="Q104" s="123" t="s">
        <v>30</v>
      </c>
      <c r="R104" s="123" t="s">
        <v>408</v>
      </c>
      <c r="S104" s="23" t="s">
        <v>409</v>
      </c>
      <c r="T104" s="20">
        <v>45106</v>
      </c>
      <c r="U104" s="123"/>
      <c r="V104" s="123">
        <v>262</v>
      </c>
      <c r="W104" s="24">
        <v>45106.743055555555</v>
      </c>
      <c r="X104" s="24">
        <v>45106.760416666664</v>
      </c>
      <c r="Y104" s="25">
        <f t="shared" si="66"/>
        <v>1.7361111109494232E-2</v>
      </c>
      <c r="Z104" s="24">
        <v>45106.75</v>
      </c>
      <c r="AA104" s="24">
        <v>45106.753472222219</v>
      </c>
      <c r="AB104" s="25">
        <f t="shared" si="67"/>
        <v>3.4722222189884633E-3</v>
      </c>
    </row>
    <row r="105" spans="1:28" x14ac:dyDescent="0.25">
      <c r="A105" s="12">
        <v>45078</v>
      </c>
      <c r="B105" s="123" t="s">
        <v>416</v>
      </c>
      <c r="C105" s="20">
        <v>45105</v>
      </c>
      <c r="D105" s="123">
        <v>5851097</v>
      </c>
      <c r="E105" s="123" t="s">
        <v>420</v>
      </c>
      <c r="F105" s="123" t="s">
        <v>423</v>
      </c>
      <c r="G105" s="123" t="s">
        <v>192</v>
      </c>
      <c r="H105" s="17">
        <v>5211013</v>
      </c>
      <c r="I105" s="123" t="s">
        <v>27</v>
      </c>
      <c r="J105" s="123" t="s">
        <v>96</v>
      </c>
      <c r="K105" s="123">
        <v>25</v>
      </c>
      <c r="L105" s="123">
        <v>800</v>
      </c>
      <c r="M105" s="123">
        <f>+L105*K105</f>
        <v>20000</v>
      </c>
      <c r="N105" s="20">
        <v>45107</v>
      </c>
      <c r="O105" s="123" t="s">
        <v>425</v>
      </c>
      <c r="P105" s="123" t="s">
        <v>134</v>
      </c>
      <c r="Q105" s="123">
        <v>2166</v>
      </c>
      <c r="R105" s="123" t="s">
        <v>426</v>
      </c>
      <c r="S105" s="23">
        <v>271612131282</v>
      </c>
      <c r="T105" s="20">
        <v>45107</v>
      </c>
      <c r="U105" s="123"/>
      <c r="V105" s="123">
        <v>263</v>
      </c>
      <c r="W105" s="24">
        <v>45107.4375</v>
      </c>
      <c r="X105" s="24">
        <v>45107.569444444445</v>
      </c>
      <c r="Y105" s="25">
        <f t="shared" si="66"/>
        <v>0.13194444444525288</v>
      </c>
      <c r="Z105" s="24">
        <v>45107.458333333336</v>
      </c>
      <c r="AA105" s="24">
        <v>45107.5625</v>
      </c>
      <c r="AB105" s="25">
        <f t="shared" si="67"/>
        <v>0.10416666666424135</v>
      </c>
    </row>
    <row r="106" spans="1:28" x14ac:dyDescent="0.25">
      <c r="A106" s="12">
        <v>45078</v>
      </c>
      <c r="B106" s="123" t="s">
        <v>414</v>
      </c>
      <c r="C106" s="20">
        <v>45098</v>
      </c>
      <c r="D106" s="123">
        <v>5772525</v>
      </c>
      <c r="E106" s="123" t="s">
        <v>418</v>
      </c>
      <c r="F106" s="123" t="s">
        <v>421</v>
      </c>
      <c r="G106" s="123" t="s">
        <v>192</v>
      </c>
      <c r="H106" s="17">
        <v>5211013</v>
      </c>
      <c r="I106" s="123" t="s">
        <v>27</v>
      </c>
      <c r="J106" s="123" t="s">
        <v>91</v>
      </c>
      <c r="K106" s="123">
        <v>25</v>
      </c>
      <c r="L106" s="123">
        <v>148</v>
      </c>
      <c r="M106" s="123">
        <f t="shared" si="65"/>
        <v>3700</v>
      </c>
      <c r="N106" s="20">
        <v>45107</v>
      </c>
      <c r="O106" s="123" t="s">
        <v>424</v>
      </c>
      <c r="P106" s="123" t="s">
        <v>134</v>
      </c>
      <c r="Q106" s="123">
        <v>2168</v>
      </c>
      <c r="R106" s="123" t="s">
        <v>427</v>
      </c>
      <c r="S106" s="23">
        <v>211612133222</v>
      </c>
      <c r="T106" s="20">
        <v>45107</v>
      </c>
      <c r="U106" s="123"/>
      <c r="V106" s="123">
        <v>264</v>
      </c>
      <c r="W106" s="24">
        <v>45107.4375</v>
      </c>
      <c r="X106" s="24">
        <v>45107.5625</v>
      </c>
      <c r="Y106" s="25">
        <f t="shared" si="66"/>
        <v>0.125</v>
      </c>
      <c r="Z106" s="24">
        <v>45107.465277777781</v>
      </c>
      <c r="AA106" s="24">
        <v>45107.552083333336</v>
      </c>
      <c r="AB106" s="25">
        <f t="shared" si="67"/>
        <v>8.6805555554747116E-2</v>
      </c>
    </row>
    <row r="107" spans="1:28" x14ac:dyDescent="0.25">
      <c r="A107" s="12">
        <v>45078</v>
      </c>
      <c r="B107" s="123" t="s">
        <v>414</v>
      </c>
      <c r="C107" s="20">
        <v>45098</v>
      </c>
      <c r="D107" s="123">
        <v>5851097</v>
      </c>
      <c r="E107" s="123" t="s">
        <v>418</v>
      </c>
      <c r="F107" s="123" t="s">
        <v>421</v>
      </c>
      <c r="G107" s="123" t="s">
        <v>192</v>
      </c>
      <c r="H107" s="17">
        <v>5211013</v>
      </c>
      <c r="I107" s="123" t="s">
        <v>27</v>
      </c>
      <c r="J107" s="123" t="s">
        <v>96</v>
      </c>
      <c r="K107" s="123">
        <v>25</v>
      </c>
      <c r="L107" s="123">
        <v>12</v>
      </c>
      <c r="M107" s="123">
        <f t="shared" ref="M107" si="68">+L107*K107</f>
        <v>300</v>
      </c>
      <c r="N107" s="20">
        <v>45107</v>
      </c>
      <c r="O107" s="123" t="s">
        <v>424</v>
      </c>
      <c r="P107" s="123" t="s">
        <v>134</v>
      </c>
      <c r="Q107" s="123">
        <v>2168</v>
      </c>
      <c r="R107" s="123" t="s">
        <v>427</v>
      </c>
      <c r="S107" s="23">
        <v>211612133222</v>
      </c>
      <c r="T107" s="20">
        <v>45107</v>
      </c>
      <c r="U107" s="123"/>
      <c r="V107" s="123">
        <v>264</v>
      </c>
      <c r="W107" s="24">
        <v>45107.4375</v>
      </c>
      <c r="X107" s="24">
        <v>45107.5625</v>
      </c>
      <c r="Y107" s="25">
        <f t="shared" ref="Y107:Y111" si="69">+X107-W107</f>
        <v>0.125</v>
      </c>
      <c r="Z107" s="24">
        <v>45107.465277777781</v>
      </c>
      <c r="AA107" s="24">
        <v>45107.552083333336</v>
      </c>
      <c r="AB107" s="25">
        <f t="shared" ref="AB107:AB111" si="70">+AA107-Z107</f>
        <v>8.6805555554747116E-2</v>
      </c>
    </row>
    <row r="108" spans="1:28" x14ac:dyDescent="0.25">
      <c r="A108" s="12">
        <v>45078</v>
      </c>
      <c r="B108" s="123" t="s">
        <v>414</v>
      </c>
      <c r="C108" s="20">
        <v>45098</v>
      </c>
      <c r="D108" s="123">
        <v>5936674</v>
      </c>
      <c r="E108" s="123" t="s">
        <v>418</v>
      </c>
      <c r="F108" s="123" t="s">
        <v>421</v>
      </c>
      <c r="G108" s="123" t="s">
        <v>192</v>
      </c>
      <c r="H108" s="17">
        <v>5210933</v>
      </c>
      <c r="I108" s="123" t="s">
        <v>21</v>
      </c>
      <c r="J108" s="123" t="s">
        <v>90</v>
      </c>
      <c r="K108" s="123">
        <v>25</v>
      </c>
      <c r="L108" s="123">
        <v>240</v>
      </c>
      <c r="M108" s="123">
        <f t="shared" si="65"/>
        <v>6000</v>
      </c>
      <c r="N108" s="20">
        <v>45107</v>
      </c>
      <c r="O108" s="123" t="s">
        <v>424</v>
      </c>
      <c r="P108" s="123" t="s">
        <v>134</v>
      </c>
      <c r="Q108" s="123">
        <v>2168</v>
      </c>
      <c r="R108" s="123" t="s">
        <v>427</v>
      </c>
      <c r="S108" s="23">
        <v>211612133222</v>
      </c>
      <c r="T108" s="20">
        <v>45107</v>
      </c>
      <c r="U108" s="123"/>
      <c r="V108" s="123">
        <v>264</v>
      </c>
      <c r="W108" s="24">
        <v>45107.4375</v>
      </c>
      <c r="X108" s="24">
        <v>45107.5625</v>
      </c>
      <c r="Y108" s="25">
        <f t="shared" si="69"/>
        <v>0.125</v>
      </c>
      <c r="Z108" s="24">
        <v>45107.465277777781</v>
      </c>
      <c r="AA108" s="24">
        <v>45107.552083333336</v>
      </c>
      <c r="AB108" s="25">
        <f t="shared" si="70"/>
        <v>8.6805555554747116E-2</v>
      </c>
    </row>
    <row r="109" spans="1:28" x14ac:dyDescent="0.25">
      <c r="A109" s="12">
        <v>45078</v>
      </c>
      <c r="B109" s="123" t="s">
        <v>415</v>
      </c>
      <c r="C109" s="20">
        <v>45105</v>
      </c>
      <c r="D109" s="123">
        <v>5936674</v>
      </c>
      <c r="E109" s="123" t="s">
        <v>419</v>
      </c>
      <c r="F109" s="123" t="s">
        <v>422</v>
      </c>
      <c r="G109" s="123" t="s">
        <v>192</v>
      </c>
      <c r="H109" s="17">
        <v>5210933</v>
      </c>
      <c r="I109" s="123" t="s">
        <v>21</v>
      </c>
      <c r="J109" s="123" t="s">
        <v>90</v>
      </c>
      <c r="K109" s="123">
        <v>25</v>
      </c>
      <c r="L109" s="123">
        <v>200</v>
      </c>
      <c r="M109" s="123">
        <f t="shared" si="65"/>
        <v>5000</v>
      </c>
      <c r="N109" s="20">
        <v>45107</v>
      </c>
      <c r="O109" s="123" t="s">
        <v>424</v>
      </c>
      <c r="P109" s="123" t="s">
        <v>134</v>
      </c>
      <c r="Q109" s="123">
        <v>2167</v>
      </c>
      <c r="R109" s="123" t="s">
        <v>427</v>
      </c>
      <c r="S109" s="23">
        <v>201612135014</v>
      </c>
      <c r="T109" s="20">
        <v>45107</v>
      </c>
      <c r="U109" s="123"/>
      <c r="V109" s="123">
        <v>264</v>
      </c>
      <c r="W109" s="24">
        <v>45107.4375</v>
      </c>
      <c r="X109" s="24">
        <v>45107.5625</v>
      </c>
      <c r="Y109" s="25">
        <f t="shared" si="69"/>
        <v>0.125</v>
      </c>
      <c r="Z109" s="24">
        <v>45107.465277777781</v>
      </c>
      <c r="AA109" s="24">
        <v>45107.552083333336</v>
      </c>
      <c r="AB109" s="25">
        <f t="shared" si="70"/>
        <v>8.6805555554747116E-2</v>
      </c>
    </row>
    <row r="110" spans="1:28" x14ac:dyDescent="0.25">
      <c r="A110" s="12">
        <v>45078</v>
      </c>
      <c r="B110" s="123" t="s">
        <v>415</v>
      </c>
      <c r="C110" s="20">
        <v>45105</v>
      </c>
      <c r="D110" s="123">
        <v>5851097</v>
      </c>
      <c r="E110" s="123" t="s">
        <v>419</v>
      </c>
      <c r="F110" s="123" t="s">
        <v>422</v>
      </c>
      <c r="G110" s="123" t="s">
        <v>192</v>
      </c>
      <c r="H110" s="17">
        <v>5211013</v>
      </c>
      <c r="I110" s="123" t="s">
        <v>27</v>
      </c>
      <c r="J110" s="123" t="s">
        <v>96</v>
      </c>
      <c r="K110" s="123">
        <v>25</v>
      </c>
      <c r="L110" s="123">
        <v>120</v>
      </c>
      <c r="M110" s="123">
        <f t="shared" si="65"/>
        <v>3000</v>
      </c>
      <c r="N110" s="20">
        <v>45107</v>
      </c>
      <c r="O110" s="123" t="s">
        <v>424</v>
      </c>
      <c r="P110" s="123" t="s">
        <v>134</v>
      </c>
      <c r="Q110" s="123">
        <v>2167</v>
      </c>
      <c r="R110" s="123" t="s">
        <v>427</v>
      </c>
      <c r="S110" s="23">
        <v>201612135014</v>
      </c>
      <c r="T110" s="20">
        <v>45107</v>
      </c>
      <c r="U110" s="123"/>
      <c r="V110" s="123">
        <v>264</v>
      </c>
      <c r="W110" s="24">
        <v>45107.4375</v>
      </c>
      <c r="X110" s="24">
        <v>45107.5625</v>
      </c>
      <c r="Y110" s="25">
        <f t="shared" si="69"/>
        <v>0.125</v>
      </c>
      <c r="Z110" s="24">
        <v>45107.465277777781</v>
      </c>
      <c r="AA110" s="24">
        <v>45107.552083333336</v>
      </c>
      <c r="AB110" s="25">
        <f t="shared" si="70"/>
        <v>8.6805555554747116E-2</v>
      </c>
    </row>
    <row r="111" spans="1:28" x14ac:dyDescent="0.25">
      <c r="A111" s="12">
        <v>45078</v>
      </c>
      <c r="B111" s="123" t="s">
        <v>417</v>
      </c>
      <c r="C111" s="20">
        <v>45106</v>
      </c>
      <c r="D111" s="123">
        <v>5690252</v>
      </c>
      <c r="E111" s="123" t="s">
        <v>318</v>
      </c>
      <c r="F111" s="123" t="s">
        <v>319</v>
      </c>
      <c r="G111" s="123" t="s">
        <v>132</v>
      </c>
      <c r="H111" s="17">
        <v>5200193</v>
      </c>
      <c r="I111" s="123" t="s">
        <v>41</v>
      </c>
      <c r="J111" s="123">
        <v>1223002801</v>
      </c>
      <c r="K111" s="123">
        <v>250</v>
      </c>
      <c r="L111" s="123">
        <v>40</v>
      </c>
      <c r="M111" s="123">
        <f t="shared" si="65"/>
        <v>10000</v>
      </c>
      <c r="N111" s="20">
        <v>45107</v>
      </c>
      <c r="O111" s="123" t="s">
        <v>425</v>
      </c>
      <c r="P111" s="123" t="s">
        <v>134</v>
      </c>
      <c r="Q111" s="123">
        <v>2169</v>
      </c>
      <c r="R111" s="123" t="s">
        <v>428</v>
      </c>
      <c r="S111" s="23">
        <v>251612411162</v>
      </c>
      <c r="T111" s="20">
        <v>45107</v>
      </c>
      <c r="U111" s="123"/>
      <c r="V111" s="123">
        <v>265</v>
      </c>
      <c r="W111" s="24">
        <v>45107.770833333336</v>
      </c>
      <c r="X111" s="24">
        <v>45107.836805555555</v>
      </c>
      <c r="Y111" s="25">
        <f t="shared" si="69"/>
        <v>6.5972222218988463E-2</v>
      </c>
      <c r="Z111" s="24">
        <v>45107.777777777781</v>
      </c>
      <c r="AA111" s="24">
        <v>45107.833333333336</v>
      </c>
      <c r="AB111" s="25">
        <f t="shared" si="70"/>
        <v>5.5555555554747116E-2</v>
      </c>
    </row>
    <row r="112" spans="1:28" x14ac:dyDescent="0.25">
      <c r="A112" s="12">
        <v>45078</v>
      </c>
      <c r="B112" s="123" t="s">
        <v>429</v>
      </c>
      <c r="C112" s="20">
        <v>45107</v>
      </c>
      <c r="D112" s="123">
        <v>5080127</v>
      </c>
      <c r="E112" s="123" t="s">
        <v>322</v>
      </c>
      <c r="F112" s="123" t="s">
        <v>268</v>
      </c>
      <c r="G112" s="123" t="s">
        <v>132</v>
      </c>
      <c r="H112" s="17">
        <v>5230831</v>
      </c>
      <c r="I112" s="17" t="s">
        <v>35</v>
      </c>
      <c r="J112" s="21" t="s">
        <v>59</v>
      </c>
      <c r="K112" s="123">
        <v>240</v>
      </c>
      <c r="L112" s="123">
        <v>40</v>
      </c>
      <c r="M112" s="123">
        <f t="shared" si="65"/>
        <v>9600</v>
      </c>
      <c r="N112" s="20">
        <v>45107</v>
      </c>
      <c r="O112" s="123" t="s">
        <v>425</v>
      </c>
      <c r="P112" s="123" t="s">
        <v>134</v>
      </c>
      <c r="Q112" s="123">
        <v>2170</v>
      </c>
      <c r="R112" s="123" t="s">
        <v>428</v>
      </c>
      <c r="S112" s="23">
        <v>201612404943</v>
      </c>
      <c r="T112" s="20">
        <v>45107</v>
      </c>
      <c r="U112" s="123"/>
      <c r="V112" s="123">
        <v>265</v>
      </c>
      <c r="W112" s="24">
        <v>45107.770833333336</v>
      </c>
      <c r="X112" s="24">
        <v>45107.836805555555</v>
      </c>
      <c r="Y112" s="25">
        <f t="shared" ref="Y112:Y114" si="71">+X112-W112</f>
        <v>6.5972222218988463E-2</v>
      </c>
      <c r="Z112" s="24">
        <v>45107.777777777781</v>
      </c>
      <c r="AA112" s="24">
        <v>45107.833333333336</v>
      </c>
      <c r="AB112" s="25">
        <f t="shared" ref="AB112:AB114" si="72">+AA112-Z112</f>
        <v>5.5555555554747116E-2</v>
      </c>
    </row>
    <row r="113" spans="1:28" x14ac:dyDescent="0.25">
      <c r="A113" s="12">
        <v>45108</v>
      </c>
      <c r="B113" s="123" t="s">
        <v>440</v>
      </c>
      <c r="C113" s="20">
        <v>45107</v>
      </c>
      <c r="D113" s="123">
        <v>6137358</v>
      </c>
      <c r="E113" s="123" t="s">
        <v>191</v>
      </c>
      <c r="F113" s="123" t="s">
        <v>135</v>
      </c>
      <c r="G113" s="123" t="s">
        <v>192</v>
      </c>
      <c r="H113" s="17">
        <v>5212252</v>
      </c>
      <c r="I113" s="17" t="s">
        <v>23</v>
      </c>
      <c r="J113" s="123" t="s">
        <v>313</v>
      </c>
      <c r="K113" s="123">
        <v>25</v>
      </c>
      <c r="L113" s="123">
        <v>400</v>
      </c>
      <c r="M113" s="123">
        <f t="shared" si="65"/>
        <v>10000</v>
      </c>
      <c r="N113" s="20">
        <v>45108</v>
      </c>
      <c r="O113" s="123" t="s">
        <v>136</v>
      </c>
      <c r="P113" s="123" t="s">
        <v>144</v>
      </c>
      <c r="Q113" s="123" t="s">
        <v>30</v>
      </c>
      <c r="R113" s="123" t="s">
        <v>441</v>
      </c>
      <c r="S113" s="23">
        <v>241612729327</v>
      </c>
      <c r="T113" s="20">
        <v>45108</v>
      </c>
      <c r="U113" s="123"/>
      <c r="V113" s="123">
        <v>266</v>
      </c>
      <c r="W113" s="24">
        <v>45108.534722222219</v>
      </c>
      <c r="X113" s="24">
        <v>45108.5625</v>
      </c>
      <c r="Y113" s="25">
        <f t="shared" si="71"/>
        <v>2.7777777781011537E-2</v>
      </c>
      <c r="Z113" s="24">
        <v>45108.541666666664</v>
      </c>
      <c r="AA113" s="24">
        <v>45108.555555555555</v>
      </c>
      <c r="AB113" s="25">
        <f t="shared" si="72"/>
        <v>1.3888888890505768E-2</v>
      </c>
    </row>
    <row r="114" spans="1:28" x14ac:dyDescent="0.25">
      <c r="A114" s="12">
        <v>45108</v>
      </c>
      <c r="B114" s="123" t="s">
        <v>442</v>
      </c>
      <c r="C114" s="20">
        <v>45107</v>
      </c>
      <c r="D114" s="123">
        <v>6416376</v>
      </c>
      <c r="E114" s="123" t="s">
        <v>191</v>
      </c>
      <c r="F114" s="123" t="s">
        <v>135</v>
      </c>
      <c r="G114" s="123" t="s">
        <v>192</v>
      </c>
      <c r="H114" s="17">
        <v>5212252</v>
      </c>
      <c r="I114" s="17" t="s">
        <v>23</v>
      </c>
      <c r="J114" s="123" t="s">
        <v>365</v>
      </c>
      <c r="K114" s="123">
        <v>25</v>
      </c>
      <c r="L114" s="123">
        <v>80</v>
      </c>
      <c r="M114" s="123">
        <f t="shared" si="65"/>
        <v>2000</v>
      </c>
      <c r="N114" s="20">
        <v>45108</v>
      </c>
      <c r="O114" s="123" t="s">
        <v>399</v>
      </c>
      <c r="P114" s="123" t="s">
        <v>144</v>
      </c>
      <c r="Q114" s="123" t="s">
        <v>30</v>
      </c>
      <c r="R114" s="123" t="s">
        <v>443</v>
      </c>
      <c r="S114" s="23">
        <v>291612891267</v>
      </c>
      <c r="T114" s="20">
        <v>45108</v>
      </c>
      <c r="U114" s="123"/>
      <c r="V114" s="123">
        <v>267</v>
      </c>
      <c r="W114" s="24">
        <v>45108.388888888891</v>
      </c>
      <c r="X114" s="24">
        <v>45108.722222222219</v>
      </c>
      <c r="Y114" s="25">
        <f t="shared" si="71"/>
        <v>0.33333333332848269</v>
      </c>
      <c r="Z114" s="24">
        <v>45108.59375</v>
      </c>
      <c r="AA114" s="24">
        <v>45108.715277777781</v>
      </c>
      <c r="AB114" s="25">
        <f t="shared" si="72"/>
        <v>0.12152777778101154</v>
      </c>
    </row>
    <row r="115" spans="1:28" x14ac:dyDescent="0.25">
      <c r="A115" s="12">
        <v>45108</v>
      </c>
      <c r="B115" s="123" t="s">
        <v>442</v>
      </c>
      <c r="C115" s="20">
        <v>45107</v>
      </c>
      <c r="D115" s="123">
        <v>6416376</v>
      </c>
      <c r="E115" s="123" t="s">
        <v>191</v>
      </c>
      <c r="F115" s="123" t="s">
        <v>135</v>
      </c>
      <c r="G115" s="123" t="s">
        <v>192</v>
      </c>
      <c r="H115" s="17">
        <v>5212252</v>
      </c>
      <c r="I115" s="17" t="s">
        <v>23</v>
      </c>
      <c r="J115" s="123" t="s">
        <v>365</v>
      </c>
      <c r="K115" s="123">
        <v>25</v>
      </c>
      <c r="L115" s="123">
        <v>640</v>
      </c>
      <c r="M115" s="123">
        <f t="shared" ref="M115" si="73">+L115*K115</f>
        <v>16000</v>
      </c>
      <c r="N115" s="20">
        <v>45108</v>
      </c>
      <c r="O115" s="123" t="s">
        <v>399</v>
      </c>
      <c r="P115" s="123" t="s">
        <v>144</v>
      </c>
      <c r="Q115" s="123" t="s">
        <v>30</v>
      </c>
      <c r="R115" s="123" t="s">
        <v>443</v>
      </c>
      <c r="S115" s="23">
        <v>291612891267</v>
      </c>
      <c r="T115" s="20">
        <v>45108</v>
      </c>
      <c r="U115" s="123"/>
      <c r="V115" s="123">
        <v>267</v>
      </c>
      <c r="W115" s="24">
        <v>45108.388888888891</v>
      </c>
      <c r="X115" s="24">
        <v>45108.722222222219</v>
      </c>
      <c r="Y115" s="25">
        <f t="shared" ref="Y115" si="74">+X115-W115</f>
        <v>0.33333333332848269</v>
      </c>
      <c r="Z115" s="24">
        <v>45108.59375</v>
      </c>
      <c r="AA115" s="24">
        <v>45108.715277777781</v>
      </c>
      <c r="AB115" s="25">
        <f t="shared" ref="AB115" si="75">+AA115-Z115</f>
        <v>0.12152777778101154</v>
      </c>
    </row>
    <row r="116" spans="1:28" x14ac:dyDescent="0.25">
      <c r="A116" s="12">
        <v>45108</v>
      </c>
      <c r="B116" s="123" t="s">
        <v>442</v>
      </c>
      <c r="C116" s="20">
        <v>45107</v>
      </c>
      <c r="D116" s="123">
        <v>5743038</v>
      </c>
      <c r="E116" s="123" t="s">
        <v>191</v>
      </c>
      <c r="F116" s="123" t="s">
        <v>135</v>
      </c>
      <c r="G116" s="123" t="s">
        <v>192</v>
      </c>
      <c r="H116" s="17">
        <v>5212259</v>
      </c>
      <c r="I116" s="17" t="s">
        <v>26</v>
      </c>
      <c r="J116" s="123" t="s">
        <v>87</v>
      </c>
      <c r="K116" s="123">
        <v>25</v>
      </c>
      <c r="L116" s="123">
        <v>200</v>
      </c>
      <c r="M116" s="123">
        <f t="shared" ref="M116:M123" si="76">+L116*K116</f>
        <v>5000</v>
      </c>
      <c r="N116" s="20">
        <v>45108</v>
      </c>
      <c r="O116" s="123" t="s">
        <v>399</v>
      </c>
      <c r="P116" s="123" t="s">
        <v>144</v>
      </c>
      <c r="Q116" s="123" t="s">
        <v>30</v>
      </c>
      <c r="R116" s="123" t="s">
        <v>443</v>
      </c>
      <c r="S116" s="23">
        <v>291612891267</v>
      </c>
      <c r="T116" s="20">
        <v>45108</v>
      </c>
      <c r="U116" s="123"/>
      <c r="V116" s="123">
        <v>267</v>
      </c>
      <c r="W116" s="24">
        <v>45108.388888888891</v>
      </c>
      <c r="X116" s="24">
        <v>45108.722222222219</v>
      </c>
      <c r="Y116" s="25">
        <f t="shared" ref="Y116:Y123" si="77">+X116-W116</f>
        <v>0.33333333332848269</v>
      </c>
      <c r="Z116" s="24">
        <v>45108.59375</v>
      </c>
      <c r="AA116" s="24">
        <v>45108.715277777781</v>
      </c>
      <c r="AB116" s="25">
        <f t="shared" ref="AB116:AB123" si="78">+AA116-Z116</f>
        <v>0.12152777778101154</v>
      </c>
    </row>
    <row r="117" spans="1:28" x14ac:dyDescent="0.25">
      <c r="A117" s="12">
        <v>45108</v>
      </c>
      <c r="B117" s="123" t="s">
        <v>442</v>
      </c>
      <c r="C117" s="20">
        <v>45107</v>
      </c>
      <c r="D117" s="123">
        <v>5851097</v>
      </c>
      <c r="E117" s="123" t="s">
        <v>191</v>
      </c>
      <c r="F117" s="123" t="s">
        <v>135</v>
      </c>
      <c r="G117" s="123" t="s">
        <v>192</v>
      </c>
      <c r="H117" s="17">
        <v>5211013</v>
      </c>
      <c r="I117" s="17" t="s">
        <v>27</v>
      </c>
      <c r="J117" s="123" t="s">
        <v>96</v>
      </c>
      <c r="K117" s="123">
        <v>25</v>
      </c>
      <c r="L117" s="123">
        <v>108</v>
      </c>
      <c r="M117" s="123">
        <f t="shared" si="76"/>
        <v>2700</v>
      </c>
      <c r="N117" s="20">
        <v>45108</v>
      </c>
      <c r="O117" s="123" t="s">
        <v>399</v>
      </c>
      <c r="P117" s="123" t="s">
        <v>144</v>
      </c>
      <c r="Q117" s="123" t="s">
        <v>30</v>
      </c>
      <c r="R117" s="123" t="s">
        <v>443</v>
      </c>
      <c r="S117" s="23">
        <v>291612891267</v>
      </c>
      <c r="T117" s="20">
        <v>45108</v>
      </c>
      <c r="U117" s="123"/>
      <c r="V117" s="123">
        <v>267</v>
      </c>
      <c r="W117" s="24">
        <v>45108.388888888891</v>
      </c>
      <c r="X117" s="24">
        <v>45108.722222222219</v>
      </c>
      <c r="Y117" s="25">
        <f t="shared" si="77"/>
        <v>0.33333333332848269</v>
      </c>
      <c r="Z117" s="24">
        <v>45108.59375</v>
      </c>
      <c r="AA117" s="24">
        <v>45108.715277777781</v>
      </c>
      <c r="AB117" s="25">
        <f t="shared" si="78"/>
        <v>0.12152777778101154</v>
      </c>
    </row>
    <row r="118" spans="1:28" x14ac:dyDescent="0.25">
      <c r="A118" s="12">
        <v>45108</v>
      </c>
      <c r="B118" s="123" t="s">
        <v>442</v>
      </c>
      <c r="C118" s="20">
        <v>45107</v>
      </c>
      <c r="D118" s="123">
        <v>5851097</v>
      </c>
      <c r="E118" s="123" t="s">
        <v>191</v>
      </c>
      <c r="F118" s="123" t="s">
        <v>135</v>
      </c>
      <c r="G118" s="123" t="s">
        <v>192</v>
      </c>
      <c r="H118" s="17">
        <v>5211013</v>
      </c>
      <c r="I118" s="17" t="s">
        <v>27</v>
      </c>
      <c r="J118" s="123" t="s">
        <v>98</v>
      </c>
      <c r="K118" s="123">
        <v>25</v>
      </c>
      <c r="L118" s="123">
        <v>92</v>
      </c>
      <c r="M118" s="123">
        <f t="shared" ref="M118" si="79">+L118*K118</f>
        <v>2300</v>
      </c>
      <c r="N118" s="20">
        <v>45108</v>
      </c>
      <c r="O118" s="123" t="s">
        <v>399</v>
      </c>
      <c r="P118" s="123" t="s">
        <v>144</v>
      </c>
      <c r="Q118" s="123" t="s">
        <v>30</v>
      </c>
      <c r="R118" s="123" t="s">
        <v>443</v>
      </c>
      <c r="S118" s="23">
        <v>291612891267</v>
      </c>
      <c r="T118" s="20">
        <v>45108</v>
      </c>
      <c r="U118" s="123"/>
      <c r="V118" s="123">
        <v>267</v>
      </c>
      <c r="W118" s="24">
        <v>45108.388888888891</v>
      </c>
      <c r="X118" s="24">
        <v>45108.722222222219</v>
      </c>
      <c r="Y118" s="25">
        <f t="shared" ref="Y118" si="80">+X118-W118</f>
        <v>0.33333333332848269</v>
      </c>
      <c r="Z118" s="24">
        <v>45108.59375</v>
      </c>
      <c r="AA118" s="24">
        <v>45108.715277777781</v>
      </c>
      <c r="AB118" s="25">
        <f t="shared" ref="AB118" si="81">+AA118-Z118</f>
        <v>0.12152777778101154</v>
      </c>
    </row>
    <row r="119" spans="1:28" x14ac:dyDescent="0.25">
      <c r="A119" s="12">
        <v>45108</v>
      </c>
      <c r="B119" s="123" t="s">
        <v>442</v>
      </c>
      <c r="C119" s="20">
        <v>45107</v>
      </c>
      <c r="D119" s="123">
        <v>5219103</v>
      </c>
      <c r="E119" s="123" t="s">
        <v>191</v>
      </c>
      <c r="F119" s="123" t="s">
        <v>135</v>
      </c>
      <c r="G119" s="123" t="s">
        <v>192</v>
      </c>
      <c r="H119" s="17">
        <v>5211014</v>
      </c>
      <c r="I119" s="17" t="s">
        <v>38</v>
      </c>
      <c r="J119" s="21" t="s">
        <v>69</v>
      </c>
      <c r="K119" s="123">
        <v>25</v>
      </c>
      <c r="L119" s="123">
        <v>80</v>
      </c>
      <c r="M119" s="123">
        <f t="shared" si="76"/>
        <v>2000</v>
      </c>
      <c r="N119" s="20">
        <v>45108</v>
      </c>
      <c r="O119" s="123" t="s">
        <v>399</v>
      </c>
      <c r="P119" s="123" t="s">
        <v>144</v>
      </c>
      <c r="Q119" s="123" t="s">
        <v>30</v>
      </c>
      <c r="R119" s="123" t="s">
        <v>443</v>
      </c>
      <c r="S119" s="23">
        <v>291612891267</v>
      </c>
      <c r="T119" s="20">
        <v>45108</v>
      </c>
      <c r="U119" s="123"/>
      <c r="V119" s="123">
        <v>267</v>
      </c>
      <c r="W119" s="24">
        <v>45108.388888888891</v>
      </c>
      <c r="X119" s="24">
        <v>45108.722222222219</v>
      </c>
      <c r="Y119" s="25">
        <f t="shared" si="77"/>
        <v>0.33333333332848269</v>
      </c>
      <c r="Z119" s="24">
        <v>45108.59375</v>
      </c>
      <c r="AA119" s="24">
        <v>45108.715277777781</v>
      </c>
      <c r="AB119" s="25">
        <f t="shared" si="78"/>
        <v>0.12152777778101154</v>
      </c>
    </row>
    <row r="120" spans="1:28" x14ac:dyDescent="0.25">
      <c r="A120" s="12">
        <v>45108</v>
      </c>
      <c r="B120" s="123" t="s">
        <v>451</v>
      </c>
      <c r="C120" s="20">
        <v>45110</v>
      </c>
      <c r="D120" s="123">
        <v>5690252</v>
      </c>
      <c r="E120" s="123" t="s">
        <v>452</v>
      </c>
      <c r="F120" s="123" t="s">
        <v>453</v>
      </c>
      <c r="G120" s="17" t="s">
        <v>132</v>
      </c>
      <c r="H120" s="17">
        <v>5200193</v>
      </c>
      <c r="I120" s="123" t="s">
        <v>41</v>
      </c>
      <c r="J120" s="123">
        <v>1223002801</v>
      </c>
      <c r="K120" s="123">
        <v>250</v>
      </c>
      <c r="L120" s="123">
        <v>37</v>
      </c>
      <c r="M120" s="123">
        <f t="shared" si="76"/>
        <v>9250</v>
      </c>
      <c r="N120" s="20">
        <v>45110</v>
      </c>
      <c r="O120" s="123" t="s">
        <v>136</v>
      </c>
      <c r="P120" s="123" t="s">
        <v>144</v>
      </c>
      <c r="Q120" s="123" t="s">
        <v>30</v>
      </c>
      <c r="R120" s="123" t="s">
        <v>454</v>
      </c>
      <c r="S120" s="23">
        <v>241613431278</v>
      </c>
      <c r="T120" s="20">
        <v>45110</v>
      </c>
      <c r="U120" s="123"/>
      <c r="V120" s="123">
        <v>268</v>
      </c>
      <c r="W120" s="24">
        <v>45110.506944444445</v>
      </c>
      <c r="X120" s="24">
        <v>45110.659722222219</v>
      </c>
      <c r="Y120" s="25">
        <f t="shared" si="77"/>
        <v>0.15277777777373558</v>
      </c>
      <c r="Z120" s="24">
        <v>45110.513888888891</v>
      </c>
      <c r="AA120" s="24">
        <v>45110.527777777781</v>
      </c>
      <c r="AB120" s="25">
        <f t="shared" si="78"/>
        <v>1.3888888890505768E-2</v>
      </c>
    </row>
    <row r="121" spans="1:28" x14ac:dyDescent="0.25">
      <c r="A121" s="12">
        <v>45108</v>
      </c>
      <c r="B121" s="123" t="s">
        <v>455</v>
      </c>
      <c r="C121" s="20">
        <v>45110</v>
      </c>
      <c r="D121" s="123">
        <v>5690252</v>
      </c>
      <c r="E121" s="123" t="s">
        <v>452</v>
      </c>
      <c r="F121" s="123" t="s">
        <v>456</v>
      </c>
      <c r="G121" s="17" t="s">
        <v>132</v>
      </c>
      <c r="H121" s="17">
        <v>5200193</v>
      </c>
      <c r="I121" s="123" t="s">
        <v>41</v>
      </c>
      <c r="J121" s="123">
        <v>1223002801</v>
      </c>
      <c r="K121" s="123">
        <v>250</v>
      </c>
      <c r="L121" s="123">
        <v>44</v>
      </c>
      <c r="M121" s="123">
        <f t="shared" si="76"/>
        <v>11000</v>
      </c>
      <c r="N121" s="20">
        <v>45110</v>
      </c>
      <c r="O121" s="123" t="s">
        <v>220</v>
      </c>
      <c r="P121" s="123" t="s">
        <v>144</v>
      </c>
      <c r="Q121" s="123" t="s">
        <v>30</v>
      </c>
      <c r="R121" s="123" t="s">
        <v>457</v>
      </c>
      <c r="S121" s="23">
        <v>261613468342</v>
      </c>
      <c r="T121" s="20">
        <v>45110</v>
      </c>
      <c r="U121" s="123"/>
      <c r="V121" s="123">
        <v>269</v>
      </c>
      <c r="W121" s="24">
        <v>45110.625</v>
      </c>
      <c r="X121" s="24">
        <v>45110.71875</v>
      </c>
      <c r="Y121" s="25">
        <f t="shared" si="77"/>
        <v>9.375E-2</v>
      </c>
      <c r="Z121" s="24">
        <v>45110.677083333336</v>
      </c>
      <c r="AA121" s="24">
        <v>45110.71875</v>
      </c>
      <c r="AB121" s="25">
        <f t="shared" si="78"/>
        <v>4.1666666664241347E-2</v>
      </c>
    </row>
    <row r="122" spans="1:28" x14ac:dyDescent="0.25">
      <c r="A122" s="12">
        <v>45108</v>
      </c>
      <c r="B122" s="123" t="s">
        <v>458</v>
      </c>
      <c r="C122" s="20">
        <v>45110</v>
      </c>
      <c r="D122" s="123">
        <v>5690252</v>
      </c>
      <c r="E122" s="123" t="s">
        <v>452</v>
      </c>
      <c r="F122" s="123" t="s">
        <v>456</v>
      </c>
      <c r="G122" s="17" t="s">
        <v>132</v>
      </c>
      <c r="H122" s="17">
        <v>5200193</v>
      </c>
      <c r="I122" s="123" t="s">
        <v>41</v>
      </c>
      <c r="J122" s="123">
        <v>1223002801</v>
      </c>
      <c r="K122" s="123">
        <v>250</v>
      </c>
      <c r="L122" s="123">
        <v>44</v>
      </c>
      <c r="M122" s="123">
        <f t="shared" si="76"/>
        <v>11000</v>
      </c>
      <c r="N122" s="20">
        <v>45110</v>
      </c>
      <c r="O122" s="123" t="s">
        <v>220</v>
      </c>
      <c r="P122" s="123" t="s">
        <v>144</v>
      </c>
      <c r="Q122" s="123" t="s">
        <v>30</v>
      </c>
      <c r="R122" s="123" t="s">
        <v>459</v>
      </c>
      <c r="S122" s="23">
        <v>201613506235</v>
      </c>
      <c r="T122" s="20">
        <v>45110</v>
      </c>
      <c r="U122" s="123"/>
      <c r="V122" s="123">
        <v>270</v>
      </c>
      <c r="W122" s="24">
        <v>45110.631944444445</v>
      </c>
      <c r="X122" s="24">
        <v>45110.756944444445</v>
      </c>
      <c r="Y122" s="25">
        <f t="shared" si="77"/>
        <v>0.125</v>
      </c>
      <c r="Z122" s="24">
        <v>45110.722222222219</v>
      </c>
      <c r="AA122" s="24">
        <v>45110.75</v>
      </c>
      <c r="AB122" s="25">
        <f t="shared" si="78"/>
        <v>2.7777777781011537E-2</v>
      </c>
    </row>
    <row r="123" spans="1:28" x14ac:dyDescent="0.25">
      <c r="A123" s="12">
        <v>45108</v>
      </c>
      <c r="B123" s="123" t="s">
        <v>460</v>
      </c>
      <c r="C123" s="20">
        <v>45110</v>
      </c>
      <c r="D123" s="123">
        <v>5690252</v>
      </c>
      <c r="E123" s="123" t="s">
        <v>452</v>
      </c>
      <c r="F123" s="123" t="s">
        <v>456</v>
      </c>
      <c r="G123" s="17" t="s">
        <v>132</v>
      </c>
      <c r="H123" s="17">
        <v>5200193</v>
      </c>
      <c r="I123" s="123" t="s">
        <v>41</v>
      </c>
      <c r="J123" s="123">
        <v>1223002801</v>
      </c>
      <c r="K123" s="123">
        <v>250</v>
      </c>
      <c r="L123" s="123">
        <v>24</v>
      </c>
      <c r="M123" s="123">
        <f t="shared" si="76"/>
        <v>6000</v>
      </c>
      <c r="N123" s="20">
        <v>45110</v>
      </c>
      <c r="O123" s="123" t="s">
        <v>177</v>
      </c>
      <c r="P123" s="123" t="s">
        <v>144</v>
      </c>
      <c r="Q123" s="123" t="s">
        <v>30</v>
      </c>
      <c r="R123" s="123" t="s">
        <v>461</v>
      </c>
      <c r="S123" s="23">
        <v>231613540344</v>
      </c>
      <c r="T123" s="20">
        <v>45110</v>
      </c>
      <c r="U123" s="123"/>
      <c r="V123" s="123">
        <v>271</v>
      </c>
      <c r="W123" s="24">
        <v>45110.638888888891</v>
      </c>
      <c r="X123" s="24">
        <v>45110.756944444445</v>
      </c>
      <c r="Y123" s="25">
        <f t="shared" si="77"/>
        <v>0.11805555555474712</v>
      </c>
      <c r="Z123" s="24">
        <v>45110.725694444445</v>
      </c>
      <c r="AA123" s="24">
        <v>45110.75</v>
      </c>
      <c r="AB123" s="25">
        <f t="shared" si="78"/>
        <v>2.4305555554747116E-2</v>
      </c>
    </row>
    <row r="124" spans="1:28" x14ac:dyDescent="0.25">
      <c r="A124" s="12">
        <v>45108</v>
      </c>
      <c r="B124" s="123" t="s">
        <v>462</v>
      </c>
      <c r="C124" s="20">
        <v>45110</v>
      </c>
      <c r="D124" s="123">
        <v>5690252</v>
      </c>
      <c r="E124" s="123" t="s">
        <v>452</v>
      </c>
      <c r="F124" s="123" t="s">
        <v>456</v>
      </c>
      <c r="G124" s="17" t="s">
        <v>132</v>
      </c>
      <c r="H124" s="17">
        <v>5200193</v>
      </c>
      <c r="I124" s="123" t="s">
        <v>41</v>
      </c>
      <c r="J124" s="123">
        <v>1223002801</v>
      </c>
      <c r="K124" s="123">
        <v>250</v>
      </c>
      <c r="L124" s="123">
        <v>5</v>
      </c>
      <c r="M124" s="123">
        <f t="shared" ref="M124:M129" si="82">+L124*K124</f>
        <v>1250</v>
      </c>
      <c r="N124" s="20">
        <v>45110</v>
      </c>
      <c r="O124" s="123" t="s">
        <v>177</v>
      </c>
      <c r="P124" s="123" t="s">
        <v>144</v>
      </c>
      <c r="Q124" s="123" t="s">
        <v>30</v>
      </c>
      <c r="R124" s="123" t="s">
        <v>461</v>
      </c>
      <c r="S124" s="23">
        <v>271613543501</v>
      </c>
      <c r="T124" s="20">
        <v>45110</v>
      </c>
      <c r="U124" s="123"/>
      <c r="V124" s="123">
        <v>271</v>
      </c>
      <c r="W124" s="24">
        <v>45110.638888888891</v>
      </c>
      <c r="X124" s="24">
        <v>45110.756944444445</v>
      </c>
      <c r="Y124" s="25">
        <f t="shared" ref="Y124:Y126" si="83">+X124-W124</f>
        <v>0.11805555555474712</v>
      </c>
      <c r="Z124" s="24">
        <v>45110.725694444445</v>
      </c>
      <c r="AA124" s="24">
        <v>45110.75</v>
      </c>
      <c r="AB124" s="25">
        <f t="shared" ref="AB124:AB126" si="84">+AA124-Z124</f>
        <v>2.4305555554747116E-2</v>
      </c>
    </row>
    <row r="125" spans="1:28" x14ac:dyDescent="0.25">
      <c r="A125" s="12">
        <v>45108</v>
      </c>
      <c r="B125" s="123" t="s">
        <v>463</v>
      </c>
      <c r="C125" s="20">
        <v>45110</v>
      </c>
      <c r="D125" s="123">
        <v>5852098</v>
      </c>
      <c r="E125" s="123" t="s">
        <v>318</v>
      </c>
      <c r="F125" s="123" t="s">
        <v>319</v>
      </c>
      <c r="G125" s="17" t="s">
        <v>132</v>
      </c>
      <c r="H125" s="17">
        <v>5200193</v>
      </c>
      <c r="I125" s="123" t="s">
        <v>41</v>
      </c>
      <c r="J125" s="123">
        <v>1223005101</v>
      </c>
      <c r="K125" s="123">
        <v>250</v>
      </c>
      <c r="L125" s="123">
        <v>40</v>
      </c>
      <c r="M125" s="123">
        <f t="shared" si="82"/>
        <v>10000</v>
      </c>
      <c r="N125" s="20">
        <v>45110</v>
      </c>
      <c r="O125" s="123" t="s">
        <v>220</v>
      </c>
      <c r="P125" s="123" t="s">
        <v>134</v>
      </c>
      <c r="Q125" s="123">
        <v>2171</v>
      </c>
      <c r="R125" s="123" t="s">
        <v>464</v>
      </c>
      <c r="S125" s="23">
        <v>281613554270</v>
      </c>
      <c r="T125" s="20">
        <v>45110</v>
      </c>
      <c r="U125" s="123"/>
      <c r="V125" s="123">
        <v>272</v>
      </c>
      <c r="W125" s="24">
        <v>45110.652777777781</v>
      </c>
      <c r="X125" s="24">
        <v>45110.777777777781</v>
      </c>
      <c r="Y125" s="25">
        <f t="shared" si="83"/>
        <v>0.125</v>
      </c>
      <c r="Z125" s="24">
        <v>45110.75</v>
      </c>
      <c r="AA125" s="24">
        <v>45110.770833333336</v>
      </c>
      <c r="AB125" s="25">
        <f t="shared" si="84"/>
        <v>2.0833333335758653E-2</v>
      </c>
    </row>
    <row r="126" spans="1:28" x14ac:dyDescent="0.25">
      <c r="A126" s="12">
        <v>45108</v>
      </c>
      <c r="B126" s="123" t="s">
        <v>465</v>
      </c>
      <c r="C126" s="20">
        <v>45110</v>
      </c>
      <c r="D126" s="123">
        <v>5690252</v>
      </c>
      <c r="E126" s="123" t="s">
        <v>452</v>
      </c>
      <c r="F126" s="123" t="s">
        <v>135</v>
      </c>
      <c r="G126" s="17" t="s">
        <v>132</v>
      </c>
      <c r="H126" s="17">
        <v>5200193</v>
      </c>
      <c r="I126" s="123" t="s">
        <v>41</v>
      </c>
      <c r="J126" s="123">
        <v>1223002801</v>
      </c>
      <c r="K126" s="123">
        <v>250</v>
      </c>
      <c r="L126" s="123">
        <v>1</v>
      </c>
      <c r="M126" s="123">
        <f t="shared" si="82"/>
        <v>250</v>
      </c>
      <c r="N126" s="20">
        <v>45110</v>
      </c>
      <c r="O126" s="123" t="s">
        <v>177</v>
      </c>
      <c r="P126" s="123" t="s">
        <v>144</v>
      </c>
      <c r="Q126" s="123" t="s">
        <v>30</v>
      </c>
      <c r="R126" s="123" t="s">
        <v>466</v>
      </c>
      <c r="S126" s="23">
        <v>291613568117</v>
      </c>
      <c r="T126" s="20">
        <v>45110</v>
      </c>
      <c r="U126" s="123"/>
      <c r="V126" s="123">
        <v>273</v>
      </c>
      <c r="W126" s="24">
        <v>45110.645833333336</v>
      </c>
      <c r="X126" s="24">
        <v>45110.795138888891</v>
      </c>
      <c r="Y126" s="25">
        <f t="shared" si="83"/>
        <v>0.14930555555474712</v>
      </c>
      <c r="Z126" s="24">
        <v>45110.774305555555</v>
      </c>
      <c r="AA126" s="24">
        <v>45110.791666666664</v>
      </c>
      <c r="AB126" s="25">
        <f t="shared" si="84"/>
        <v>1.7361111109494232E-2</v>
      </c>
    </row>
    <row r="127" spans="1:28" x14ac:dyDescent="0.25">
      <c r="A127" s="12">
        <v>45108</v>
      </c>
      <c r="B127" s="123" t="s">
        <v>465</v>
      </c>
      <c r="C127" s="20">
        <v>45110</v>
      </c>
      <c r="D127" s="123">
        <v>5852098</v>
      </c>
      <c r="E127" s="123" t="s">
        <v>452</v>
      </c>
      <c r="F127" s="123" t="s">
        <v>135</v>
      </c>
      <c r="G127" s="17" t="s">
        <v>132</v>
      </c>
      <c r="H127" s="17">
        <v>5200193</v>
      </c>
      <c r="I127" s="123" t="s">
        <v>41</v>
      </c>
      <c r="J127" s="123">
        <v>1223005101</v>
      </c>
      <c r="K127" s="123">
        <v>250</v>
      </c>
      <c r="L127" s="123">
        <v>25</v>
      </c>
      <c r="M127" s="123">
        <f t="shared" ref="M127" si="85">+L127*K127</f>
        <v>6250</v>
      </c>
      <c r="N127" s="20">
        <v>45110</v>
      </c>
      <c r="O127" s="123" t="s">
        <v>177</v>
      </c>
      <c r="P127" s="123" t="s">
        <v>144</v>
      </c>
      <c r="Q127" s="123" t="s">
        <v>30</v>
      </c>
      <c r="R127" s="123" t="s">
        <v>466</v>
      </c>
      <c r="S127" s="23">
        <v>291613568117</v>
      </c>
      <c r="T127" s="20">
        <v>45110</v>
      </c>
      <c r="U127" s="123"/>
      <c r="V127" s="123">
        <v>273</v>
      </c>
      <c r="W127" s="24">
        <v>45110.645833333336</v>
      </c>
      <c r="X127" s="24">
        <v>45110.795138888891</v>
      </c>
      <c r="Y127" s="25">
        <f t="shared" ref="Y127:Y129" si="86">+X127-W127</f>
        <v>0.14930555555474712</v>
      </c>
      <c r="Z127" s="24">
        <v>45110.774305555555</v>
      </c>
      <c r="AA127" s="24">
        <v>45110.791666666664</v>
      </c>
      <c r="AB127" s="25">
        <f t="shared" ref="AB127:AB129" si="87">+AA127-Z127</f>
        <v>1.7361111109494232E-2</v>
      </c>
    </row>
    <row r="128" spans="1:28" x14ac:dyDescent="0.25">
      <c r="A128" s="12">
        <v>45108</v>
      </c>
      <c r="B128" s="123" t="s">
        <v>467</v>
      </c>
      <c r="C128" s="20">
        <v>45110</v>
      </c>
      <c r="D128" s="123">
        <v>5852098</v>
      </c>
      <c r="E128" s="123" t="s">
        <v>452</v>
      </c>
      <c r="F128" s="123" t="s">
        <v>135</v>
      </c>
      <c r="G128" s="17" t="s">
        <v>132</v>
      </c>
      <c r="H128" s="17">
        <v>5200193</v>
      </c>
      <c r="I128" s="123" t="s">
        <v>41</v>
      </c>
      <c r="J128" s="123">
        <v>1223005101</v>
      </c>
      <c r="K128" s="123">
        <v>250</v>
      </c>
      <c r="L128" s="123">
        <v>40</v>
      </c>
      <c r="M128" s="123">
        <f t="shared" si="82"/>
        <v>10000</v>
      </c>
      <c r="N128" s="20">
        <v>45110</v>
      </c>
      <c r="O128" s="123" t="s">
        <v>220</v>
      </c>
      <c r="P128" s="123" t="s">
        <v>144</v>
      </c>
      <c r="Q128" s="123" t="s">
        <v>30</v>
      </c>
      <c r="R128" s="123" t="s">
        <v>171</v>
      </c>
      <c r="S128" s="23">
        <v>291613570790</v>
      </c>
      <c r="T128" s="20">
        <v>45110</v>
      </c>
      <c r="U128" s="123"/>
      <c r="V128" s="123">
        <v>274</v>
      </c>
      <c r="W128" s="24">
        <v>45110.666666666664</v>
      </c>
      <c r="X128" s="24">
        <v>45110.8125</v>
      </c>
      <c r="Y128" s="25">
        <f t="shared" si="86"/>
        <v>0.14583333333575865</v>
      </c>
      <c r="Z128" s="24">
        <v>45110.763888888891</v>
      </c>
      <c r="AA128" s="24">
        <v>45110.8125</v>
      </c>
      <c r="AB128" s="25">
        <f t="shared" si="87"/>
        <v>4.8611111109494232E-2</v>
      </c>
    </row>
    <row r="129" spans="1:28" x14ac:dyDescent="0.25">
      <c r="A129" s="12">
        <v>45108</v>
      </c>
      <c r="B129" s="123" t="s">
        <v>468</v>
      </c>
      <c r="C129" s="20">
        <v>45110</v>
      </c>
      <c r="D129" s="123">
        <v>5852098</v>
      </c>
      <c r="E129" s="123" t="s">
        <v>452</v>
      </c>
      <c r="F129" s="123" t="s">
        <v>456</v>
      </c>
      <c r="G129" s="17" t="s">
        <v>132</v>
      </c>
      <c r="H129" s="17">
        <v>5200193</v>
      </c>
      <c r="I129" s="123" t="s">
        <v>41</v>
      </c>
      <c r="J129" s="123">
        <v>1223005101</v>
      </c>
      <c r="K129" s="123">
        <v>250</v>
      </c>
      <c r="L129" s="123">
        <v>8</v>
      </c>
      <c r="M129" s="123">
        <f t="shared" si="82"/>
        <v>2000</v>
      </c>
      <c r="N129" s="20">
        <v>45110</v>
      </c>
      <c r="O129" s="123" t="s">
        <v>220</v>
      </c>
      <c r="P129" s="123" t="s">
        <v>144</v>
      </c>
      <c r="Q129" s="123" t="s">
        <v>30</v>
      </c>
      <c r="R129" s="123" t="s">
        <v>383</v>
      </c>
      <c r="S129" s="23">
        <v>221613571916</v>
      </c>
      <c r="T129" s="20">
        <v>45110</v>
      </c>
      <c r="U129" s="123"/>
      <c r="V129" s="123">
        <v>275</v>
      </c>
      <c r="W129" s="24">
        <v>45110.666666666664</v>
      </c>
      <c r="X129" s="24">
        <v>45110.8125</v>
      </c>
      <c r="Y129" s="25">
        <f t="shared" si="86"/>
        <v>0.14583333333575865</v>
      </c>
      <c r="Z129" s="24">
        <v>45110.791666666664</v>
      </c>
      <c r="AA129" s="24">
        <v>45110.8125</v>
      </c>
      <c r="AB129" s="25">
        <f t="shared" si="87"/>
        <v>2.0833333335758653E-2</v>
      </c>
    </row>
    <row r="130" spans="1:28" x14ac:dyDescent="0.25">
      <c r="A130" s="12">
        <v>45108</v>
      </c>
      <c r="B130" s="123" t="s">
        <v>469</v>
      </c>
      <c r="C130" s="20">
        <v>45110</v>
      </c>
      <c r="D130" s="123">
        <v>5852098</v>
      </c>
      <c r="E130" s="123" t="s">
        <v>452</v>
      </c>
      <c r="F130" s="123" t="s">
        <v>456</v>
      </c>
      <c r="G130" s="17" t="s">
        <v>132</v>
      </c>
      <c r="H130" s="17">
        <v>5200193</v>
      </c>
      <c r="I130" s="123" t="s">
        <v>41</v>
      </c>
      <c r="J130" s="123">
        <v>1223005101</v>
      </c>
      <c r="K130" s="123">
        <v>250</v>
      </c>
      <c r="L130" s="123">
        <v>32</v>
      </c>
      <c r="M130" s="123">
        <f t="shared" ref="M130:M131" si="88">+L130*K130</f>
        <v>8000</v>
      </c>
      <c r="N130" s="20">
        <v>45110</v>
      </c>
      <c r="O130" s="123" t="s">
        <v>220</v>
      </c>
      <c r="P130" s="123" t="s">
        <v>144</v>
      </c>
      <c r="Q130" s="123" t="s">
        <v>30</v>
      </c>
      <c r="R130" s="123" t="s">
        <v>383</v>
      </c>
      <c r="S130" s="23">
        <v>221613572951</v>
      </c>
      <c r="T130" s="20">
        <v>45110</v>
      </c>
      <c r="U130" s="123"/>
      <c r="V130" s="123">
        <v>275</v>
      </c>
      <c r="W130" s="24">
        <v>45110.666666666664</v>
      </c>
      <c r="X130" s="24">
        <v>45110.8125</v>
      </c>
      <c r="Y130" s="25">
        <f t="shared" ref="Y130:Y131" si="89">+X130-W130</f>
        <v>0.14583333333575865</v>
      </c>
      <c r="Z130" s="24">
        <v>45110.791666666664</v>
      </c>
      <c r="AA130" s="24">
        <v>45110.8125</v>
      </c>
      <c r="AB130" s="25">
        <f t="shared" ref="AB130:AB131" si="90">+AA130-Z130</f>
        <v>2.0833333335758653E-2</v>
      </c>
    </row>
    <row r="131" spans="1:28" x14ac:dyDescent="0.25">
      <c r="A131" s="12">
        <v>45108</v>
      </c>
      <c r="B131" s="123" t="s">
        <v>470</v>
      </c>
      <c r="C131" s="20">
        <v>45110</v>
      </c>
      <c r="D131" s="123">
        <v>6146274</v>
      </c>
      <c r="E131" s="123" t="s">
        <v>471</v>
      </c>
      <c r="F131" s="123" t="s">
        <v>472</v>
      </c>
      <c r="G131" s="123" t="s">
        <v>192</v>
      </c>
      <c r="H131" s="17">
        <v>5205449</v>
      </c>
      <c r="I131" s="17" t="str">
        <f>VLOOKUP(H131,[1]MASTER!$A:$B,2,0)</f>
        <v>PVC-WH1000F-Premium-Bag-25KG</v>
      </c>
      <c r="J131" s="123">
        <v>1230239172</v>
      </c>
      <c r="K131" s="123">
        <v>25</v>
      </c>
      <c r="L131" s="123">
        <v>520</v>
      </c>
      <c r="M131" s="123">
        <f t="shared" si="88"/>
        <v>13000</v>
      </c>
      <c r="N131" s="20">
        <v>45110</v>
      </c>
      <c r="O131" s="123" t="s">
        <v>399</v>
      </c>
      <c r="P131" s="123" t="s">
        <v>144</v>
      </c>
      <c r="Q131" s="123" t="s">
        <v>30</v>
      </c>
      <c r="R131" s="123" t="s">
        <v>473</v>
      </c>
      <c r="S131" s="23">
        <v>261613641406</v>
      </c>
      <c r="T131" s="20">
        <v>45110</v>
      </c>
      <c r="U131" s="123"/>
      <c r="V131" s="123">
        <v>276</v>
      </c>
      <c r="W131" s="24">
        <v>45110.666666666664</v>
      </c>
      <c r="X131" s="24">
        <v>45110.9375</v>
      </c>
      <c r="Y131" s="25">
        <f t="shared" si="89"/>
        <v>0.27083333333575865</v>
      </c>
      <c r="Z131" s="24">
        <v>45110.791666666664</v>
      </c>
      <c r="AA131" s="24">
        <v>45110.930555555555</v>
      </c>
      <c r="AB131" s="25">
        <f t="shared" si="90"/>
        <v>0.13888888889050577</v>
      </c>
    </row>
    <row r="132" spans="1:28" x14ac:dyDescent="0.25">
      <c r="A132" s="12">
        <v>45108</v>
      </c>
      <c r="B132" s="123" t="s">
        <v>470</v>
      </c>
      <c r="C132" s="20">
        <v>45110</v>
      </c>
      <c r="D132" s="123">
        <v>6146274</v>
      </c>
      <c r="E132" s="123" t="s">
        <v>471</v>
      </c>
      <c r="F132" s="123" t="s">
        <v>472</v>
      </c>
      <c r="G132" s="123" t="s">
        <v>192</v>
      </c>
      <c r="H132" s="17">
        <v>5205449</v>
      </c>
      <c r="I132" s="17" t="str">
        <f>VLOOKUP(H132,[1]MASTER!$A:$B,2,0)</f>
        <v>PVC-WH1000F-Premium-Bag-25KG</v>
      </c>
      <c r="J132" s="123">
        <v>1230237372</v>
      </c>
      <c r="K132" s="123">
        <v>25</v>
      </c>
      <c r="L132" s="123">
        <v>260</v>
      </c>
      <c r="M132" s="123">
        <f t="shared" ref="M132" si="91">+L132*K132</f>
        <v>6500</v>
      </c>
      <c r="N132" s="20">
        <v>45110</v>
      </c>
      <c r="O132" s="123" t="s">
        <v>399</v>
      </c>
      <c r="P132" s="123" t="s">
        <v>144</v>
      </c>
      <c r="Q132" s="123" t="s">
        <v>30</v>
      </c>
      <c r="R132" s="123" t="s">
        <v>473</v>
      </c>
      <c r="S132" s="23">
        <v>261613641406</v>
      </c>
      <c r="T132" s="20">
        <v>45110</v>
      </c>
      <c r="U132" s="123"/>
      <c r="V132" s="123">
        <v>276</v>
      </c>
      <c r="W132" s="24">
        <v>45110.666666666664</v>
      </c>
      <c r="X132" s="24">
        <v>45110.9375</v>
      </c>
      <c r="Y132" s="25">
        <f t="shared" ref="Y132:Y139" si="92">+X132-W132</f>
        <v>0.27083333333575865</v>
      </c>
      <c r="Z132" s="24">
        <v>45110.791666666664</v>
      </c>
      <c r="AA132" s="24">
        <v>45110.930555555555</v>
      </c>
      <c r="AB132" s="25">
        <f t="shared" ref="AB132:AB139" si="93">+AA132-Z132</f>
        <v>0.13888888889050577</v>
      </c>
    </row>
    <row r="133" spans="1:28" x14ac:dyDescent="0.25">
      <c r="A133" s="12">
        <v>45108</v>
      </c>
      <c r="B133" s="123" t="s">
        <v>474</v>
      </c>
      <c r="C133" s="20">
        <v>45110</v>
      </c>
      <c r="D133" s="123">
        <v>6146274</v>
      </c>
      <c r="E133" s="123" t="s">
        <v>471</v>
      </c>
      <c r="F133" s="123" t="s">
        <v>472</v>
      </c>
      <c r="G133" s="123" t="s">
        <v>192</v>
      </c>
      <c r="H133" s="17">
        <v>5205449</v>
      </c>
      <c r="I133" s="17" t="str">
        <f>VLOOKUP(H133,[1]MASTER!$A:$B,2,0)</f>
        <v>PVC-WH1000F-Premium-Bag-25KG</v>
      </c>
      <c r="J133" s="123">
        <v>1230237372</v>
      </c>
      <c r="K133" s="123">
        <v>25</v>
      </c>
      <c r="L133" s="123">
        <f>10500/25</f>
        <v>420</v>
      </c>
      <c r="M133" s="123">
        <f t="shared" ref="M133:M139" si="94">+L133*K133</f>
        <v>10500</v>
      </c>
      <c r="N133" s="20">
        <v>45110</v>
      </c>
      <c r="O133" s="123" t="s">
        <v>399</v>
      </c>
      <c r="P133" s="123" t="s">
        <v>144</v>
      </c>
      <c r="Q133" s="123" t="s">
        <v>30</v>
      </c>
      <c r="R133" s="123" t="s">
        <v>473</v>
      </c>
      <c r="S133" s="23">
        <v>251613640848</v>
      </c>
      <c r="T133" s="20">
        <v>45110</v>
      </c>
      <c r="U133" s="123"/>
      <c r="V133" s="123">
        <v>276</v>
      </c>
      <c r="W133" s="24">
        <v>45110.666666666664</v>
      </c>
      <c r="X133" s="24">
        <v>45110.9375</v>
      </c>
      <c r="Y133" s="25">
        <f t="shared" si="92"/>
        <v>0.27083333333575865</v>
      </c>
      <c r="Z133" s="24">
        <v>45110.791666666664</v>
      </c>
      <c r="AA133" s="24">
        <v>45110.930555555555</v>
      </c>
      <c r="AB133" s="25">
        <f t="shared" si="93"/>
        <v>0.13888888889050577</v>
      </c>
    </row>
    <row r="134" spans="1:28" x14ac:dyDescent="0.25">
      <c r="A134" s="12">
        <v>45108</v>
      </c>
      <c r="B134" s="123" t="s">
        <v>475</v>
      </c>
      <c r="C134" s="20">
        <v>45110</v>
      </c>
      <c r="D134" s="123">
        <v>5852098</v>
      </c>
      <c r="E134" s="123" t="s">
        <v>452</v>
      </c>
      <c r="F134" s="123" t="s">
        <v>135</v>
      </c>
      <c r="G134" s="17" t="s">
        <v>132</v>
      </c>
      <c r="H134" s="17">
        <v>5200193</v>
      </c>
      <c r="I134" s="123" t="s">
        <v>41</v>
      </c>
      <c r="J134" s="123">
        <v>1223005101</v>
      </c>
      <c r="K134" s="123">
        <v>250</v>
      </c>
      <c r="L134" s="123">
        <v>94</v>
      </c>
      <c r="M134" s="123">
        <f t="shared" si="94"/>
        <v>23500</v>
      </c>
      <c r="N134" s="20">
        <v>45110</v>
      </c>
      <c r="O134" s="123" t="s">
        <v>271</v>
      </c>
      <c r="P134" s="123" t="s">
        <v>144</v>
      </c>
      <c r="Q134" s="123" t="s">
        <v>30</v>
      </c>
      <c r="R134" s="123" t="s">
        <v>476</v>
      </c>
      <c r="S134" s="23">
        <v>201613620663</v>
      </c>
      <c r="T134" s="20">
        <v>45110</v>
      </c>
      <c r="U134" s="123"/>
      <c r="V134" s="123">
        <v>277</v>
      </c>
      <c r="W134" s="24">
        <v>45110.652777777781</v>
      </c>
      <c r="X134" s="24">
        <v>45110.972222222219</v>
      </c>
      <c r="Y134" s="25">
        <f t="shared" si="92"/>
        <v>0.31944444443797693</v>
      </c>
      <c r="Z134" s="24">
        <v>45110.875</v>
      </c>
      <c r="AA134" s="24">
        <v>45110.972222222219</v>
      </c>
      <c r="AB134" s="25">
        <f t="shared" si="93"/>
        <v>9.7222222218988463E-2</v>
      </c>
    </row>
    <row r="135" spans="1:28" x14ac:dyDescent="0.25">
      <c r="A135" s="12">
        <v>45108</v>
      </c>
      <c r="B135" s="123" t="s">
        <v>492</v>
      </c>
      <c r="C135" s="20">
        <v>45111</v>
      </c>
      <c r="D135" s="123">
        <v>5852098</v>
      </c>
      <c r="E135" s="123" t="s">
        <v>452</v>
      </c>
      <c r="F135" s="123" t="s">
        <v>135</v>
      </c>
      <c r="G135" s="17" t="s">
        <v>132</v>
      </c>
      <c r="H135" s="17">
        <v>5200193</v>
      </c>
      <c r="I135" s="123" t="s">
        <v>41</v>
      </c>
      <c r="J135" s="123">
        <v>1223005101</v>
      </c>
      <c r="K135" s="123">
        <v>250</v>
      </c>
      <c r="L135" s="123">
        <v>44</v>
      </c>
      <c r="M135" s="123">
        <f t="shared" si="94"/>
        <v>11000</v>
      </c>
      <c r="N135" s="20">
        <v>45111</v>
      </c>
      <c r="O135" s="123" t="s">
        <v>133</v>
      </c>
      <c r="P135" s="123" t="s">
        <v>144</v>
      </c>
      <c r="Q135" s="123" t="s">
        <v>30</v>
      </c>
      <c r="R135" s="123" t="s">
        <v>238</v>
      </c>
      <c r="S135" s="23">
        <v>251613918336</v>
      </c>
      <c r="T135" s="20">
        <v>45111</v>
      </c>
      <c r="U135" s="123"/>
      <c r="V135" s="123">
        <v>278</v>
      </c>
      <c r="W135" s="24">
        <v>45111.46875</v>
      </c>
      <c r="X135" s="24">
        <v>45111.625</v>
      </c>
      <c r="Y135" s="25">
        <f t="shared" ref="Y135" si="95">+X135-W135</f>
        <v>0.15625</v>
      </c>
      <c r="Z135" s="24">
        <v>45111.475694444445</v>
      </c>
      <c r="AA135" s="24">
        <v>45111.5</v>
      </c>
      <c r="AB135" s="25">
        <f t="shared" ref="AB135" si="96">+AA135-Z135</f>
        <v>2.4305555554747116E-2</v>
      </c>
    </row>
    <row r="136" spans="1:28" x14ac:dyDescent="0.25">
      <c r="A136" s="12">
        <v>45108</v>
      </c>
      <c r="B136" s="123" t="s">
        <v>485</v>
      </c>
      <c r="C136" s="20">
        <v>45111</v>
      </c>
      <c r="D136" s="123">
        <v>5852098</v>
      </c>
      <c r="E136" s="123" t="s">
        <v>452</v>
      </c>
      <c r="F136" s="123" t="s">
        <v>135</v>
      </c>
      <c r="G136" s="17" t="s">
        <v>132</v>
      </c>
      <c r="H136" s="17">
        <v>5200193</v>
      </c>
      <c r="I136" s="123" t="s">
        <v>41</v>
      </c>
      <c r="J136" s="123">
        <v>1223005101</v>
      </c>
      <c r="K136" s="123">
        <v>250</v>
      </c>
      <c r="L136" s="123">
        <v>35</v>
      </c>
      <c r="M136" s="123">
        <f t="shared" si="94"/>
        <v>8750</v>
      </c>
      <c r="N136" s="20">
        <v>45111</v>
      </c>
      <c r="O136" s="123" t="s">
        <v>177</v>
      </c>
      <c r="P136" s="123" t="s">
        <v>144</v>
      </c>
      <c r="Q136" s="123" t="s">
        <v>30</v>
      </c>
      <c r="R136" s="123" t="s">
        <v>486</v>
      </c>
      <c r="S136" s="23">
        <v>251613918336</v>
      </c>
      <c r="T136" s="20">
        <v>45111</v>
      </c>
      <c r="U136" s="123"/>
      <c r="V136" s="123">
        <v>279</v>
      </c>
      <c r="W136" s="24">
        <v>45111.631944444445</v>
      </c>
      <c r="X136" s="24">
        <v>45111.659722222219</v>
      </c>
      <c r="Y136" s="25">
        <f t="shared" si="92"/>
        <v>2.7777777773735579E-2</v>
      </c>
      <c r="Z136" s="24">
        <v>45111.638888888891</v>
      </c>
      <c r="AA136" s="24">
        <v>45111.652777777781</v>
      </c>
      <c r="AB136" s="25">
        <f t="shared" si="93"/>
        <v>1.3888888890505768E-2</v>
      </c>
    </row>
    <row r="137" spans="1:28" x14ac:dyDescent="0.25">
      <c r="A137" s="12">
        <v>45108</v>
      </c>
      <c r="B137" s="123" t="s">
        <v>487</v>
      </c>
      <c r="C137" s="20">
        <v>45111</v>
      </c>
      <c r="D137" s="123">
        <v>5080127</v>
      </c>
      <c r="E137" s="123" t="s">
        <v>244</v>
      </c>
      <c r="F137" s="123" t="s">
        <v>215</v>
      </c>
      <c r="G137" s="17" t="s">
        <v>132</v>
      </c>
      <c r="H137" s="17">
        <v>5230831</v>
      </c>
      <c r="I137" s="17" t="s">
        <v>35</v>
      </c>
      <c r="J137" s="21" t="s">
        <v>59</v>
      </c>
      <c r="K137" s="123">
        <v>240</v>
      </c>
      <c r="L137" s="123">
        <v>40</v>
      </c>
      <c r="M137" s="123">
        <f t="shared" si="94"/>
        <v>9600</v>
      </c>
      <c r="N137" s="20">
        <v>45111</v>
      </c>
      <c r="O137" s="123" t="s">
        <v>136</v>
      </c>
      <c r="P137" s="123" t="s">
        <v>144</v>
      </c>
      <c r="Q137" s="123" t="s">
        <v>30</v>
      </c>
      <c r="R137" s="123" t="s">
        <v>488</v>
      </c>
      <c r="S137" s="23">
        <v>261613937800</v>
      </c>
      <c r="T137" s="20">
        <v>45111</v>
      </c>
      <c r="U137" s="123"/>
      <c r="V137" s="123">
        <v>280</v>
      </c>
      <c r="W137" s="24">
        <v>45111.652777777781</v>
      </c>
      <c r="X137" s="24">
        <v>45111.6875</v>
      </c>
      <c r="Y137" s="25">
        <f t="shared" si="92"/>
        <v>3.4722222218988463E-2</v>
      </c>
      <c r="Z137" s="24">
        <v>45111.638888888891</v>
      </c>
      <c r="AA137" s="24">
        <v>45111.680555555555</v>
      </c>
      <c r="AB137" s="25">
        <f t="shared" si="93"/>
        <v>4.1666666664241347E-2</v>
      </c>
    </row>
    <row r="138" spans="1:28" x14ac:dyDescent="0.25">
      <c r="A138" s="12">
        <v>45108</v>
      </c>
      <c r="B138" s="123" t="s">
        <v>489</v>
      </c>
      <c r="C138" s="20">
        <v>45111</v>
      </c>
      <c r="D138" s="123">
        <v>5852098</v>
      </c>
      <c r="E138" s="123" t="s">
        <v>452</v>
      </c>
      <c r="F138" s="123" t="s">
        <v>135</v>
      </c>
      <c r="G138" s="17" t="s">
        <v>132</v>
      </c>
      <c r="H138" s="17">
        <v>5200193</v>
      </c>
      <c r="I138" s="123" t="s">
        <v>41</v>
      </c>
      <c r="J138" s="123">
        <v>1223005101</v>
      </c>
      <c r="K138" s="123">
        <v>250</v>
      </c>
      <c r="L138" s="123">
        <v>37</v>
      </c>
      <c r="M138" s="123">
        <f t="shared" si="94"/>
        <v>9250</v>
      </c>
      <c r="N138" s="20">
        <v>45111</v>
      </c>
      <c r="O138" s="123" t="s">
        <v>136</v>
      </c>
      <c r="P138" s="123" t="s">
        <v>144</v>
      </c>
      <c r="Q138" s="123" t="s">
        <v>30</v>
      </c>
      <c r="R138" s="123" t="s">
        <v>454</v>
      </c>
      <c r="S138" s="23">
        <v>211613965075</v>
      </c>
      <c r="T138" s="20">
        <v>45111</v>
      </c>
      <c r="U138" s="123"/>
      <c r="V138" s="123">
        <v>281</v>
      </c>
      <c r="W138" s="24">
        <v>45111.690972222219</v>
      </c>
      <c r="X138" s="24">
        <v>45111.71875</v>
      </c>
      <c r="Y138" s="25">
        <f t="shared" si="92"/>
        <v>2.7777777781011537E-2</v>
      </c>
      <c r="Z138" s="24">
        <v>45111.697916666664</v>
      </c>
      <c r="AA138" s="24">
        <v>45111.711805555555</v>
      </c>
      <c r="AB138" s="25">
        <f t="shared" si="93"/>
        <v>1.3888888890505768E-2</v>
      </c>
    </row>
    <row r="139" spans="1:28" x14ac:dyDescent="0.25">
      <c r="A139" s="12">
        <v>45108</v>
      </c>
      <c r="B139" s="123" t="s">
        <v>490</v>
      </c>
      <c r="C139" s="20">
        <v>45110</v>
      </c>
      <c r="D139" s="123">
        <v>5852098</v>
      </c>
      <c r="E139" s="123" t="s">
        <v>452</v>
      </c>
      <c r="F139" s="123" t="s">
        <v>135</v>
      </c>
      <c r="G139" s="17" t="s">
        <v>132</v>
      </c>
      <c r="H139" s="17">
        <v>5200193</v>
      </c>
      <c r="I139" s="123" t="s">
        <v>41</v>
      </c>
      <c r="J139" s="123">
        <v>1223005101</v>
      </c>
      <c r="K139" s="123">
        <v>250</v>
      </c>
      <c r="L139" s="123">
        <v>11</v>
      </c>
      <c r="M139" s="123">
        <f t="shared" si="94"/>
        <v>2750</v>
      </c>
      <c r="N139" s="20">
        <v>45111</v>
      </c>
      <c r="O139" s="123" t="s">
        <v>133</v>
      </c>
      <c r="P139" s="123" t="s">
        <v>144</v>
      </c>
      <c r="Q139" s="123" t="s">
        <v>30</v>
      </c>
      <c r="R139" s="123" t="s">
        <v>171</v>
      </c>
      <c r="S139" s="23">
        <v>271613970767</v>
      </c>
      <c r="T139" s="20">
        <v>45111</v>
      </c>
      <c r="U139" s="123"/>
      <c r="V139" s="123">
        <v>282</v>
      </c>
      <c r="W139" s="24">
        <v>45111.680555555555</v>
      </c>
      <c r="X139" s="24">
        <v>45111.729166666664</v>
      </c>
      <c r="Y139" s="25">
        <f t="shared" si="92"/>
        <v>4.8611111109494232E-2</v>
      </c>
      <c r="Z139" s="24">
        <v>45111.6875</v>
      </c>
      <c r="AA139" s="24">
        <v>45111.722222222219</v>
      </c>
      <c r="AB139" s="25">
        <f t="shared" si="93"/>
        <v>3.4722222218988463E-2</v>
      </c>
    </row>
    <row r="140" spans="1:28" x14ac:dyDescent="0.25">
      <c r="A140" s="12">
        <v>45108</v>
      </c>
      <c r="B140" s="123" t="s">
        <v>491</v>
      </c>
      <c r="C140" s="20">
        <v>45111</v>
      </c>
      <c r="D140" s="123">
        <v>5852098</v>
      </c>
      <c r="E140" s="123" t="s">
        <v>452</v>
      </c>
      <c r="F140" s="123" t="s">
        <v>135</v>
      </c>
      <c r="G140" s="17" t="s">
        <v>132</v>
      </c>
      <c r="H140" s="17">
        <v>5200193</v>
      </c>
      <c r="I140" s="123" t="s">
        <v>41</v>
      </c>
      <c r="J140" s="123">
        <v>1223005101</v>
      </c>
      <c r="K140" s="123">
        <v>250</v>
      </c>
      <c r="L140" s="123">
        <v>33</v>
      </c>
      <c r="M140" s="123">
        <f t="shared" ref="M140:M141" si="97">+L140*K140</f>
        <v>8250</v>
      </c>
      <c r="N140" s="20">
        <v>45111</v>
      </c>
      <c r="O140" s="123" t="s">
        <v>133</v>
      </c>
      <c r="P140" s="123" t="s">
        <v>144</v>
      </c>
      <c r="Q140" s="123" t="s">
        <v>30</v>
      </c>
      <c r="R140" s="123" t="s">
        <v>171</v>
      </c>
      <c r="S140" s="23">
        <v>271613967008</v>
      </c>
      <c r="T140" s="20">
        <v>45111</v>
      </c>
      <c r="U140" s="123"/>
      <c r="V140" s="123">
        <v>282</v>
      </c>
      <c r="W140" s="24">
        <v>45111.680555555555</v>
      </c>
      <c r="X140" s="24">
        <v>45111.729166666664</v>
      </c>
      <c r="Y140" s="25">
        <f t="shared" ref="Y140:Y141" si="98">+X140-W140</f>
        <v>4.8611111109494232E-2</v>
      </c>
      <c r="Z140" s="24">
        <v>45111.6875</v>
      </c>
      <c r="AA140" s="24">
        <v>45111.722222222219</v>
      </c>
      <c r="AB140" s="25">
        <f t="shared" ref="AB140:AB141" si="99">+AA140-Z140</f>
        <v>3.4722222218988463E-2</v>
      </c>
    </row>
    <row r="141" spans="1:28" x14ac:dyDescent="0.25">
      <c r="A141" s="12">
        <v>45108</v>
      </c>
      <c r="B141" s="123" t="s">
        <v>493</v>
      </c>
      <c r="C141" s="20">
        <v>45112</v>
      </c>
      <c r="D141" s="123">
        <v>6416376</v>
      </c>
      <c r="E141" s="123" t="s">
        <v>191</v>
      </c>
      <c r="F141" s="123" t="s">
        <v>135</v>
      </c>
      <c r="G141" s="123" t="s">
        <v>192</v>
      </c>
      <c r="H141" s="17">
        <v>5212252</v>
      </c>
      <c r="I141" s="17" t="s">
        <v>23</v>
      </c>
      <c r="J141" s="123" t="s">
        <v>365</v>
      </c>
      <c r="K141" s="123">
        <v>25</v>
      </c>
      <c r="L141" s="123">
        <v>184</v>
      </c>
      <c r="M141" s="123">
        <f t="shared" si="97"/>
        <v>4600</v>
      </c>
      <c r="N141" s="20">
        <v>45112</v>
      </c>
      <c r="O141" s="123" t="s">
        <v>399</v>
      </c>
      <c r="P141" s="123" t="s">
        <v>144</v>
      </c>
      <c r="Q141" s="123" t="s">
        <v>30</v>
      </c>
      <c r="R141" s="123" t="s">
        <v>494</v>
      </c>
      <c r="S141" s="23">
        <v>251614388161</v>
      </c>
      <c r="T141" s="20">
        <v>45112</v>
      </c>
      <c r="U141" s="123"/>
      <c r="V141" s="123">
        <v>283</v>
      </c>
      <c r="W141" s="24">
        <v>45112.440972222219</v>
      </c>
      <c r="X141" s="24">
        <v>45112.565972222219</v>
      </c>
      <c r="Y141" s="25">
        <f t="shared" si="98"/>
        <v>0.125</v>
      </c>
      <c r="Z141" s="24">
        <v>45112.447916666664</v>
      </c>
      <c r="AA141" s="24">
        <v>45112.559027777781</v>
      </c>
      <c r="AB141" s="25">
        <f t="shared" si="99"/>
        <v>0.11111111111677019</v>
      </c>
    </row>
    <row r="142" spans="1:28" x14ac:dyDescent="0.25">
      <c r="A142" s="12">
        <v>45108</v>
      </c>
      <c r="B142" s="123" t="s">
        <v>493</v>
      </c>
      <c r="C142" s="20">
        <v>45112</v>
      </c>
      <c r="D142" s="123">
        <v>6416376</v>
      </c>
      <c r="E142" s="123" t="s">
        <v>191</v>
      </c>
      <c r="F142" s="123" t="s">
        <v>135</v>
      </c>
      <c r="G142" s="123" t="s">
        <v>192</v>
      </c>
      <c r="H142" s="17">
        <v>5212252</v>
      </c>
      <c r="I142" s="17" t="s">
        <v>23</v>
      </c>
      <c r="J142" s="123" t="s">
        <v>368</v>
      </c>
      <c r="K142" s="123">
        <v>25</v>
      </c>
      <c r="L142" s="123">
        <v>216</v>
      </c>
      <c r="M142" s="123">
        <f t="shared" ref="M142:M143" si="100">+L142*K142</f>
        <v>5400</v>
      </c>
      <c r="N142" s="20">
        <v>45112</v>
      </c>
      <c r="O142" s="123" t="s">
        <v>399</v>
      </c>
      <c r="P142" s="123" t="s">
        <v>144</v>
      </c>
      <c r="Q142" s="123" t="s">
        <v>30</v>
      </c>
      <c r="R142" s="123" t="s">
        <v>494</v>
      </c>
      <c r="S142" s="23">
        <v>251614388161</v>
      </c>
      <c r="T142" s="20">
        <v>45112</v>
      </c>
      <c r="U142" s="123"/>
      <c r="V142" s="123">
        <v>283</v>
      </c>
      <c r="W142" s="24">
        <v>45112.440972222219</v>
      </c>
      <c r="X142" s="24">
        <v>45112.565972222219</v>
      </c>
      <c r="Y142" s="25">
        <f t="shared" ref="Y142:Y143" si="101">+X142-W142</f>
        <v>0.125</v>
      </c>
      <c r="Z142" s="24">
        <v>45112.447916666664</v>
      </c>
      <c r="AA142" s="24">
        <v>45112.559027777781</v>
      </c>
      <c r="AB142" s="25">
        <f t="shared" ref="AB142:AB143" si="102">+AA142-Z142</f>
        <v>0.11111111111677019</v>
      </c>
    </row>
    <row r="143" spans="1:28" x14ac:dyDescent="0.25">
      <c r="A143" s="12">
        <v>45108</v>
      </c>
      <c r="B143" s="123" t="s">
        <v>493</v>
      </c>
      <c r="C143" s="20">
        <v>45112</v>
      </c>
      <c r="D143" s="123">
        <v>6182815</v>
      </c>
      <c r="E143" s="123" t="s">
        <v>191</v>
      </c>
      <c r="F143" s="123" t="s">
        <v>135</v>
      </c>
      <c r="G143" s="123" t="s">
        <v>192</v>
      </c>
      <c r="H143" s="17">
        <v>5212252</v>
      </c>
      <c r="I143" s="17" t="s">
        <v>23</v>
      </c>
      <c r="J143" s="123" t="s">
        <v>372</v>
      </c>
      <c r="K143" s="123">
        <v>25</v>
      </c>
      <c r="L143" s="123">
        <v>600</v>
      </c>
      <c r="M143" s="123">
        <f t="shared" si="100"/>
        <v>15000</v>
      </c>
      <c r="N143" s="20">
        <v>45112</v>
      </c>
      <c r="O143" s="123" t="s">
        <v>399</v>
      </c>
      <c r="P143" s="123" t="s">
        <v>144</v>
      </c>
      <c r="Q143" s="123" t="s">
        <v>30</v>
      </c>
      <c r="R143" s="123" t="s">
        <v>494</v>
      </c>
      <c r="S143" s="23">
        <v>251614388161</v>
      </c>
      <c r="T143" s="20">
        <v>45112</v>
      </c>
      <c r="U143" s="123"/>
      <c r="V143" s="123">
        <v>283</v>
      </c>
      <c r="W143" s="24">
        <v>45112.440972222219</v>
      </c>
      <c r="X143" s="24">
        <v>45112.565972222219</v>
      </c>
      <c r="Y143" s="25">
        <f t="shared" si="101"/>
        <v>0.125</v>
      </c>
      <c r="Z143" s="24">
        <v>45112.447916666664</v>
      </c>
      <c r="AA143" s="24">
        <v>45112.559027777781</v>
      </c>
      <c r="AB143" s="25">
        <f t="shared" si="102"/>
        <v>0.11111111111677019</v>
      </c>
    </row>
    <row r="144" spans="1:28" x14ac:dyDescent="0.25">
      <c r="A144" s="12">
        <v>45108</v>
      </c>
      <c r="B144" s="123" t="s">
        <v>495</v>
      </c>
      <c r="C144" s="20">
        <v>45112</v>
      </c>
      <c r="D144" s="123">
        <v>5743038</v>
      </c>
      <c r="E144" s="123" t="s">
        <v>191</v>
      </c>
      <c r="F144" s="123" t="s">
        <v>135</v>
      </c>
      <c r="G144" s="123" t="s">
        <v>192</v>
      </c>
      <c r="H144" s="17">
        <v>5212259</v>
      </c>
      <c r="I144" s="17" t="s">
        <v>26</v>
      </c>
      <c r="J144" s="123" t="s">
        <v>87</v>
      </c>
      <c r="K144" s="123">
        <v>25</v>
      </c>
      <c r="L144" s="123">
        <v>200</v>
      </c>
      <c r="M144" s="123">
        <f t="shared" ref="M144:M146" si="103">+L144*K144</f>
        <v>5000</v>
      </c>
      <c r="N144" s="20">
        <v>45112</v>
      </c>
      <c r="O144" s="123" t="s">
        <v>399</v>
      </c>
      <c r="P144" s="123" t="s">
        <v>144</v>
      </c>
      <c r="Q144" s="123" t="s">
        <v>30</v>
      </c>
      <c r="R144" s="123" t="s">
        <v>494</v>
      </c>
      <c r="S144" s="23">
        <v>251614351738</v>
      </c>
      <c r="T144" s="20">
        <v>45112</v>
      </c>
      <c r="U144" s="123"/>
      <c r="V144" s="123">
        <v>283</v>
      </c>
      <c r="W144" s="24">
        <v>45112.440972222219</v>
      </c>
      <c r="X144" s="24">
        <v>45112.565972222219</v>
      </c>
      <c r="Y144" s="25">
        <f t="shared" ref="Y144:Y146" si="104">+X144-W144</f>
        <v>0.125</v>
      </c>
      <c r="Z144" s="24">
        <v>45112.447916666664</v>
      </c>
      <c r="AA144" s="24">
        <v>45112.559027777781</v>
      </c>
      <c r="AB144" s="25">
        <f t="shared" ref="AB144:AB146" si="105">+AA144-Z144</f>
        <v>0.11111111111677019</v>
      </c>
    </row>
    <row r="145" spans="1:28" x14ac:dyDescent="0.25">
      <c r="A145" s="12">
        <v>45108</v>
      </c>
      <c r="B145" s="123" t="s">
        <v>496</v>
      </c>
      <c r="C145" s="20">
        <v>45111</v>
      </c>
      <c r="D145" s="123">
        <v>5852098</v>
      </c>
      <c r="E145" s="123" t="s">
        <v>452</v>
      </c>
      <c r="F145" s="123" t="s">
        <v>135</v>
      </c>
      <c r="G145" s="17" t="s">
        <v>132</v>
      </c>
      <c r="H145" s="17">
        <v>5200193</v>
      </c>
      <c r="I145" s="123" t="s">
        <v>41</v>
      </c>
      <c r="J145" s="123">
        <v>1223005101</v>
      </c>
      <c r="K145" s="123">
        <v>250</v>
      </c>
      <c r="L145" s="123">
        <v>66</v>
      </c>
      <c r="M145" s="123">
        <f t="shared" si="103"/>
        <v>16500</v>
      </c>
      <c r="N145" s="20">
        <v>45112</v>
      </c>
      <c r="O145" s="123" t="s">
        <v>424</v>
      </c>
      <c r="P145" s="123" t="s">
        <v>144</v>
      </c>
      <c r="Q145" s="123" t="s">
        <v>30</v>
      </c>
      <c r="R145" s="123" t="s">
        <v>497</v>
      </c>
      <c r="S145" s="23">
        <v>211614485907</v>
      </c>
      <c r="T145" s="20">
        <v>45112</v>
      </c>
      <c r="U145" s="123"/>
      <c r="V145" s="123">
        <v>284</v>
      </c>
      <c r="W145" s="24">
        <v>45112.631944444445</v>
      </c>
      <c r="X145" s="24">
        <v>45112.701388888891</v>
      </c>
      <c r="Y145" s="25">
        <f t="shared" si="104"/>
        <v>6.9444444445252884E-2</v>
      </c>
      <c r="Z145" s="24">
        <v>45112.638888888891</v>
      </c>
      <c r="AA145" s="24">
        <v>45112.694444444445</v>
      </c>
      <c r="AB145" s="25">
        <f t="shared" si="105"/>
        <v>5.5555555554747116E-2</v>
      </c>
    </row>
    <row r="146" spans="1:28" x14ac:dyDescent="0.25">
      <c r="A146" s="12">
        <v>45108</v>
      </c>
      <c r="B146" s="123" t="s">
        <v>498</v>
      </c>
      <c r="C146" s="20">
        <v>45112</v>
      </c>
      <c r="D146" s="123">
        <v>6146274</v>
      </c>
      <c r="E146" s="123" t="s">
        <v>471</v>
      </c>
      <c r="F146" s="123" t="s">
        <v>472</v>
      </c>
      <c r="G146" s="123" t="s">
        <v>192</v>
      </c>
      <c r="H146" s="17">
        <v>5205449</v>
      </c>
      <c r="I146" s="17" t="str">
        <f>VLOOKUP(H146,[1]MASTER!$A:$B,2,0)</f>
        <v>PVC-WH1000F-Premium-Bag-25KG</v>
      </c>
      <c r="J146" s="123">
        <v>1230239172</v>
      </c>
      <c r="K146" s="123">
        <v>25</v>
      </c>
      <c r="L146" s="123">
        <v>380</v>
      </c>
      <c r="M146" s="123">
        <f t="shared" si="103"/>
        <v>9500</v>
      </c>
      <c r="N146" s="20">
        <v>45112</v>
      </c>
      <c r="O146" s="123" t="s">
        <v>399</v>
      </c>
      <c r="P146" s="123" t="s">
        <v>144</v>
      </c>
      <c r="Q146" s="123" t="s">
        <v>30</v>
      </c>
      <c r="R146" s="123" t="s">
        <v>499</v>
      </c>
      <c r="S146" s="23">
        <v>201614573283</v>
      </c>
      <c r="T146" s="20">
        <v>45112</v>
      </c>
      <c r="U146" s="123"/>
      <c r="V146" s="123">
        <v>285</v>
      </c>
      <c r="W146" s="24">
        <v>45112.611111111109</v>
      </c>
      <c r="X146" s="24">
        <v>45112.798611111109</v>
      </c>
      <c r="Y146" s="25">
        <f t="shared" si="104"/>
        <v>0.1875</v>
      </c>
      <c r="Z146" s="24">
        <v>45112.625</v>
      </c>
      <c r="AA146" s="24">
        <v>45112.791666666664</v>
      </c>
      <c r="AB146" s="25">
        <f t="shared" si="105"/>
        <v>0.16666666666424135</v>
      </c>
    </row>
    <row r="147" spans="1:28" x14ac:dyDescent="0.25">
      <c r="A147" s="12">
        <v>45108</v>
      </c>
      <c r="B147" s="123" t="s">
        <v>498</v>
      </c>
      <c r="C147" s="20">
        <v>45112</v>
      </c>
      <c r="D147" s="123">
        <v>6146274</v>
      </c>
      <c r="E147" s="123" t="s">
        <v>471</v>
      </c>
      <c r="F147" s="123" t="s">
        <v>472</v>
      </c>
      <c r="G147" s="123" t="s">
        <v>192</v>
      </c>
      <c r="H147" s="17">
        <v>5205449</v>
      </c>
      <c r="I147" s="17" t="str">
        <f>VLOOKUP(H147,[1]MASTER!$A:$B,2,0)</f>
        <v>PVC-WH1000F-Premium-Bag-25KG</v>
      </c>
      <c r="J147" s="123">
        <v>1230238862</v>
      </c>
      <c r="K147" s="123">
        <v>25</v>
      </c>
      <c r="L147" s="123">
        <v>180</v>
      </c>
      <c r="M147" s="123">
        <f t="shared" ref="M147:M148" si="106">+L147*K147</f>
        <v>4500</v>
      </c>
      <c r="N147" s="20">
        <v>45112</v>
      </c>
      <c r="O147" s="123" t="s">
        <v>399</v>
      </c>
      <c r="P147" s="123" t="s">
        <v>144</v>
      </c>
      <c r="Q147" s="123" t="s">
        <v>30</v>
      </c>
      <c r="R147" s="123" t="s">
        <v>499</v>
      </c>
      <c r="S147" s="23">
        <v>201614573283</v>
      </c>
      <c r="T147" s="20">
        <v>45112</v>
      </c>
      <c r="U147" s="123"/>
      <c r="V147" s="123">
        <v>285</v>
      </c>
      <c r="W147" s="24">
        <v>45112.611111111109</v>
      </c>
      <c r="X147" s="24">
        <v>45112.798611111109</v>
      </c>
      <c r="Y147" s="25">
        <f t="shared" ref="Y147:Y148" si="107">+X147-W147</f>
        <v>0.1875</v>
      </c>
      <c r="Z147" s="24">
        <v>45112.625</v>
      </c>
      <c r="AA147" s="24">
        <v>45112.791666666664</v>
      </c>
      <c r="AB147" s="25">
        <f t="shared" ref="AB147:AB148" si="108">+AA147-Z147</f>
        <v>0.16666666666424135</v>
      </c>
    </row>
    <row r="148" spans="1:28" x14ac:dyDescent="0.25">
      <c r="A148" s="12">
        <v>45108</v>
      </c>
      <c r="B148" s="123" t="s">
        <v>498</v>
      </c>
      <c r="C148" s="20">
        <v>45112</v>
      </c>
      <c r="D148" s="123">
        <v>6146274</v>
      </c>
      <c r="E148" s="123" t="s">
        <v>471</v>
      </c>
      <c r="F148" s="123" t="s">
        <v>472</v>
      </c>
      <c r="G148" s="123" t="s">
        <v>192</v>
      </c>
      <c r="H148" s="17">
        <v>5205449</v>
      </c>
      <c r="I148" s="17" t="str">
        <f>VLOOKUP(H148,[1]MASTER!$A:$B,2,0)</f>
        <v>PVC-WH1000F-Premium-Bag-25KG</v>
      </c>
      <c r="J148" s="123">
        <v>1230237662</v>
      </c>
      <c r="K148" s="123">
        <v>25</v>
      </c>
      <c r="L148" s="123">
        <v>560</v>
      </c>
      <c r="M148" s="123">
        <f t="shared" si="106"/>
        <v>14000</v>
      </c>
      <c r="N148" s="20">
        <v>45112</v>
      </c>
      <c r="O148" s="123" t="s">
        <v>399</v>
      </c>
      <c r="P148" s="123" t="s">
        <v>144</v>
      </c>
      <c r="Q148" s="123" t="s">
        <v>30</v>
      </c>
      <c r="R148" s="123" t="s">
        <v>499</v>
      </c>
      <c r="S148" s="23">
        <v>201614573283</v>
      </c>
      <c r="T148" s="20">
        <v>45112</v>
      </c>
      <c r="U148" s="123"/>
      <c r="V148" s="123">
        <v>285</v>
      </c>
      <c r="W148" s="24">
        <v>45112.611111111109</v>
      </c>
      <c r="X148" s="24">
        <v>45112.798611111109</v>
      </c>
      <c r="Y148" s="25">
        <f t="shared" si="107"/>
        <v>0.1875</v>
      </c>
      <c r="Z148" s="24">
        <v>45112.625</v>
      </c>
      <c r="AA148" s="24">
        <v>45112.791666666664</v>
      </c>
      <c r="AB148" s="25">
        <f t="shared" si="108"/>
        <v>0.16666666666424135</v>
      </c>
    </row>
    <row r="149" spans="1:28" x14ac:dyDescent="0.25">
      <c r="A149" s="12">
        <v>45108</v>
      </c>
      <c r="B149" s="123" t="s">
        <v>500</v>
      </c>
      <c r="C149" s="20">
        <v>45112</v>
      </c>
      <c r="D149" s="123">
        <v>6146274</v>
      </c>
      <c r="E149" s="123" t="s">
        <v>471</v>
      </c>
      <c r="F149" s="123" t="s">
        <v>472</v>
      </c>
      <c r="G149" s="123" t="s">
        <v>192</v>
      </c>
      <c r="H149" s="17">
        <v>5205449</v>
      </c>
      <c r="I149" s="17" t="str">
        <f>VLOOKUP(H149,[1]MASTER!$A:$B,2,0)</f>
        <v>PVC-WH1000F-Premium-Bag-25KG</v>
      </c>
      <c r="J149" s="123">
        <v>1230237662</v>
      </c>
      <c r="K149" s="123">
        <v>25</v>
      </c>
      <c r="L149" s="123">
        <v>80</v>
      </c>
      <c r="M149" s="123">
        <f t="shared" ref="M149:M150" si="109">+L149*K149</f>
        <v>2000</v>
      </c>
      <c r="N149" s="20">
        <v>45112</v>
      </c>
      <c r="O149" s="123" t="s">
        <v>399</v>
      </c>
      <c r="P149" s="123" t="s">
        <v>144</v>
      </c>
      <c r="Q149" s="123" t="s">
        <v>30</v>
      </c>
      <c r="R149" s="123" t="s">
        <v>499</v>
      </c>
      <c r="S149" s="23">
        <v>251614580668</v>
      </c>
      <c r="T149" s="20">
        <v>45112</v>
      </c>
      <c r="U149" s="123"/>
      <c r="V149" s="123">
        <v>285</v>
      </c>
      <c r="W149" s="24">
        <v>45112.611111111109</v>
      </c>
      <c r="X149" s="24">
        <v>45112.798611111109</v>
      </c>
      <c r="Y149" s="25">
        <f t="shared" ref="Y149:Y150" si="110">+X149-W149</f>
        <v>0.1875</v>
      </c>
      <c r="Z149" s="24">
        <v>45112.625</v>
      </c>
      <c r="AA149" s="24">
        <v>45112.791666666664</v>
      </c>
      <c r="AB149" s="25">
        <f t="shared" ref="AB149:AB150" si="111">+AA149-Z149</f>
        <v>0.16666666666424135</v>
      </c>
    </row>
    <row r="150" spans="1:28" x14ac:dyDescent="0.25">
      <c r="A150" s="12">
        <v>45108</v>
      </c>
      <c r="B150" s="123" t="s">
        <v>501</v>
      </c>
      <c r="C150" s="20">
        <v>45113</v>
      </c>
      <c r="D150" s="123">
        <v>5851097</v>
      </c>
      <c r="E150" s="123" t="s">
        <v>191</v>
      </c>
      <c r="F150" s="123" t="s">
        <v>135</v>
      </c>
      <c r="G150" s="123" t="s">
        <v>192</v>
      </c>
      <c r="H150" s="17">
        <v>5211013</v>
      </c>
      <c r="I150" s="17" t="s">
        <v>27</v>
      </c>
      <c r="J150" s="123" t="s">
        <v>98</v>
      </c>
      <c r="K150" s="123">
        <v>25</v>
      </c>
      <c r="L150" s="123">
        <v>600</v>
      </c>
      <c r="M150" s="123">
        <f t="shared" si="109"/>
        <v>15000</v>
      </c>
      <c r="N150" s="20">
        <v>45113</v>
      </c>
      <c r="O150" s="123" t="s">
        <v>399</v>
      </c>
      <c r="P150" s="123" t="s">
        <v>144</v>
      </c>
      <c r="Q150" s="123" t="s">
        <v>30</v>
      </c>
      <c r="R150" s="123" t="s">
        <v>502</v>
      </c>
      <c r="S150" s="23">
        <v>201614911876</v>
      </c>
      <c r="T150" s="20">
        <v>45113</v>
      </c>
      <c r="U150" s="123"/>
      <c r="V150" s="123">
        <v>286</v>
      </c>
      <c r="W150" s="24">
        <v>45113.458333333336</v>
      </c>
      <c r="X150" s="24">
        <v>45113.565972222219</v>
      </c>
      <c r="Y150" s="25">
        <f t="shared" si="110"/>
        <v>0.10763888888322981</v>
      </c>
      <c r="Z150" s="24">
        <v>45113.472222222219</v>
      </c>
      <c r="AA150" s="24">
        <v>45113.559027777781</v>
      </c>
      <c r="AB150" s="25">
        <f t="shared" si="111"/>
        <v>8.6805555562023073E-2</v>
      </c>
    </row>
    <row r="151" spans="1:28" x14ac:dyDescent="0.25">
      <c r="A151" s="12">
        <v>45108</v>
      </c>
      <c r="B151" s="123" t="s">
        <v>501</v>
      </c>
      <c r="C151" s="20">
        <v>45113</v>
      </c>
      <c r="D151" s="123">
        <v>6182815</v>
      </c>
      <c r="E151" s="123" t="s">
        <v>191</v>
      </c>
      <c r="F151" s="123" t="s">
        <v>135</v>
      </c>
      <c r="G151" s="123" t="s">
        <v>192</v>
      </c>
      <c r="H151" s="17">
        <v>5212252</v>
      </c>
      <c r="I151" s="17" t="s">
        <v>23</v>
      </c>
      <c r="J151" s="123" t="s">
        <v>372</v>
      </c>
      <c r="K151" s="123">
        <v>25</v>
      </c>
      <c r="L151" s="123">
        <v>440</v>
      </c>
      <c r="M151" s="123">
        <f t="shared" ref="M151:M155" si="112">+L151*K151</f>
        <v>11000</v>
      </c>
      <c r="N151" s="20">
        <v>45113</v>
      </c>
      <c r="O151" s="123" t="s">
        <v>399</v>
      </c>
      <c r="P151" s="123" t="s">
        <v>144</v>
      </c>
      <c r="Q151" s="123" t="s">
        <v>30</v>
      </c>
      <c r="R151" s="123" t="s">
        <v>502</v>
      </c>
      <c r="S151" s="23">
        <v>201614911876</v>
      </c>
      <c r="T151" s="20">
        <v>45113</v>
      </c>
      <c r="U151" s="123"/>
      <c r="V151" s="123">
        <v>286</v>
      </c>
      <c r="W151" s="24">
        <v>45113.458333333336</v>
      </c>
      <c r="X151" s="24">
        <v>45113.565972222219</v>
      </c>
      <c r="Y151" s="25">
        <f t="shared" ref="Y151:Y155" si="113">+X151-W151</f>
        <v>0.10763888888322981</v>
      </c>
      <c r="Z151" s="24">
        <v>45113.472222222219</v>
      </c>
      <c r="AA151" s="24">
        <v>45113.559027777781</v>
      </c>
      <c r="AB151" s="25">
        <f t="shared" ref="AB151:AB155" si="114">+AA151-Z151</f>
        <v>8.6805555562023073E-2</v>
      </c>
    </row>
    <row r="152" spans="1:28" x14ac:dyDescent="0.25">
      <c r="A152" s="12">
        <v>45108</v>
      </c>
      <c r="B152" s="123" t="s">
        <v>501</v>
      </c>
      <c r="C152" s="20">
        <v>45113</v>
      </c>
      <c r="D152" s="123">
        <v>6182815</v>
      </c>
      <c r="E152" s="123" t="s">
        <v>191</v>
      </c>
      <c r="F152" s="123" t="s">
        <v>135</v>
      </c>
      <c r="G152" s="123" t="s">
        <v>192</v>
      </c>
      <c r="H152" s="17">
        <v>5212252</v>
      </c>
      <c r="I152" s="17" t="s">
        <v>23</v>
      </c>
      <c r="J152" s="123" t="s">
        <v>373</v>
      </c>
      <c r="K152" s="123">
        <v>25</v>
      </c>
      <c r="L152" s="123">
        <v>160</v>
      </c>
      <c r="M152" s="123">
        <f t="shared" ref="M152" si="115">+L152*K152</f>
        <v>4000</v>
      </c>
      <c r="N152" s="20">
        <v>45113</v>
      </c>
      <c r="O152" s="123" t="s">
        <v>399</v>
      </c>
      <c r="P152" s="123" t="s">
        <v>144</v>
      </c>
      <c r="Q152" s="123" t="s">
        <v>30</v>
      </c>
      <c r="R152" s="123" t="s">
        <v>502</v>
      </c>
      <c r="S152" s="23">
        <v>201614911876</v>
      </c>
      <c r="T152" s="20">
        <v>45113</v>
      </c>
      <c r="U152" s="123"/>
      <c r="V152" s="123">
        <v>286</v>
      </c>
      <c r="W152" s="24">
        <v>45113.458333333336</v>
      </c>
      <c r="X152" s="24">
        <v>45113.565972222219</v>
      </c>
      <c r="Y152" s="25">
        <f t="shared" ref="Y152" si="116">+X152-W152</f>
        <v>0.10763888888322981</v>
      </c>
      <c r="Z152" s="24">
        <v>45113.472222222219</v>
      </c>
      <c r="AA152" s="24">
        <v>45113.559027777781</v>
      </c>
      <c r="AB152" s="25">
        <f t="shared" ref="AB152" si="117">+AA152-Z152</f>
        <v>8.6805555562023073E-2</v>
      </c>
    </row>
    <row r="153" spans="1:28" x14ac:dyDescent="0.25">
      <c r="A153" s="12">
        <v>45108</v>
      </c>
      <c r="B153" s="123" t="s">
        <v>503</v>
      </c>
      <c r="C153" s="20">
        <v>45113</v>
      </c>
      <c r="D153" s="123">
        <v>5080127</v>
      </c>
      <c r="E153" s="123" t="s">
        <v>196</v>
      </c>
      <c r="F153" s="123" t="s">
        <v>197</v>
      </c>
      <c r="G153" s="17" t="s">
        <v>132</v>
      </c>
      <c r="H153" s="17">
        <v>5230831</v>
      </c>
      <c r="I153" s="17" t="s">
        <v>35</v>
      </c>
      <c r="J153" s="21" t="s">
        <v>59</v>
      </c>
      <c r="K153" s="123">
        <v>240</v>
      </c>
      <c r="L153" s="123">
        <v>40</v>
      </c>
      <c r="M153" s="123">
        <f t="shared" si="112"/>
        <v>9600</v>
      </c>
      <c r="N153" s="20">
        <v>45113</v>
      </c>
      <c r="O153" s="123" t="s">
        <v>136</v>
      </c>
      <c r="P153" s="123" t="s">
        <v>144</v>
      </c>
      <c r="Q153" s="123" t="s">
        <v>30</v>
      </c>
      <c r="R153" s="123" t="s">
        <v>265</v>
      </c>
      <c r="S153" s="23">
        <v>271614968589</v>
      </c>
      <c r="T153" s="20">
        <v>45113</v>
      </c>
      <c r="U153" s="123"/>
      <c r="V153" s="123">
        <v>287</v>
      </c>
      <c r="W153" s="24">
        <v>45113.583333333336</v>
      </c>
      <c r="X153" s="24">
        <v>45113.677083333336</v>
      </c>
      <c r="Y153" s="25">
        <f t="shared" si="113"/>
        <v>9.375E-2</v>
      </c>
      <c r="Z153" s="24">
        <v>45113.659722222219</v>
      </c>
      <c r="AA153" s="24">
        <v>45113.673611111109</v>
      </c>
      <c r="AB153" s="25">
        <f t="shared" si="114"/>
        <v>1.3888888890505768E-2</v>
      </c>
    </row>
    <row r="154" spans="1:28" x14ac:dyDescent="0.25">
      <c r="A154" s="12">
        <v>45108</v>
      </c>
      <c r="B154" s="123" t="s">
        <v>504</v>
      </c>
      <c r="C154" s="20">
        <v>45112</v>
      </c>
      <c r="D154" s="123">
        <v>3486142</v>
      </c>
      <c r="E154" s="123" t="s">
        <v>505</v>
      </c>
      <c r="F154" s="123" t="s">
        <v>506</v>
      </c>
      <c r="G154" s="17" t="s">
        <v>132</v>
      </c>
      <c r="H154" s="17">
        <v>5302870</v>
      </c>
      <c r="I154" s="17" t="s">
        <v>481</v>
      </c>
      <c r="J154" s="21" t="s">
        <v>483</v>
      </c>
      <c r="K154" s="123">
        <v>210</v>
      </c>
      <c r="L154" s="123">
        <v>2</v>
      </c>
      <c r="M154" s="123">
        <f t="shared" si="112"/>
        <v>420</v>
      </c>
      <c r="N154" s="20">
        <v>45113</v>
      </c>
      <c r="O154" s="123" t="s">
        <v>186</v>
      </c>
      <c r="P154" s="123" t="s">
        <v>507</v>
      </c>
      <c r="Q154" s="123" t="s">
        <v>30</v>
      </c>
      <c r="R154" s="123" t="s">
        <v>233</v>
      </c>
      <c r="S154" s="23" t="s">
        <v>508</v>
      </c>
      <c r="T154" s="20">
        <v>45113</v>
      </c>
      <c r="U154" s="123"/>
      <c r="V154" s="123">
        <v>288</v>
      </c>
      <c r="W154" s="24">
        <v>45113.684027777781</v>
      </c>
      <c r="X154" s="24">
        <v>45113.697916666664</v>
      </c>
      <c r="Y154" s="25">
        <f t="shared" si="113"/>
        <v>1.3888888883229811E-2</v>
      </c>
      <c r="Z154" s="24">
        <v>45113.6875</v>
      </c>
      <c r="AA154" s="24">
        <v>45113.694444444445</v>
      </c>
      <c r="AB154" s="25">
        <f t="shared" si="114"/>
        <v>6.9444444452528842E-3</v>
      </c>
    </row>
    <row r="155" spans="1:28" x14ac:dyDescent="0.25">
      <c r="A155" s="12">
        <v>45108</v>
      </c>
      <c r="B155" s="123" t="s">
        <v>509</v>
      </c>
      <c r="C155" s="20">
        <v>45113</v>
      </c>
      <c r="D155" s="123">
        <v>2900840</v>
      </c>
      <c r="E155" s="123" t="s">
        <v>452</v>
      </c>
      <c r="F155" s="123" t="s">
        <v>456</v>
      </c>
      <c r="G155" s="17" t="s">
        <v>132</v>
      </c>
      <c r="H155" s="17">
        <v>5200193</v>
      </c>
      <c r="I155" s="123" t="s">
        <v>41</v>
      </c>
      <c r="J155" s="21" t="s">
        <v>450</v>
      </c>
      <c r="K155" s="123">
        <v>250</v>
      </c>
      <c r="L155" s="123">
        <v>43</v>
      </c>
      <c r="M155" s="123">
        <f t="shared" si="112"/>
        <v>10750</v>
      </c>
      <c r="N155" s="20">
        <v>45113</v>
      </c>
      <c r="O155" s="123" t="s">
        <v>133</v>
      </c>
      <c r="P155" s="123" t="s">
        <v>144</v>
      </c>
      <c r="Q155" s="123" t="s">
        <v>30</v>
      </c>
      <c r="R155" s="123" t="s">
        <v>361</v>
      </c>
      <c r="S155" s="23">
        <v>251615002710</v>
      </c>
      <c r="T155" s="20">
        <v>45113</v>
      </c>
      <c r="U155" s="123"/>
      <c r="V155" s="123">
        <v>289</v>
      </c>
      <c r="W155" s="24">
        <v>45113.638888888891</v>
      </c>
      <c r="X155" s="24">
        <v>45113.722222222219</v>
      </c>
      <c r="Y155" s="25">
        <f t="shared" si="113"/>
        <v>8.3333333328482695E-2</v>
      </c>
      <c r="Z155" s="24">
        <v>45113.694444444445</v>
      </c>
      <c r="AA155" s="24">
        <v>45113.722222222219</v>
      </c>
      <c r="AB155" s="25">
        <f t="shared" si="114"/>
        <v>2.7777777773735579E-2</v>
      </c>
    </row>
    <row r="156" spans="1:28" x14ac:dyDescent="0.25">
      <c r="A156" s="12">
        <v>45108</v>
      </c>
      <c r="B156" s="123" t="s">
        <v>510</v>
      </c>
      <c r="C156" s="20">
        <v>45113</v>
      </c>
      <c r="D156" s="123">
        <v>2900840</v>
      </c>
      <c r="E156" s="123" t="s">
        <v>452</v>
      </c>
      <c r="F156" s="123" t="s">
        <v>456</v>
      </c>
      <c r="G156" s="17" t="s">
        <v>132</v>
      </c>
      <c r="H156" s="17">
        <v>5200193</v>
      </c>
      <c r="I156" s="123" t="s">
        <v>41</v>
      </c>
      <c r="J156" s="21" t="s">
        <v>450</v>
      </c>
      <c r="K156" s="123">
        <v>250</v>
      </c>
      <c r="L156" s="123">
        <v>43</v>
      </c>
      <c r="M156" s="123">
        <f t="shared" ref="M156:M159" si="118">+L156*K156</f>
        <v>10750</v>
      </c>
      <c r="N156" s="20">
        <v>45113</v>
      </c>
      <c r="O156" s="123" t="s">
        <v>133</v>
      </c>
      <c r="P156" s="123" t="s">
        <v>144</v>
      </c>
      <c r="Q156" s="123" t="s">
        <v>30</v>
      </c>
      <c r="R156" s="123" t="s">
        <v>459</v>
      </c>
      <c r="S156" s="23">
        <v>251615004039</v>
      </c>
      <c r="T156" s="20">
        <v>45113</v>
      </c>
      <c r="U156" s="123"/>
      <c r="V156" s="123">
        <v>290</v>
      </c>
      <c r="W156" s="24">
        <v>45113.638888888891</v>
      </c>
      <c r="X156" s="24">
        <v>45113.722222222219</v>
      </c>
      <c r="Y156" s="25">
        <f t="shared" ref="Y156:Y159" si="119">+X156-W156</f>
        <v>8.3333333328482695E-2</v>
      </c>
      <c r="Z156" s="24">
        <v>45113.694444444445</v>
      </c>
      <c r="AA156" s="24">
        <v>45113.722222222219</v>
      </c>
      <c r="AB156" s="25">
        <f t="shared" ref="AB156:AB159" si="120">+AA156-Z156</f>
        <v>2.7777777773735579E-2</v>
      </c>
    </row>
    <row r="157" spans="1:28" x14ac:dyDescent="0.25">
      <c r="A157" s="12">
        <v>45108</v>
      </c>
      <c r="B157" s="123" t="s">
        <v>511</v>
      </c>
      <c r="C157" s="20">
        <v>45114</v>
      </c>
      <c r="D157" s="123">
        <v>6182815</v>
      </c>
      <c r="E157" s="123" t="s">
        <v>191</v>
      </c>
      <c r="F157" s="123" t="s">
        <v>135</v>
      </c>
      <c r="G157" s="123" t="s">
        <v>192</v>
      </c>
      <c r="H157" s="17">
        <v>5212252</v>
      </c>
      <c r="I157" s="17" t="s">
        <v>23</v>
      </c>
      <c r="J157" s="123" t="s">
        <v>373</v>
      </c>
      <c r="K157" s="123">
        <v>25</v>
      </c>
      <c r="L157" s="123">
        <v>400</v>
      </c>
      <c r="M157" s="123">
        <f t="shared" si="118"/>
        <v>10000</v>
      </c>
      <c r="N157" s="20">
        <v>45114</v>
      </c>
      <c r="O157" s="123" t="s">
        <v>136</v>
      </c>
      <c r="P157" s="123" t="s">
        <v>144</v>
      </c>
      <c r="Q157" s="123" t="s">
        <v>30</v>
      </c>
      <c r="R157" s="123" t="s">
        <v>512</v>
      </c>
      <c r="S157" s="23">
        <v>201615538278</v>
      </c>
      <c r="T157" s="20">
        <v>45114</v>
      </c>
      <c r="U157" s="123"/>
      <c r="V157" s="123">
        <v>291</v>
      </c>
      <c r="W157" s="24">
        <v>45114.673611111109</v>
      </c>
      <c r="X157" s="24">
        <v>45114.75</v>
      </c>
      <c r="Y157" s="25">
        <f t="shared" si="119"/>
        <v>7.6388888890505768E-2</v>
      </c>
      <c r="Z157" s="24">
        <v>45114.708333333336</v>
      </c>
      <c r="AA157" s="24">
        <v>45114.743055555555</v>
      </c>
      <c r="AB157" s="25">
        <f t="shared" si="120"/>
        <v>3.4722222218988463E-2</v>
      </c>
    </row>
    <row r="158" spans="1:28" x14ac:dyDescent="0.25">
      <c r="A158" s="12">
        <v>45108</v>
      </c>
      <c r="B158" s="123" t="s">
        <v>513</v>
      </c>
      <c r="C158" s="20">
        <v>45114</v>
      </c>
      <c r="D158" s="123">
        <v>2900840</v>
      </c>
      <c r="E158" s="123" t="s">
        <v>342</v>
      </c>
      <c r="F158" s="123" t="s">
        <v>343</v>
      </c>
      <c r="G158" s="17" t="s">
        <v>192</v>
      </c>
      <c r="H158" s="17">
        <v>5200193</v>
      </c>
      <c r="I158" s="123" t="s">
        <v>41</v>
      </c>
      <c r="J158" s="21" t="s">
        <v>450</v>
      </c>
      <c r="K158" s="123">
        <v>250</v>
      </c>
      <c r="L158" s="123">
        <v>32</v>
      </c>
      <c r="M158" s="123">
        <f t="shared" si="118"/>
        <v>8000</v>
      </c>
      <c r="N158" s="20">
        <v>45114</v>
      </c>
      <c r="O158" s="123" t="s">
        <v>177</v>
      </c>
      <c r="P158" s="123" t="s">
        <v>134</v>
      </c>
      <c r="Q158" s="123">
        <v>2172</v>
      </c>
      <c r="R158" s="123" t="s">
        <v>514</v>
      </c>
      <c r="S158" s="23">
        <v>221615522181</v>
      </c>
      <c r="T158" s="20">
        <v>45114</v>
      </c>
      <c r="U158" s="123"/>
      <c r="V158" s="123">
        <v>292</v>
      </c>
      <c r="W158" s="24">
        <v>45114.670138888891</v>
      </c>
      <c r="X158" s="24">
        <v>45114.736111111109</v>
      </c>
      <c r="Y158" s="25">
        <f t="shared" si="119"/>
        <v>6.5972222218988463E-2</v>
      </c>
      <c r="Z158" s="24">
        <v>45114.708333333336</v>
      </c>
      <c r="AA158" s="24">
        <v>45114.729166666664</v>
      </c>
      <c r="AB158" s="25">
        <f t="shared" si="120"/>
        <v>2.0833333328482695E-2</v>
      </c>
    </row>
    <row r="159" spans="1:28" x14ac:dyDescent="0.25">
      <c r="A159" s="12">
        <v>45108</v>
      </c>
      <c r="B159" s="123" t="s">
        <v>515</v>
      </c>
      <c r="C159" s="20">
        <v>45114</v>
      </c>
      <c r="D159" s="123">
        <v>6182815</v>
      </c>
      <c r="E159" s="123" t="s">
        <v>418</v>
      </c>
      <c r="F159" s="123" t="s">
        <v>386</v>
      </c>
      <c r="G159" s="123" t="s">
        <v>192</v>
      </c>
      <c r="H159" s="17">
        <v>5212252</v>
      </c>
      <c r="I159" s="17" t="s">
        <v>23</v>
      </c>
      <c r="J159" s="123" t="s">
        <v>373</v>
      </c>
      <c r="K159" s="123">
        <v>25</v>
      </c>
      <c r="L159" s="123">
        <v>1</v>
      </c>
      <c r="M159" s="123">
        <f t="shared" si="118"/>
        <v>25</v>
      </c>
      <c r="N159" s="20">
        <v>45114</v>
      </c>
      <c r="O159" s="123" t="s">
        <v>186</v>
      </c>
      <c r="P159" s="123" t="s">
        <v>187</v>
      </c>
      <c r="Q159" s="123" t="s">
        <v>30</v>
      </c>
      <c r="R159" s="123" t="s">
        <v>233</v>
      </c>
      <c r="S159" s="23" t="s">
        <v>516</v>
      </c>
      <c r="T159" s="20">
        <v>45114</v>
      </c>
      <c r="U159" s="123"/>
      <c r="V159" s="123">
        <v>293</v>
      </c>
      <c r="W159" s="24">
        <v>45114.75</v>
      </c>
      <c r="X159" s="24">
        <v>45114.756944444445</v>
      </c>
      <c r="Y159" s="25">
        <f t="shared" si="119"/>
        <v>6.9444444452528842E-3</v>
      </c>
      <c r="Z159" s="24">
        <v>45114.75</v>
      </c>
      <c r="AA159" s="24">
        <v>45114.753472222219</v>
      </c>
      <c r="AB159" s="25">
        <f t="shared" si="120"/>
        <v>3.4722222189884633E-3</v>
      </c>
    </row>
    <row r="160" spans="1:28" x14ac:dyDescent="0.25">
      <c r="A160" s="12">
        <v>45108</v>
      </c>
      <c r="B160" s="123" t="s">
        <v>515</v>
      </c>
      <c r="C160" s="20">
        <v>45114</v>
      </c>
      <c r="D160" s="123">
        <v>5936674</v>
      </c>
      <c r="E160" s="123" t="s">
        <v>418</v>
      </c>
      <c r="F160" s="123" t="s">
        <v>386</v>
      </c>
      <c r="G160" s="123" t="s">
        <v>192</v>
      </c>
      <c r="H160" s="17">
        <v>5210933</v>
      </c>
      <c r="I160" s="123" t="s">
        <v>21</v>
      </c>
      <c r="J160" s="123" t="s">
        <v>90</v>
      </c>
      <c r="K160" s="123">
        <v>25</v>
      </c>
      <c r="L160" s="123">
        <v>1</v>
      </c>
      <c r="M160" s="123">
        <f t="shared" ref="M160:M167" si="121">+L160*K160</f>
        <v>25</v>
      </c>
      <c r="N160" s="20">
        <v>45114</v>
      </c>
      <c r="O160" s="123" t="s">
        <v>186</v>
      </c>
      <c r="P160" s="123" t="s">
        <v>187</v>
      </c>
      <c r="Q160" s="123" t="s">
        <v>30</v>
      </c>
      <c r="R160" s="123" t="s">
        <v>233</v>
      </c>
      <c r="S160" s="23" t="s">
        <v>516</v>
      </c>
      <c r="T160" s="20">
        <v>45114</v>
      </c>
      <c r="U160" s="123"/>
      <c r="V160" s="123">
        <v>293</v>
      </c>
      <c r="W160" s="24">
        <v>45114.75</v>
      </c>
      <c r="X160" s="24">
        <v>45114.756944444445</v>
      </c>
      <c r="Y160" s="25">
        <f t="shared" ref="Y160:Y167" si="122">+X160-W160</f>
        <v>6.9444444452528842E-3</v>
      </c>
      <c r="Z160" s="24">
        <v>45114.75</v>
      </c>
      <c r="AA160" s="24">
        <v>45114.753472222219</v>
      </c>
      <c r="AB160" s="25">
        <f t="shared" ref="AB160:AB167" si="123">+AA160-Z160</f>
        <v>3.4722222189884633E-3</v>
      </c>
    </row>
    <row r="161" spans="1:28" x14ac:dyDescent="0.25">
      <c r="A161" s="12">
        <v>45108</v>
      </c>
      <c r="B161" s="123" t="s">
        <v>518</v>
      </c>
      <c r="C161" s="20">
        <v>45114</v>
      </c>
      <c r="D161" s="123">
        <v>6182815</v>
      </c>
      <c r="E161" s="123" t="s">
        <v>420</v>
      </c>
      <c r="F161" s="123" t="s">
        <v>423</v>
      </c>
      <c r="G161" s="123" t="s">
        <v>192</v>
      </c>
      <c r="H161" s="17">
        <v>5212252</v>
      </c>
      <c r="I161" s="17" t="s">
        <v>23</v>
      </c>
      <c r="J161" s="123" t="s">
        <v>373</v>
      </c>
      <c r="K161" s="123">
        <v>25</v>
      </c>
      <c r="L161" s="123">
        <v>319</v>
      </c>
      <c r="M161" s="123">
        <f t="shared" si="121"/>
        <v>7975</v>
      </c>
      <c r="N161" s="20">
        <v>45115</v>
      </c>
      <c r="O161" s="123" t="s">
        <v>425</v>
      </c>
      <c r="P161" s="123" t="s">
        <v>134</v>
      </c>
      <c r="Q161" s="123">
        <v>2173</v>
      </c>
      <c r="R161" s="123" t="s">
        <v>519</v>
      </c>
      <c r="S161" s="23">
        <v>261615785968</v>
      </c>
      <c r="T161" s="20">
        <v>45115</v>
      </c>
      <c r="U161" s="123"/>
      <c r="V161" s="123">
        <v>294</v>
      </c>
      <c r="W161" s="24">
        <v>45115.420138888891</v>
      </c>
      <c r="X161" s="24">
        <v>45115.489583333336</v>
      </c>
      <c r="Y161" s="25">
        <f t="shared" si="122"/>
        <v>6.9444444445252884E-2</v>
      </c>
      <c r="Z161" s="24">
        <v>45115.427083333336</v>
      </c>
      <c r="AA161" s="24">
        <v>45115.482638888891</v>
      </c>
      <c r="AB161" s="25">
        <f t="shared" si="123"/>
        <v>5.5555555554747116E-2</v>
      </c>
    </row>
    <row r="162" spans="1:28" x14ac:dyDescent="0.25">
      <c r="A162" s="12">
        <v>45108</v>
      </c>
      <c r="B162" s="123" t="s">
        <v>518</v>
      </c>
      <c r="C162" s="20">
        <v>45114</v>
      </c>
      <c r="D162" s="123">
        <v>6182815</v>
      </c>
      <c r="E162" s="123" t="s">
        <v>420</v>
      </c>
      <c r="F162" s="123" t="s">
        <v>423</v>
      </c>
      <c r="G162" s="123" t="s">
        <v>192</v>
      </c>
      <c r="H162" s="17">
        <v>5212252</v>
      </c>
      <c r="I162" s="17" t="s">
        <v>23</v>
      </c>
      <c r="J162" s="123" t="s">
        <v>73</v>
      </c>
      <c r="K162" s="123">
        <v>25</v>
      </c>
      <c r="L162" s="123">
        <v>40</v>
      </c>
      <c r="M162" s="123">
        <f t="shared" ref="M162:M164" si="124">+L162*K162</f>
        <v>1000</v>
      </c>
      <c r="N162" s="20">
        <v>45115</v>
      </c>
      <c r="O162" s="123" t="s">
        <v>425</v>
      </c>
      <c r="P162" s="123" t="s">
        <v>134</v>
      </c>
      <c r="Q162" s="123">
        <v>2173</v>
      </c>
      <c r="R162" s="123" t="s">
        <v>519</v>
      </c>
      <c r="S162" s="23">
        <v>261615785968</v>
      </c>
      <c r="T162" s="20">
        <v>45115</v>
      </c>
      <c r="U162" s="123"/>
      <c r="V162" s="123">
        <v>294</v>
      </c>
      <c r="W162" s="24">
        <v>45115.420138888891</v>
      </c>
      <c r="X162" s="24">
        <v>45115.489583333336</v>
      </c>
      <c r="Y162" s="25">
        <f t="shared" ref="Y162:Y164" si="125">+X162-W162</f>
        <v>6.9444444445252884E-2</v>
      </c>
      <c r="Z162" s="24">
        <v>45115.427083333336</v>
      </c>
      <c r="AA162" s="24">
        <v>45115.482638888891</v>
      </c>
      <c r="AB162" s="25">
        <f t="shared" ref="AB162:AB164" si="126">+AA162-Z162</f>
        <v>5.5555555554747116E-2</v>
      </c>
    </row>
    <row r="163" spans="1:28" x14ac:dyDescent="0.25">
      <c r="A163" s="12">
        <v>45108</v>
      </c>
      <c r="B163" s="123" t="s">
        <v>518</v>
      </c>
      <c r="C163" s="20">
        <v>45114</v>
      </c>
      <c r="D163" s="123">
        <v>6182815</v>
      </c>
      <c r="E163" s="123" t="s">
        <v>420</v>
      </c>
      <c r="F163" s="123" t="s">
        <v>423</v>
      </c>
      <c r="G163" s="123" t="s">
        <v>192</v>
      </c>
      <c r="H163" s="17">
        <v>5212252</v>
      </c>
      <c r="I163" s="17" t="s">
        <v>23</v>
      </c>
      <c r="J163" s="123" t="s">
        <v>47</v>
      </c>
      <c r="K163" s="123">
        <v>25</v>
      </c>
      <c r="L163" s="123">
        <v>120</v>
      </c>
      <c r="M163" s="123">
        <f t="shared" si="124"/>
        <v>3000</v>
      </c>
      <c r="N163" s="20">
        <v>45115</v>
      </c>
      <c r="O163" s="123" t="s">
        <v>425</v>
      </c>
      <c r="P163" s="123" t="s">
        <v>134</v>
      </c>
      <c r="Q163" s="123">
        <v>2173</v>
      </c>
      <c r="R163" s="123" t="s">
        <v>519</v>
      </c>
      <c r="S163" s="23">
        <v>261615785968</v>
      </c>
      <c r="T163" s="20">
        <v>45115</v>
      </c>
      <c r="U163" s="123"/>
      <c r="V163" s="123">
        <v>294</v>
      </c>
      <c r="W163" s="24">
        <v>45115.420138888891</v>
      </c>
      <c r="X163" s="24">
        <v>45115.489583333336</v>
      </c>
      <c r="Y163" s="25">
        <f t="shared" si="125"/>
        <v>6.9444444445252884E-2</v>
      </c>
      <c r="Z163" s="24">
        <v>45115.427083333336</v>
      </c>
      <c r="AA163" s="24">
        <v>45115.482638888891</v>
      </c>
      <c r="AB163" s="25">
        <f t="shared" si="126"/>
        <v>5.5555555554747116E-2</v>
      </c>
    </row>
    <row r="164" spans="1:28" x14ac:dyDescent="0.25">
      <c r="A164" s="12">
        <v>45108</v>
      </c>
      <c r="B164" s="123" t="s">
        <v>518</v>
      </c>
      <c r="C164" s="20">
        <v>45114</v>
      </c>
      <c r="D164" s="123">
        <v>6336464</v>
      </c>
      <c r="E164" s="123" t="s">
        <v>420</v>
      </c>
      <c r="F164" s="123" t="s">
        <v>423</v>
      </c>
      <c r="G164" s="123" t="s">
        <v>192</v>
      </c>
      <c r="H164" s="17">
        <v>5212252</v>
      </c>
      <c r="I164" s="17" t="s">
        <v>23</v>
      </c>
      <c r="J164" s="123" t="s">
        <v>368</v>
      </c>
      <c r="K164" s="123">
        <v>25</v>
      </c>
      <c r="L164" s="123">
        <v>321</v>
      </c>
      <c r="M164" s="123">
        <f t="shared" si="124"/>
        <v>8025</v>
      </c>
      <c r="N164" s="20">
        <v>45115</v>
      </c>
      <c r="O164" s="123" t="s">
        <v>425</v>
      </c>
      <c r="P164" s="123" t="s">
        <v>134</v>
      </c>
      <c r="Q164" s="123">
        <v>2173</v>
      </c>
      <c r="R164" s="123" t="s">
        <v>519</v>
      </c>
      <c r="S164" s="23">
        <v>261615785968</v>
      </c>
      <c r="T164" s="20">
        <v>45115</v>
      </c>
      <c r="U164" s="123"/>
      <c r="V164" s="123">
        <v>294</v>
      </c>
      <c r="W164" s="24">
        <v>45115.420138888891</v>
      </c>
      <c r="X164" s="24">
        <v>45115.489583333336</v>
      </c>
      <c r="Y164" s="25">
        <f t="shared" si="125"/>
        <v>6.9444444445252884E-2</v>
      </c>
      <c r="Z164" s="24">
        <v>45115.427083333336</v>
      </c>
      <c r="AA164" s="24">
        <v>45115.482638888891</v>
      </c>
      <c r="AB164" s="25">
        <f t="shared" si="126"/>
        <v>5.5555555554747116E-2</v>
      </c>
    </row>
    <row r="165" spans="1:28" x14ac:dyDescent="0.25">
      <c r="A165" s="12">
        <v>45108</v>
      </c>
      <c r="B165" s="123" t="s">
        <v>520</v>
      </c>
      <c r="C165" s="20">
        <v>45114</v>
      </c>
      <c r="D165" s="123">
        <v>5285749</v>
      </c>
      <c r="E165" s="123" t="s">
        <v>196</v>
      </c>
      <c r="F165" s="123" t="s">
        <v>197</v>
      </c>
      <c r="G165" s="17" t="s">
        <v>132</v>
      </c>
      <c r="H165" s="17">
        <v>5230831</v>
      </c>
      <c r="I165" s="17" t="s">
        <v>35</v>
      </c>
      <c r="J165" s="21" t="s">
        <v>70</v>
      </c>
      <c r="K165" s="123">
        <v>240</v>
      </c>
      <c r="L165" s="123">
        <v>40</v>
      </c>
      <c r="M165" s="123">
        <f t="shared" si="121"/>
        <v>9600</v>
      </c>
      <c r="N165" s="20">
        <v>45115</v>
      </c>
      <c r="O165" s="123" t="s">
        <v>136</v>
      </c>
      <c r="P165" s="123" t="s">
        <v>144</v>
      </c>
      <c r="Q165" s="123">
        <v>5586</v>
      </c>
      <c r="R165" s="123" t="s">
        <v>521</v>
      </c>
      <c r="S165" s="23">
        <v>231615920672</v>
      </c>
      <c r="T165" s="20">
        <v>45115</v>
      </c>
      <c r="U165" s="123"/>
      <c r="V165" s="123">
        <v>295</v>
      </c>
      <c r="W165" s="24">
        <v>45115.628472222219</v>
      </c>
      <c r="X165" s="24">
        <v>45115.65625</v>
      </c>
      <c r="Y165" s="25">
        <f t="shared" si="122"/>
        <v>2.7777777781011537E-2</v>
      </c>
      <c r="Z165" s="24">
        <v>45115.635416666664</v>
      </c>
      <c r="AA165" s="24">
        <v>45115.649305555555</v>
      </c>
      <c r="AB165" s="25">
        <f t="shared" si="123"/>
        <v>1.3888888890505768E-2</v>
      </c>
    </row>
    <row r="166" spans="1:28" x14ac:dyDescent="0.25">
      <c r="A166" s="12">
        <v>45108</v>
      </c>
      <c r="B166" s="123" t="s">
        <v>522</v>
      </c>
      <c r="C166" s="20">
        <v>45114</v>
      </c>
      <c r="D166" s="123">
        <v>4274263</v>
      </c>
      <c r="E166" s="123" t="s">
        <v>523</v>
      </c>
      <c r="F166" s="123" t="s">
        <v>524</v>
      </c>
      <c r="G166" s="123" t="s">
        <v>192</v>
      </c>
      <c r="H166" s="17">
        <v>5210935</v>
      </c>
      <c r="I166" s="17" t="s">
        <v>44</v>
      </c>
      <c r="J166" s="123" t="s">
        <v>46</v>
      </c>
      <c r="K166" s="123">
        <v>25</v>
      </c>
      <c r="L166" s="123">
        <v>400</v>
      </c>
      <c r="M166" s="123">
        <f t="shared" si="121"/>
        <v>10000</v>
      </c>
      <c r="N166" s="20">
        <v>45115</v>
      </c>
      <c r="O166" s="123" t="s">
        <v>136</v>
      </c>
      <c r="P166" s="123" t="s">
        <v>134</v>
      </c>
      <c r="Q166" s="123">
        <v>2174</v>
      </c>
      <c r="R166" s="123" t="s">
        <v>525</v>
      </c>
      <c r="S166" s="23">
        <v>211616027215</v>
      </c>
      <c r="T166" s="20">
        <v>45115</v>
      </c>
      <c r="U166" s="123"/>
      <c r="V166" s="123">
        <v>296</v>
      </c>
      <c r="W166" s="24">
        <v>45115.701388888891</v>
      </c>
      <c r="X166" s="24">
        <v>45115.756944444445</v>
      </c>
      <c r="Y166" s="25">
        <f t="shared" si="122"/>
        <v>5.5555555554747116E-2</v>
      </c>
      <c r="Z166" s="24">
        <v>45115.708333333336</v>
      </c>
      <c r="AA166" s="24">
        <v>45115.75</v>
      </c>
      <c r="AB166" s="25">
        <f t="shared" si="123"/>
        <v>4.1666666664241347E-2</v>
      </c>
    </row>
    <row r="167" spans="1:28" x14ac:dyDescent="0.25">
      <c r="A167" s="12">
        <v>45108</v>
      </c>
      <c r="B167" s="123" t="s">
        <v>526</v>
      </c>
      <c r="C167" s="20">
        <v>45117</v>
      </c>
      <c r="D167" s="123">
        <v>5080127</v>
      </c>
      <c r="E167" s="123" t="s">
        <v>244</v>
      </c>
      <c r="F167" s="123" t="s">
        <v>215</v>
      </c>
      <c r="G167" s="17" t="s">
        <v>132</v>
      </c>
      <c r="H167" s="17">
        <v>5230831</v>
      </c>
      <c r="I167" s="17" t="s">
        <v>35</v>
      </c>
      <c r="J167" s="21" t="s">
        <v>59</v>
      </c>
      <c r="K167" s="123">
        <v>240</v>
      </c>
      <c r="L167" s="123">
        <v>15</v>
      </c>
      <c r="M167" s="123">
        <f t="shared" si="121"/>
        <v>3600</v>
      </c>
      <c r="N167" s="20">
        <v>45117</v>
      </c>
      <c r="O167" s="123" t="s">
        <v>136</v>
      </c>
      <c r="P167" s="123" t="s">
        <v>144</v>
      </c>
      <c r="Q167" s="123" t="s">
        <v>30</v>
      </c>
      <c r="R167" s="123" t="s">
        <v>527</v>
      </c>
      <c r="S167" s="23">
        <v>231616626641</v>
      </c>
      <c r="T167" s="20">
        <v>45117</v>
      </c>
      <c r="U167" s="123"/>
      <c r="V167" s="123">
        <v>297</v>
      </c>
      <c r="W167" s="24">
        <v>45117.569444444445</v>
      </c>
      <c r="X167" s="24">
        <v>45117.680555555555</v>
      </c>
      <c r="Y167" s="25">
        <f t="shared" si="122"/>
        <v>0.11111111110949423</v>
      </c>
      <c r="Z167" s="24">
        <v>45117.652777777781</v>
      </c>
      <c r="AA167" s="24">
        <v>45117.673611111109</v>
      </c>
      <c r="AB167" s="25">
        <f t="shared" si="123"/>
        <v>2.0833333328482695E-2</v>
      </c>
    </row>
    <row r="168" spans="1:28" x14ac:dyDescent="0.25">
      <c r="A168" s="12">
        <v>45108</v>
      </c>
      <c r="B168" s="123" t="s">
        <v>526</v>
      </c>
      <c r="C168" s="20">
        <v>45117</v>
      </c>
      <c r="D168" s="123">
        <v>5285749</v>
      </c>
      <c r="E168" s="123" t="s">
        <v>244</v>
      </c>
      <c r="F168" s="123" t="s">
        <v>215</v>
      </c>
      <c r="G168" s="17" t="s">
        <v>132</v>
      </c>
      <c r="H168" s="17">
        <v>5230831</v>
      </c>
      <c r="I168" s="17" t="s">
        <v>35</v>
      </c>
      <c r="J168" s="21" t="s">
        <v>70</v>
      </c>
      <c r="K168" s="123">
        <v>240</v>
      </c>
      <c r="L168" s="123">
        <v>19</v>
      </c>
      <c r="M168" s="123">
        <f t="shared" ref="M168" si="127">+L168*K168</f>
        <v>4560</v>
      </c>
      <c r="N168" s="20">
        <v>45117</v>
      </c>
      <c r="O168" s="123" t="s">
        <v>136</v>
      </c>
      <c r="P168" s="123" t="s">
        <v>144</v>
      </c>
      <c r="Q168" s="123" t="s">
        <v>30</v>
      </c>
      <c r="R168" s="123" t="s">
        <v>527</v>
      </c>
      <c r="S168" s="23">
        <v>231616626641</v>
      </c>
      <c r="T168" s="20">
        <v>45117</v>
      </c>
      <c r="U168" s="123"/>
      <c r="V168" s="123">
        <v>297</v>
      </c>
      <c r="W168" s="24">
        <v>45117.569444444445</v>
      </c>
      <c r="X168" s="24">
        <v>45117.680555555555</v>
      </c>
      <c r="Y168" s="25">
        <f t="shared" ref="Y168:Y170" si="128">+X168-W168</f>
        <v>0.11111111110949423</v>
      </c>
      <c r="Z168" s="24">
        <v>45117.652777777781</v>
      </c>
      <c r="AA168" s="24">
        <v>45117.673611111109</v>
      </c>
      <c r="AB168" s="25">
        <f t="shared" ref="AB168:AB170" si="129">+AA168-Z168</f>
        <v>2.0833333328482695E-2</v>
      </c>
    </row>
    <row r="169" spans="1:28" x14ac:dyDescent="0.25">
      <c r="A169" s="12">
        <v>45108</v>
      </c>
      <c r="B169" s="123" t="s">
        <v>528</v>
      </c>
      <c r="C169" s="20">
        <v>45117</v>
      </c>
      <c r="D169" s="123">
        <v>2900840</v>
      </c>
      <c r="E169" s="123" t="s">
        <v>244</v>
      </c>
      <c r="F169" s="123" t="s">
        <v>215</v>
      </c>
      <c r="G169" s="17" t="s">
        <v>132</v>
      </c>
      <c r="H169" s="17">
        <v>5200193</v>
      </c>
      <c r="I169" s="123" t="s">
        <v>41</v>
      </c>
      <c r="J169" s="21" t="s">
        <v>450</v>
      </c>
      <c r="K169" s="123">
        <v>250</v>
      </c>
      <c r="L169" s="123">
        <v>6</v>
      </c>
      <c r="M169" s="123">
        <f t="shared" ref="M169:M172" si="130">+L169*K169</f>
        <v>1500</v>
      </c>
      <c r="N169" s="20">
        <v>45117</v>
      </c>
      <c r="O169" s="123" t="s">
        <v>136</v>
      </c>
      <c r="P169" s="123" t="s">
        <v>144</v>
      </c>
      <c r="Q169" s="123" t="s">
        <v>30</v>
      </c>
      <c r="R169" s="123" t="s">
        <v>527</v>
      </c>
      <c r="S169" s="23">
        <v>231616629314</v>
      </c>
      <c r="T169" s="20">
        <v>45117</v>
      </c>
      <c r="U169" s="123"/>
      <c r="V169" s="123">
        <v>297</v>
      </c>
      <c r="W169" s="24">
        <v>45117.569444444445</v>
      </c>
      <c r="X169" s="24">
        <v>45117.680555555555</v>
      </c>
      <c r="Y169" s="25">
        <f t="shared" si="128"/>
        <v>0.11111111110949423</v>
      </c>
      <c r="Z169" s="24">
        <v>45117.652777777781</v>
      </c>
      <c r="AA169" s="24">
        <v>45117.673611111109</v>
      </c>
      <c r="AB169" s="25">
        <f t="shared" si="129"/>
        <v>2.0833333328482695E-2</v>
      </c>
    </row>
    <row r="170" spans="1:28" x14ac:dyDescent="0.25">
      <c r="A170" s="12">
        <v>45108</v>
      </c>
      <c r="B170" s="123" t="s">
        <v>529</v>
      </c>
      <c r="C170" s="20">
        <v>45114</v>
      </c>
      <c r="D170" s="123">
        <v>6146274</v>
      </c>
      <c r="E170" s="123" t="s">
        <v>471</v>
      </c>
      <c r="F170" s="123" t="s">
        <v>472</v>
      </c>
      <c r="G170" s="123" t="s">
        <v>192</v>
      </c>
      <c r="H170" s="17">
        <v>5205449</v>
      </c>
      <c r="I170" s="17" t="str">
        <f>VLOOKUP(H170,[1]MASTER!$A:$B,2,0)</f>
        <v>PVC-WH1000F-Premium-Bag-25KG</v>
      </c>
      <c r="J170" s="123">
        <v>1230237662</v>
      </c>
      <c r="K170" s="123">
        <v>25</v>
      </c>
      <c r="L170" s="123">
        <v>440</v>
      </c>
      <c r="M170" s="123">
        <f t="shared" si="130"/>
        <v>11000</v>
      </c>
      <c r="N170" s="20">
        <v>45117</v>
      </c>
      <c r="O170" s="123" t="s">
        <v>399</v>
      </c>
      <c r="P170" s="123" t="s">
        <v>144</v>
      </c>
      <c r="Q170" s="123" t="s">
        <v>30</v>
      </c>
      <c r="R170" s="123" t="s">
        <v>530</v>
      </c>
      <c r="S170" s="23">
        <v>221616639170</v>
      </c>
      <c r="T170" s="20">
        <v>45117</v>
      </c>
      <c r="U170" s="123"/>
      <c r="V170" s="123">
        <v>298</v>
      </c>
      <c r="W170" s="24">
        <v>45117.5625</v>
      </c>
      <c r="X170" s="24">
        <v>45117.697916666664</v>
      </c>
      <c r="Y170" s="25">
        <f t="shared" si="128"/>
        <v>0.13541666666424135</v>
      </c>
      <c r="Z170" s="24">
        <v>45117.5625</v>
      </c>
      <c r="AA170" s="24">
        <v>45117.694444444445</v>
      </c>
      <c r="AB170" s="25">
        <f t="shared" si="129"/>
        <v>0.13194444444525288</v>
      </c>
    </row>
    <row r="171" spans="1:28" x14ac:dyDescent="0.25">
      <c r="A171" s="12">
        <v>45108</v>
      </c>
      <c r="B171" s="123" t="s">
        <v>529</v>
      </c>
      <c r="C171" s="20">
        <v>45114</v>
      </c>
      <c r="D171" s="123">
        <v>6146274</v>
      </c>
      <c r="E171" s="123" t="s">
        <v>471</v>
      </c>
      <c r="F171" s="123" t="s">
        <v>472</v>
      </c>
      <c r="G171" s="123" t="s">
        <v>192</v>
      </c>
      <c r="H171" s="17">
        <v>5205449</v>
      </c>
      <c r="I171" s="17" t="str">
        <f>VLOOKUP(H171,[1]MASTER!$A:$B,2,0)</f>
        <v>PVC-WH1000F-Premium-Bag-25KG</v>
      </c>
      <c r="J171" s="123">
        <v>1230238862</v>
      </c>
      <c r="K171" s="123">
        <v>25</v>
      </c>
      <c r="L171" s="123">
        <v>760</v>
      </c>
      <c r="M171" s="123">
        <f t="shared" ref="M171" si="131">+L171*K171</f>
        <v>19000</v>
      </c>
      <c r="N171" s="20">
        <v>45117</v>
      </c>
      <c r="O171" s="123" t="s">
        <v>399</v>
      </c>
      <c r="P171" s="123" t="s">
        <v>144</v>
      </c>
      <c r="Q171" s="123" t="s">
        <v>30</v>
      </c>
      <c r="R171" s="123" t="s">
        <v>530</v>
      </c>
      <c r="S171" s="23">
        <v>221616639170</v>
      </c>
      <c r="T171" s="20">
        <v>45117</v>
      </c>
      <c r="U171" s="123"/>
      <c r="V171" s="123">
        <v>298</v>
      </c>
      <c r="W171" s="24">
        <v>45117.5625</v>
      </c>
      <c r="X171" s="24">
        <v>45117.697916666664</v>
      </c>
      <c r="Y171" s="25">
        <f t="shared" ref="Y171:Y172" si="132">+X171-W171</f>
        <v>0.13541666666424135</v>
      </c>
      <c r="Z171" s="24">
        <v>45117.5625</v>
      </c>
      <c r="AA171" s="24">
        <v>45117.694444444445</v>
      </c>
      <c r="AB171" s="25">
        <f t="shared" ref="AB171:AB172" si="133">+AA171-Z171</f>
        <v>0.13194444444525288</v>
      </c>
    </row>
    <row r="172" spans="1:28" x14ac:dyDescent="0.25">
      <c r="A172" s="12">
        <v>45108</v>
      </c>
      <c r="B172" s="123" t="s">
        <v>531</v>
      </c>
      <c r="C172" s="20">
        <v>45117</v>
      </c>
      <c r="D172" s="123">
        <v>5219103</v>
      </c>
      <c r="E172" s="123" t="s">
        <v>191</v>
      </c>
      <c r="F172" s="123" t="s">
        <v>135</v>
      </c>
      <c r="G172" s="123" t="s">
        <v>192</v>
      </c>
      <c r="H172" s="17">
        <v>5211014</v>
      </c>
      <c r="I172" s="17" t="s">
        <v>38</v>
      </c>
      <c r="J172" s="21" t="s">
        <v>69</v>
      </c>
      <c r="K172" s="123">
        <v>25</v>
      </c>
      <c r="L172" s="123">
        <v>320</v>
      </c>
      <c r="M172" s="123">
        <f t="shared" si="130"/>
        <v>8000</v>
      </c>
      <c r="N172" s="20">
        <v>45117</v>
      </c>
      <c r="O172" s="123" t="s">
        <v>399</v>
      </c>
      <c r="P172" s="123" t="s">
        <v>144</v>
      </c>
      <c r="Q172" s="123" t="s">
        <v>30</v>
      </c>
      <c r="R172" s="123" t="s">
        <v>532</v>
      </c>
      <c r="S172" s="23">
        <v>241616663584</v>
      </c>
      <c r="T172" s="20">
        <v>45117</v>
      </c>
      <c r="U172" s="123"/>
      <c r="V172" s="123">
        <v>299</v>
      </c>
      <c r="W172" s="24">
        <v>45117.409722222219</v>
      </c>
      <c r="X172" s="24">
        <v>45117.6875</v>
      </c>
      <c r="Y172" s="25">
        <f t="shared" si="132"/>
        <v>0.27777777778101154</v>
      </c>
      <c r="Z172" s="24">
        <v>45117.416666666664</v>
      </c>
      <c r="AA172" s="24">
        <v>45117.520833333336</v>
      </c>
      <c r="AB172" s="25">
        <f t="shared" si="133"/>
        <v>0.10416666667151731</v>
      </c>
    </row>
    <row r="173" spans="1:28" x14ac:dyDescent="0.25">
      <c r="A173" s="12">
        <v>45108</v>
      </c>
      <c r="B173" s="123" t="s">
        <v>533</v>
      </c>
      <c r="C173" s="20">
        <v>45117</v>
      </c>
      <c r="D173" s="123">
        <v>6336464</v>
      </c>
      <c r="E173" s="123" t="s">
        <v>191</v>
      </c>
      <c r="F173" s="123" t="s">
        <v>135</v>
      </c>
      <c r="G173" s="123" t="s">
        <v>192</v>
      </c>
      <c r="H173" s="17">
        <v>5212252</v>
      </c>
      <c r="I173" s="17" t="s">
        <v>23</v>
      </c>
      <c r="J173" s="123" t="s">
        <v>368</v>
      </c>
      <c r="K173" s="123">
        <v>25</v>
      </c>
      <c r="L173" s="123">
        <v>680</v>
      </c>
      <c r="M173" s="123">
        <f t="shared" ref="M173" si="134">+L173*K173</f>
        <v>17000</v>
      </c>
      <c r="N173" s="20">
        <v>45117</v>
      </c>
      <c r="O173" s="123" t="s">
        <v>399</v>
      </c>
      <c r="P173" s="123" t="s">
        <v>144</v>
      </c>
      <c r="Q173" s="123" t="s">
        <v>30</v>
      </c>
      <c r="R173" s="123" t="s">
        <v>532</v>
      </c>
      <c r="S173" s="23">
        <v>271616661264</v>
      </c>
      <c r="T173" s="20">
        <v>45117</v>
      </c>
      <c r="U173" s="123"/>
      <c r="V173" s="123">
        <v>299</v>
      </c>
      <c r="W173" s="24">
        <v>45117.409722222219</v>
      </c>
      <c r="X173" s="24">
        <v>45117.6875</v>
      </c>
      <c r="Y173" s="25">
        <f t="shared" ref="Y173:Y179" si="135">+X173-W173</f>
        <v>0.27777777778101154</v>
      </c>
      <c r="Z173" s="24">
        <v>45117.416666666664</v>
      </c>
      <c r="AA173" s="24">
        <v>45117.520833333336</v>
      </c>
      <c r="AB173" s="25">
        <f t="shared" ref="AB173:AB179" si="136">+AA173-Z173</f>
        <v>0.10416666667151731</v>
      </c>
    </row>
    <row r="174" spans="1:28" x14ac:dyDescent="0.25">
      <c r="A174" s="12">
        <v>45108</v>
      </c>
      <c r="B174" s="123" t="s">
        <v>534</v>
      </c>
      <c r="C174" s="20">
        <v>45117</v>
      </c>
      <c r="D174" s="123">
        <v>6416249</v>
      </c>
      <c r="E174" s="123" t="s">
        <v>191</v>
      </c>
      <c r="F174" s="123" t="s">
        <v>135</v>
      </c>
      <c r="G174" s="123" t="s">
        <v>192</v>
      </c>
      <c r="H174" s="17">
        <v>5210162</v>
      </c>
      <c r="I174" s="17" t="s">
        <v>24</v>
      </c>
      <c r="J174" s="123" t="s">
        <v>376</v>
      </c>
      <c r="K174" s="123">
        <v>25</v>
      </c>
      <c r="L174" s="123">
        <v>200</v>
      </c>
      <c r="M174" s="123">
        <f t="shared" ref="M174:M175" si="137">+L174*K174</f>
        <v>5000</v>
      </c>
      <c r="N174" s="20">
        <v>45117</v>
      </c>
      <c r="O174" s="123" t="s">
        <v>399</v>
      </c>
      <c r="P174" s="123" t="s">
        <v>144</v>
      </c>
      <c r="Q174" s="123" t="s">
        <v>30</v>
      </c>
      <c r="R174" s="123" t="s">
        <v>532</v>
      </c>
      <c r="S174" s="23">
        <v>261616657468</v>
      </c>
      <c r="T174" s="20">
        <v>45117</v>
      </c>
      <c r="U174" s="123"/>
      <c r="V174" s="123">
        <v>299</v>
      </c>
      <c r="W174" s="24">
        <v>45117.409722222219</v>
      </c>
      <c r="X174" s="24">
        <v>45117.6875</v>
      </c>
      <c r="Y174" s="25">
        <f t="shared" si="135"/>
        <v>0.27777777778101154</v>
      </c>
      <c r="Z174" s="24">
        <v>45117.416666666664</v>
      </c>
      <c r="AA174" s="24">
        <v>45117.520833333336</v>
      </c>
      <c r="AB174" s="25">
        <f t="shared" si="136"/>
        <v>0.10416666667151731</v>
      </c>
    </row>
    <row r="175" spans="1:28" x14ac:dyDescent="0.25">
      <c r="A175" s="12">
        <v>45108</v>
      </c>
      <c r="B175" s="123" t="s">
        <v>535</v>
      </c>
      <c r="C175" s="20">
        <v>45117</v>
      </c>
      <c r="D175" s="123">
        <v>2900840</v>
      </c>
      <c r="E175" s="123" t="s">
        <v>253</v>
      </c>
      <c r="F175" s="123" t="s">
        <v>215</v>
      </c>
      <c r="G175" s="17" t="s">
        <v>132</v>
      </c>
      <c r="H175" s="17">
        <v>5200193</v>
      </c>
      <c r="I175" s="123" t="s">
        <v>41</v>
      </c>
      <c r="J175" s="21" t="s">
        <v>450</v>
      </c>
      <c r="K175" s="123">
        <v>250</v>
      </c>
      <c r="L175" s="123">
        <v>32</v>
      </c>
      <c r="M175" s="123">
        <f t="shared" si="137"/>
        <v>8000</v>
      </c>
      <c r="N175" s="20">
        <v>45117</v>
      </c>
      <c r="O175" s="123" t="s">
        <v>399</v>
      </c>
      <c r="P175" s="123" t="s">
        <v>134</v>
      </c>
      <c r="Q175" s="123">
        <v>2175</v>
      </c>
      <c r="R175" s="123" t="s">
        <v>536</v>
      </c>
      <c r="S175" s="23">
        <v>281616681872</v>
      </c>
      <c r="T175" s="20">
        <v>45117</v>
      </c>
      <c r="U175" s="123"/>
      <c r="V175" s="123">
        <v>300</v>
      </c>
      <c r="W175" s="24">
        <v>45117.604166666664</v>
      </c>
      <c r="X175" s="24">
        <v>45117.75</v>
      </c>
      <c r="Y175" s="25">
        <f t="shared" si="135"/>
        <v>0.14583333333575865</v>
      </c>
      <c r="Z175" s="24">
        <v>45117.732638888891</v>
      </c>
      <c r="AA175" s="24">
        <v>45117.75</v>
      </c>
      <c r="AB175" s="25">
        <f t="shared" si="136"/>
        <v>1.7361111109494232E-2</v>
      </c>
    </row>
    <row r="176" spans="1:28" x14ac:dyDescent="0.25">
      <c r="A176" s="12">
        <v>45108</v>
      </c>
      <c r="B176" s="123" t="s">
        <v>537</v>
      </c>
      <c r="C176" s="20">
        <v>45117</v>
      </c>
      <c r="D176" s="123">
        <v>2900840</v>
      </c>
      <c r="E176" s="123" t="s">
        <v>253</v>
      </c>
      <c r="F176" s="123" t="s">
        <v>215</v>
      </c>
      <c r="G176" s="17" t="s">
        <v>132</v>
      </c>
      <c r="H176" s="17">
        <v>5200193</v>
      </c>
      <c r="I176" s="123" t="s">
        <v>41</v>
      </c>
      <c r="J176" s="21" t="s">
        <v>450</v>
      </c>
      <c r="K176" s="123">
        <v>250</v>
      </c>
      <c r="L176" s="123">
        <v>32</v>
      </c>
      <c r="M176" s="123">
        <f t="shared" ref="M176:M179" si="138">+L176*K176</f>
        <v>8000</v>
      </c>
      <c r="N176" s="20">
        <v>45117</v>
      </c>
      <c r="O176" s="123" t="s">
        <v>399</v>
      </c>
      <c r="P176" s="123" t="s">
        <v>134</v>
      </c>
      <c r="Q176" s="123">
        <v>2176</v>
      </c>
      <c r="R176" s="123" t="s">
        <v>538</v>
      </c>
      <c r="S176" s="23">
        <v>211616684614</v>
      </c>
      <c r="T176" s="20">
        <v>45117</v>
      </c>
      <c r="U176" s="123"/>
      <c r="V176" s="123">
        <v>301</v>
      </c>
      <c r="W176" s="24">
        <v>45117.618055555555</v>
      </c>
      <c r="X176" s="24">
        <v>45117.756944444445</v>
      </c>
      <c r="Y176" s="25">
        <f t="shared" si="135"/>
        <v>0.13888888889050577</v>
      </c>
      <c r="Z176" s="24">
        <v>45117.736111111109</v>
      </c>
      <c r="AA176" s="24">
        <v>45117.756944444445</v>
      </c>
      <c r="AB176" s="25">
        <f t="shared" si="136"/>
        <v>2.0833333335758653E-2</v>
      </c>
    </row>
    <row r="177" spans="1:28" x14ac:dyDescent="0.25">
      <c r="A177" s="12">
        <v>45108</v>
      </c>
      <c r="B177" s="123" t="s">
        <v>540</v>
      </c>
      <c r="C177" s="20">
        <v>45118</v>
      </c>
      <c r="D177" s="123">
        <v>5285749</v>
      </c>
      <c r="E177" s="123" t="s">
        <v>196</v>
      </c>
      <c r="F177" s="123" t="s">
        <v>197</v>
      </c>
      <c r="G177" s="17" t="s">
        <v>132</v>
      </c>
      <c r="H177" s="17">
        <v>5230831</v>
      </c>
      <c r="I177" s="17" t="s">
        <v>35</v>
      </c>
      <c r="J177" s="21" t="s">
        <v>70</v>
      </c>
      <c r="K177" s="123">
        <v>240</v>
      </c>
      <c r="L177" s="123">
        <v>40</v>
      </c>
      <c r="M177" s="123">
        <f t="shared" si="138"/>
        <v>9600</v>
      </c>
      <c r="N177" s="20">
        <v>45118</v>
      </c>
      <c r="O177" s="123" t="s">
        <v>136</v>
      </c>
      <c r="P177" s="123" t="s">
        <v>144</v>
      </c>
      <c r="Q177" s="123" t="s">
        <v>30</v>
      </c>
      <c r="R177" s="123" t="s">
        <v>265</v>
      </c>
      <c r="S177" s="23">
        <v>291617039875</v>
      </c>
      <c r="T177" s="20">
        <v>45118</v>
      </c>
      <c r="U177" s="123"/>
      <c r="V177" s="123">
        <v>302</v>
      </c>
      <c r="W177" s="24">
        <v>45118.590277777781</v>
      </c>
      <c r="X177" s="24">
        <v>45118.638888888891</v>
      </c>
      <c r="Y177" s="25">
        <f t="shared" si="135"/>
        <v>4.8611111109494232E-2</v>
      </c>
      <c r="Z177" s="24">
        <v>45118.618055555555</v>
      </c>
      <c r="AA177" s="24">
        <v>45118.635416666664</v>
      </c>
      <c r="AB177" s="25">
        <f t="shared" si="136"/>
        <v>1.7361111109494232E-2</v>
      </c>
    </row>
    <row r="178" spans="1:28" x14ac:dyDescent="0.25">
      <c r="A178" s="12">
        <v>45108</v>
      </c>
      <c r="B178" s="123" t="s">
        <v>544</v>
      </c>
      <c r="C178" s="20">
        <v>45118</v>
      </c>
      <c r="D178" s="123">
        <v>6146274</v>
      </c>
      <c r="E178" s="123" t="s">
        <v>471</v>
      </c>
      <c r="F178" s="123" t="s">
        <v>542</v>
      </c>
      <c r="G178" s="123" t="s">
        <v>192</v>
      </c>
      <c r="H178" s="17">
        <v>5205449</v>
      </c>
      <c r="I178" s="17" t="str">
        <f>VLOOKUP(H178,[1]MASTER!$A:$B,2,0)</f>
        <v>PVC-WH1000F-Premium-Bag-25KG</v>
      </c>
      <c r="J178" s="123">
        <v>1230238862</v>
      </c>
      <c r="K178" s="123">
        <v>25</v>
      </c>
      <c r="L178" s="123">
        <v>200</v>
      </c>
      <c r="M178" s="123">
        <f>+L178*K178</f>
        <v>5000</v>
      </c>
      <c r="N178" s="20">
        <v>45118</v>
      </c>
      <c r="O178" s="123" t="s">
        <v>425</v>
      </c>
      <c r="P178" s="123" t="s">
        <v>144</v>
      </c>
      <c r="Q178" s="123" t="s">
        <v>30</v>
      </c>
      <c r="R178" s="123" t="s">
        <v>543</v>
      </c>
      <c r="S178" s="23">
        <v>281617125155</v>
      </c>
      <c r="T178" s="20">
        <v>45118</v>
      </c>
      <c r="U178" s="123"/>
      <c r="V178" s="123">
        <v>303</v>
      </c>
      <c r="W178" s="24">
        <v>45118.430555555555</v>
      </c>
      <c r="X178" s="24">
        <v>45118.659722222219</v>
      </c>
      <c r="Y178" s="25">
        <f>+X178-W178</f>
        <v>0.22916666666424135</v>
      </c>
      <c r="Z178" s="24">
        <v>45118.4375</v>
      </c>
      <c r="AA178" s="24">
        <v>45118.5625</v>
      </c>
      <c r="AB178" s="25">
        <f>+AA178-Z178</f>
        <v>0.125</v>
      </c>
    </row>
    <row r="179" spans="1:28" x14ac:dyDescent="0.25">
      <c r="A179" s="12">
        <v>45108</v>
      </c>
      <c r="B179" s="123" t="s">
        <v>541</v>
      </c>
      <c r="C179" s="20">
        <v>45118</v>
      </c>
      <c r="D179" s="123">
        <v>6146274</v>
      </c>
      <c r="E179" s="123" t="s">
        <v>471</v>
      </c>
      <c r="F179" s="123" t="s">
        <v>542</v>
      </c>
      <c r="G179" s="123" t="s">
        <v>192</v>
      </c>
      <c r="H179" s="17">
        <v>5205449</v>
      </c>
      <c r="I179" s="17" t="str">
        <f>VLOOKUP(H179,[1]MASTER!$A:$B,2,0)</f>
        <v>PVC-WH1000F-Premium-Bag-25KG</v>
      </c>
      <c r="J179" s="123">
        <v>1230238862</v>
      </c>
      <c r="K179" s="123">
        <v>25</v>
      </c>
      <c r="L179" s="123">
        <v>60</v>
      </c>
      <c r="M179" s="123">
        <f t="shared" si="138"/>
        <v>1500</v>
      </c>
      <c r="N179" s="20">
        <v>45118</v>
      </c>
      <c r="O179" s="123" t="s">
        <v>425</v>
      </c>
      <c r="P179" s="123" t="s">
        <v>144</v>
      </c>
      <c r="Q179" s="123" t="s">
        <v>30</v>
      </c>
      <c r="R179" s="123" t="s">
        <v>543</v>
      </c>
      <c r="S179" s="23">
        <v>211617129408</v>
      </c>
      <c r="T179" s="20">
        <v>45118</v>
      </c>
      <c r="U179" s="123"/>
      <c r="V179" s="123">
        <v>303</v>
      </c>
      <c r="W179" s="24">
        <v>45118.430555555555</v>
      </c>
      <c r="X179" s="24">
        <v>45118.659722222219</v>
      </c>
      <c r="Y179" s="25">
        <f t="shared" si="135"/>
        <v>0.22916666666424135</v>
      </c>
      <c r="Z179" s="24">
        <v>45118.4375</v>
      </c>
      <c r="AA179" s="24">
        <v>45118.5625</v>
      </c>
      <c r="AB179" s="25">
        <f t="shared" si="136"/>
        <v>0.125</v>
      </c>
    </row>
    <row r="180" spans="1:28" x14ac:dyDescent="0.25">
      <c r="A180" s="12">
        <v>45108</v>
      </c>
      <c r="B180" s="123" t="s">
        <v>541</v>
      </c>
      <c r="C180" s="20">
        <v>45118</v>
      </c>
      <c r="D180" s="123">
        <v>6146274</v>
      </c>
      <c r="E180" s="123" t="s">
        <v>471</v>
      </c>
      <c r="F180" s="123" t="s">
        <v>542</v>
      </c>
      <c r="G180" s="123" t="s">
        <v>192</v>
      </c>
      <c r="H180" s="17">
        <v>5205449</v>
      </c>
      <c r="I180" s="17" t="str">
        <f>VLOOKUP(H180,[1]MASTER!$A:$B,2,0)</f>
        <v>PVC-WH1000F-Premium-Bag-25KG</v>
      </c>
      <c r="J180" s="123">
        <v>1230238672</v>
      </c>
      <c r="K180" s="123">
        <v>25</v>
      </c>
      <c r="L180" s="123">
        <v>60</v>
      </c>
      <c r="M180" s="123">
        <f t="shared" ref="M180:M181" si="139">+L180*K180</f>
        <v>1500</v>
      </c>
      <c r="N180" s="20">
        <v>45118</v>
      </c>
      <c r="O180" s="123" t="s">
        <v>425</v>
      </c>
      <c r="P180" s="123" t="s">
        <v>144</v>
      </c>
      <c r="Q180" s="123" t="s">
        <v>30</v>
      </c>
      <c r="R180" s="123" t="s">
        <v>543</v>
      </c>
      <c r="S180" s="23">
        <v>211617129408</v>
      </c>
      <c r="T180" s="20">
        <v>45118</v>
      </c>
      <c r="U180" s="123"/>
      <c r="V180" s="123">
        <v>303</v>
      </c>
      <c r="W180" s="24">
        <v>45118.430555555555</v>
      </c>
      <c r="X180" s="24">
        <v>45118.659722222219</v>
      </c>
      <c r="Y180" s="25">
        <f t="shared" ref="Y180:Y181" si="140">+X180-W180</f>
        <v>0.22916666666424135</v>
      </c>
      <c r="Z180" s="24">
        <v>45118.4375</v>
      </c>
      <c r="AA180" s="24">
        <v>45118.5625</v>
      </c>
      <c r="AB180" s="25">
        <f t="shared" ref="AB180:AB181" si="141">+AA180-Z180</f>
        <v>0.125</v>
      </c>
    </row>
    <row r="181" spans="1:28" x14ac:dyDescent="0.25">
      <c r="A181" s="12">
        <v>45108</v>
      </c>
      <c r="B181" s="123" t="s">
        <v>541</v>
      </c>
      <c r="C181" s="20">
        <v>45118</v>
      </c>
      <c r="D181" s="123">
        <v>6146274</v>
      </c>
      <c r="E181" s="123" t="s">
        <v>471</v>
      </c>
      <c r="F181" s="123" t="s">
        <v>542</v>
      </c>
      <c r="G181" s="123" t="s">
        <v>192</v>
      </c>
      <c r="H181" s="17">
        <v>5205449</v>
      </c>
      <c r="I181" s="17" t="str">
        <f>VLOOKUP(H181,[1]MASTER!$A:$B,2,0)</f>
        <v>PVC-WH1000F-Premium-Bag-25KG</v>
      </c>
      <c r="J181" s="123">
        <v>2230237712</v>
      </c>
      <c r="K181" s="123">
        <v>25</v>
      </c>
      <c r="L181" s="123">
        <v>480</v>
      </c>
      <c r="M181" s="123">
        <f t="shared" si="139"/>
        <v>12000</v>
      </c>
      <c r="N181" s="20">
        <v>45118</v>
      </c>
      <c r="O181" s="123" t="s">
        <v>425</v>
      </c>
      <c r="P181" s="123" t="s">
        <v>144</v>
      </c>
      <c r="Q181" s="123" t="s">
        <v>30</v>
      </c>
      <c r="R181" s="123" t="s">
        <v>543</v>
      </c>
      <c r="S181" s="23">
        <v>211617129408</v>
      </c>
      <c r="T181" s="20">
        <v>45118</v>
      </c>
      <c r="U181" s="123"/>
      <c r="V181" s="123">
        <v>303</v>
      </c>
      <c r="W181" s="24">
        <v>45118.430555555555</v>
      </c>
      <c r="X181" s="24">
        <v>45118.659722222219</v>
      </c>
      <c r="Y181" s="25">
        <f t="shared" si="140"/>
        <v>0.22916666666424135</v>
      </c>
      <c r="Z181" s="24">
        <v>45118.4375</v>
      </c>
      <c r="AA181" s="24">
        <v>45118.5625</v>
      </c>
      <c r="AB181" s="25">
        <f t="shared" si="141"/>
        <v>0.125</v>
      </c>
    </row>
    <row r="182" spans="1:28" x14ac:dyDescent="0.25">
      <c r="A182" s="12">
        <v>45108</v>
      </c>
      <c r="B182" s="123" t="s">
        <v>545</v>
      </c>
      <c r="C182" s="20">
        <v>45118</v>
      </c>
      <c r="D182" s="123">
        <v>2900840</v>
      </c>
      <c r="E182" s="123" t="s">
        <v>546</v>
      </c>
      <c r="F182" s="123" t="s">
        <v>215</v>
      </c>
      <c r="G182" s="17" t="s">
        <v>132</v>
      </c>
      <c r="H182" s="17">
        <v>5200193</v>
      </c>
      <c r="I182" s="123" t="s">
        <v>41</v>
      </c>
      <c r="J182" s="21" t="s">
        <v>450</v>
      </c>
      <c r="K182" s="123">
        <v>250</v>
      </c>
      <c r="L182" s="123">
        <v>32</v>
      </c>
      <c r="M182" s="123">
        <f t="shared" ref="M182:M188" si="142">+L182*K182</f>
        <v>8000</v>
      </c>
      <c r="N182" s="20">
        <v>45118</v>
      </c>
      <c r="O182" s="123" t="s">
        <v>136</v>
      </c>
      <c r="P182" s="123" t="s">
        <v>134</v>
      </c>
      <c r="Q182" s="123">
        <v>2177</v>
      </c>
      <c r="R182" s="123" t="s">
        <v>547</v>
      </c>
      <c r="S182" s="23">
        <v>241617133143</v>
      </c>
      <c r="T182" s="20">
        <v>45118</v>
      </c>
      <c r="U182" s="123"/>
      <c r="V182" s="123">
        <v>304</v>
      </c>
      <c r="W182" s="24">
        <v>45118.625</v>
      </c>
      <c r="X182" s="24">
        <v>45118.708333333336</v>
      </c>
      <c r="Y182" s="25">
        <f t="shared" ref="Y182:Y188" si="143">+X182-W182</f>
        <v>8.3333333335758653E-2</v>
      </c>
      <c r="Z182" s="24">
        <v>45118.666666666664</v>
      </c>
      <c r="AA182" s="24">
        <v>45118.701388888891</v>
      </c>
      <c r="AB182" s="25">
        <f t="shared" ref="AB182:AB188" si="144">+AA182-Z182</f>
        <v>3.4722222226264421E-2</v>
      </c>
    </row>
    <row r="183" spans="1:28" x14ac:dyDescent="0.25">
      <c r="A183" s="12">
        <v>45108</v>
      </c>
      <c r="B183" s="123" t="s">
        <v>548</v>
      </c>
      <c r="C183" s="20">
        <v>45114</v>
      </c>
      <c r="D183" s="123">
        <v>6336464</v>
      </c>
      <c r="E183" s="123" t="s">
        <v>191</v>
      </c>
      <c r="F183" s="123" t="s">
        <v>135</v>
      </c>
      <c r="G183" s="123" t="s">
        <v>192</v>
      </c>
      <c r="H183" s="17">
        <v>5212252</v>
      </c>
      <c r="I183" s="17" t="s">
        <v>23</v>
      </c>
      <c r="J183" s="123" t="s">
        <v>368</v>
      </c>
      <c r="K183" s="123">
        <v>25</v>
      </c>
      <c r="L183" s="123">
        <v>39</v>
      </c>
      <c r="M183" s="123">
        <f t="shared" si="142"/>
        <v>975</v>
      </c>
      <c r="N183" s="20">
        <v>45118</v>
      </c>
      <c r="O183" s="123" t="s">
        <v>259</v>
      </c>
      <c r="P183" s="123" t="s">
        <v>144</v>
      </c>
      <c r="Q183" s="123" t="s">
        <v>30</v>
      </c>
      <c r="R183" s="123" t="s">
        <v>330</v>
      </c>
      <c r="S183" s="23">
        <v>201617235207</v>
      </c>
      <c r="T183" s="20">
        <v>45118</v>
      </c>
      <c r="U183" s="123"/>
      <c r="V183" s="123">
        <v>305</v>
      </c>
      <c r="W183" s="24">
        <v>45118.670138888891</v>
      </c>
      <c r="X183" s="24">
        <v>45118.815972222219</v>
      </c>
      <c r="Y183" s="25">
        <f t="shared" si="143"/>
        <v>0.14583333332848269</v>
      </c>
      <c r="Z183" s="24">
        <v>45118.791666666664</v>
      </c>
      <c r="AA183" s="24">
        <v>45118.809027777781</v>
      </c>
      <c r="AB183" s="25">
        <f t="shared" si="144"/>
        <v>1.7361111116770189E-2</v>
      </c>
    </row>
    <row r="184" spans="1:28" x14ac:dyDescent="0.25">
      <c r="A184" s="12">
        <v>45108</v>
      </c>
      <c r="B184" s="123" t="s">
        <v>548</v>
      </c>
      <c r="C184" s="20">
        <v>45114</v>
      </c>
      <c r="D184" s="123">
        <v>6509004</v>
      </c>
      <c r="E184" s="123" t="s">
        <v>191</v>
      </c>
      <c r="F184" s="123" t="s">
        <v>135</v>
      </c>
      <c r="G184" s="123" t="s">
        <v>192</v>
      </c>
      <c r="H184" s="17">
        <v>5212252</v>
      </c>
      <c r="I184" s="17" t="s">
        <v>23</v>
      </c>
      <c r="J184" s="123" t="s">
        <v>411</v>
      </c>
      <c r="K184" s="123">
        <v>25</v>
      </c>
      <c r="L184" s="123">
        <v>161</v>
      </c>
      <c r="M184" s="123">
        <f t="shared" ref="M184" si="145">+L184*K184</f>
        <v>4025</v>
      </c>
      <c r="N184" s="20">
        <v>45118</v>
      </c>
      <c r="O184" s="123" t="s">
        <v>259</v>
      </c>
      <c r="P184" s="123" t="s">
        <v>144</v>
      </c>
      <c r="Q184" s="123" t="s">
        <v>30</v>
      </c>
      <c r="R184" s="123" t="s">
        <v>330</v>
      </c>
      <c r="S184" s="23">
        <v>201617235207</v>
      </c>
      <c r="T184" s="20">
        <v>45118</v>
      </c>
      <c r="U184" s="123"/>
      <c r="V184" s="123">
        <v>305</v>
      </c>
      <c r="W184" s="24">
        <v>45118.670138888891</v>
      </c>
      <c r="X184" s="24">
        <v>45118.815972222219</v>
      </c>
      <c r="Y184" s="25">
        <f t="shared" ref="Y184" si="146">+X184-W184</f>
        <v>0.14583333332848269</v>
      </c>
      <c r="Z184" s="24">
        <v>45118.791666666664</v>
      </c>
      <c r="AA184" s="24">
        <v>45118.809027777781</v>
      </c>
      <c r="AB184" s="25">
        <f t="shared" ref="AB184" si="147">+AA184-Z184</f>
        <v>1.7361111116770189E-2</v>
      </c>
    </row>
    <row r="185" spans="1:28" x14ac:dyDescent="0.25">
      <c r="A185" s="12">
        <v>45108</v>
      </c>
      <c r="B185" s="123" t="s">
        <v>549</v>
      </c>
      <c r="C185" s="20">
        <v>45117</v>
      </c>
      <c r="D185" s="123">
        <v>5851097</v>
      </c>
      <c r="E185" s="123" t="s">
        <v>385</v>
      </c>
      <c r="F185" s="123" t="s">
        <v>386</v>
      </c>
      <c r="G185" s="123" t="s">
        <v>192</v>
      </c>
      <c r="H185" s="17">
        <v>5211013</v>
      </c>
      <c r="I185" s="17" t="s">
        <v>27</v>
      </c>
      <c r="J185" s="123" t="s">
        <v>98</v>
      </c>
      <c r="K185" s="123">
        <v>25</v>
      </c>
      <c r="L185" s="123">
        <v>348</v>
      </c>
      <c r="M185" s="123">
        <f t="shared" si="142"/>
        <v>8700</v>
      </c>
      <c r="N185" s="20">
        <v>45118</v>
      </c>
      <c r="O185" s="123" t="s">
        <v>425</v>
      </c>
      <c r="P185" s="123" t="s">
        <v>144</v>
      </c>
      <c r="Q185" s="123" t="s">
        <v>30</v>
      </c>
      <c r="R185" s="123" t="s">
        <v>550</v>
      </c>
      <c r="S185" s="23">
        <v>231617233028</v>
      </c>
      <c r="T185" s="20">
        <v>45118</v>
      </c>
      <c r="U185" s="123"/>
      <c r="V185" s="123">
        <v>306</v>
      </c>
      <c r="W185" s="24">
        <v>45118.590277777781</v>
      </c>
      <c r="X185" s="24">
        <v>45118.722222222219</v>
      </c>
      <c r="Y185" s="25">
        <f t="shared" si="143"/>
        <v>0.13194444443797693</v>
      </c>
      <c r="Z185" s="24">
        <v>45118.645833333336</v>
      </c>
      <c r="AA185" s="24">
        <v>45118.722222222219</v>
      </c>
      <c r="AB185" s="25">
        <f t="shared" si="144"/>
        <v>7.6388888883229811E-2</v>
      </c>
    </row>
    <row r="186" spans="1:28" x14ac:dyDescent="0.25">
      <c r="A186" s="12">
        <v>45108</v>
      </c>
      <c r="B186" s="123" t="s">
        <v>549</v>
      </c>
      <c r="C186" s="20">
        <v>45117</v>
      </c>
      <c r="D186" s="123">
        <v>5936674</v>
      </c>
      <c r="E186" s="123" t="s">
        <v>385</v>
      </c>
      <c r="F186" s="123" t="s">
        <v>386</v>
      </c>
      <c r="G186" s="123" t="s">
        <v>192</v>
      </c>
      <c r="H186" s="17">
        <v>5211013</v>
      </c>
      <c r="I186" s="17" t="s">
        <v>27</v>
      </c>
      <c r="J186" s="123" t="s">
        <v>103</v>
      </c>
      <c r="K186" s="123">
        <v>25</v>
      </c>
      <c r="L186" s="123">
        <v>99</v>
      </c>
      <c r="M186" s="123">
        <f t="shared" ref="M186:M187" si="148">+L186*K186</f>
        <v>2475</v>
      </c>
      <c r="N186" s="20">
        <v>45118</v>
      </c>
      <c r="O186" s="123" t="s">
        <v>425</v>
      </c>
      <c r="P186" s="123" t="s">
        <v>144</v>
      </c>
      <c r="Q186" s="123" t="s">
        <v>30</v>
      </c>
      <c r="R186" s="123" t="s">
        <v>550</v>
      </c>
      <c r="S186" s="23">
        <v>231617233028</v>
      </c>
      <c r="T186" s="20">
        <v>45118</v>
      </c>
      <c r="U186" s="123"/>
      <c r="V186" s="123">
        <v>306</v>
      </c>
      <c r="W186" s="24">
        <v>45118.590277777781</v>
      </c>
      <c r="X186" s="24">
        <v>45118.722222222219</v>
      </c>
      <c r="Y186" s="25">
        <f t="shared" ref="Y186:Y187" si="149">+X186-W186</f>
        <v>0.13194444443797693</v>
      </c>
      <c r="Z186" s="24">
        <v>45118.645833333336</v>
      </c>
      <c r="AA186" s="24">
        <v>45118.722222222219</v>
      </c>
      <c r="AB186" s="25">
        <f t="shared" ref="AB186:AB187" si="150">+AA186-Z186</f>
        <v>7.6388888883229811E-2</v>
      </c>
    </row>
    <row r="187" spans="1:28" x14ac:dyDescent="0.25">
      <c r="A187" s="12">
        <v>45108</v>
      </c>
      <c r="B187" s="123" t="s">
        <v>549</v>
      </c>
      <c r="C187" s="20">
        <v>45117</v>
      </c>
      <c r="D187" s="123">
        <v>6134297</v>
      </c>
      <c r="E187" s="123" t="s">
        <v>385</v>
      </c>
      <c r="F187" s="123" t="s">
        <v>386</v>
      </c>
      <c r="G187" s="123" t="s">
        <v>192</v>
      </c>
      <c r="H187" s="17">
        <v>5211013</v>
      </c>
      <c r="I187" s="17" t="s">
        <v>27</v>
      </c>
      <c r="J187" s="123" t="s">
        <v>339</v>
      </c>
      <c r="K187" s="123">
        <v>25</v>
      </c>
      <c r="L187" s="123">
        <v>353</v>
      </c>
      <c r="M187" s="123">
        <f t="shared" si="148"/>
        <v>8825</v>
      </c>
      <c r="N187" s="20">
        <v>45118</v>
      </c>
      <c r="O187" s="123" t="s">
        <v>425</v>
      </c>
      <c r="P187" s="123" t="s">
        <v>144</v>
      </c>
      <c r="Q187" s="123" t="s">
        <v>30</v>
      </c>
      <c r="R187" s="123" t="s">
        <v>550</v>
      </c>
      <c r="S187" s="23">
        <v>231617233028</v>
      </c>
      <c r="T187" s="20">
        <v>45118</v>
      </c>
      <c r="U187" s="123"/>
      <c r="V187" s="123">
        <v>306</v>
      </c>
      <c r="W187" s="24">
        <v>45118.590277777781</v>
      </c>
      <c r="X187" s="24">
        <v>45118.722222222219</v>
      </c>
      <c r="Y187" s="25">
        <f t="shared" si="149"/>
        <v>0.13194444443797693</v>
      </c>
      <c r="Z187" s="24">
        <v>45118.645833333336</v>
      </c>
      <c r="AA187" s="24">
        <v>45118.722222222219</v>
      </c>
      <c r="AB187" s="25">
        <f t="shared" si="150"/>
        <v>7.6388888883229811E-2</v>
      </c>
    </row>
    <row r="188" spans="1:28" x14ac:dyDescent="0.25">
      <c r="A188" s="12">
        <v>45108</v>
      </c>
      <c r="B188" s="123" t="s">
        <v>551</v>
      </c>
      <c r="C188" s="20">
        <v>45117</v>
      </c>
      <c r="D188" s="123">
        <v>6134297</v>
      </c>
      <c r="E188" s="123" t="s">
        <v>385</v>
      </c>
      <c r="F188" s="123" t="s">
        <v>386</v>
      </c>
      <c r="G188" s="123" t="s">
        <v>192</v>
      </c>
      <c r="H188" s="17">
        <v>5211013</v>
      </c>
      <c r="I188" s="17" t="s">
        <v>27</v>
      </c>
      <c r="J188" s="123" t="s">
        <v>339</v>
      </c>
      <c r="K188" s="123">
        <v>25</v>
      </c>
      <c r="L188" s="123">
        <v>200</v>
      </c>
      <c r="M188" s="123">
        <f t="shared" si="142"/>
        <v>5000</v>
      </c>
      <c r="N188" s="20">
        <v>45118</v>
      </c>
      <c r="O188" s="123" t="s">
        <v>399</v>
      </c>
      <c r="P188" s="123" t="s">
        <v>144</v>
      </c>
      <c r="Q188" s="123" t="s">
        <v>30</v>
      </c>
      <c r="R188" s="123" t="s">
        <v>552</v>
      </c>
      <c r="S188" s="23">
        <v>241617224377</v>
      </c>
      <c r="T188" s="20">
        <v>45118</v>
      </c>
      <c r="U188" s="123"/>
      <c r="V188" s="123">
        <v>307</v>
      </c>
      <c r="W188" s="24">
        <v>45118.590277777781</v>
      </c>
      <c r="X188" s="24">
        <v>45118.788194444445</v>
      </c>
      <c r="Y188" s="25">
        <f t="shared" si="143"/>
        <v>0.19791666666424135</v>
      </c>
      <c r="Z188" s="24">
        <v>45118.666666666664</v>
      </c>
      <c r="AA188" s="24">
        <v>45118.784722222219</v>
      </c>
      <c r="AB188" s="25">
        <f t="shared" si="144"/>
        <v>0.11805555555474712</v>
      </c>
    </row>
    <row r="189" spans="1:28" x14ac:dyDescent="0.25">
      <c r="A189" s="12">
        <v>45108</v>
      </c>
      <c r="B189" s="123" t="s">
        <v>551</v>
      </c>
      <c r="C189" s="20">
        <v>45117</v>
      </c>
      <c r="D189" s="123">
        <v>6509004</v>
      </c>
      <c r="E189" s="123" t="s">
        <v>385</v>
      </c>
      <c r="F189" s="123" t="s">
        <v>386</v>
      </c>
      <c r="G189" s="123" t="s">
        <v>192</v>
      </c>
      <c r="H189" s="17">
        <v>5212252</v>
      </c>
      <c r="I189" s="17" t="s">
        <v>23</v>
      </c>
      <c r="J189" s="123" t="s">
        <v>411</v>
      </c>
      <c r="K189" s="123">
        <v>25</v>
      </c>
      <c r="L189" s="123">
        <v>600</v>
      </c>
      <c r="M189" s="123">
        <f t="shared" ref="M189:M190" si="151">+L189*K189</f>
        <v>15000</v>
      </c>
      <c r="N189" s="20">
        <v>45118</v>
      </c>
      <c r="O189" s="123" t="s">
        <v>399</v>
      </c>
      <c r="P189" s="123" t="s">
        <v>144</v>
      </c>
      <c r="Q189" s="123" t="s">
        <v>30</v>
      </c>
      <c r="R189" s="123" t="s">
        <v>552</v>
      </c>
      <c r="S189" s="23">
        <v>241617224377</v>
      </c>
      <c r="T189" s="20">
        <v>45118</v>
      </c>
      <c r="U189" s="123"/>
      <c r="V189" s="123">
        <v>307</v>
      </c>
      <c r="W189" s="24">
        <v>45118.590277777781</v>
      </c>
      <c r="X189" s="24">
        <v>45118.788194444445</v>
      </c>
      <c r="Y189" s="25">
        <f t="shared" ref="Y189" si="152">+X189-W189</f>
        <v>0.19791666666424135</v>
      </c>
      <c r="Z189" s="24">
        <v>45118.666666666664</v>
      </c>
      <c r="AA189" s="24">
        <v>45118.784722222219</v>
      </c>
      <c r="AB189" s="25">
        <f t="shared" ref="AB189" si="153">+AA189-Z189</f>
        <v>0.11805555555474712</v>
      </c>
    </row>
    <row r="190" spans="1:28" x14ac:dyDescent="0.25">
      <c r="A190" s="12">
        <v>45108</v>
      </c>
      <c r="B190" s="123" t="s">
        <v>553</v>
      </c>
      <c r="C190" s="20">
        <v>45118</v>
      </c>
      <c r="D190" s="123">
        <v>6134297</v>
      </c>
      <c r="E190" s="123" t="s">
        <v>385</v>
      </c>
      <c r="F190" s="123" t="s">
        <v>386</v>
      </c>
      <c r="G190" s="123" t="s">
        <v>192</v>
      </c>
      <c r="H190" s="17">
        <v>5211013</v>
      </c>
      <c r="I190" s="17" t="s">
        <v>27</v>
      </c>
      <c r="J190" s="123" t="s">
        <v>339</v>
      </c>
      <c r="K190" s="123">
        <v>25</v>
      </c>
      <c r="L190" s="123">
        <v>87</v>
      </c>
      <c r="M190" s="123">
        <f t="shared" si="151"/>
        <v>2175</v>
      </c>
      <c r="N190" s="20">
        <v>45118</v>
      </c>
      <c r="O190" s="123" t="s">
        <v>399</v>
      </c>
      <c r="P190" s="123" t="s">
        <v>144</v>
      </c>
      <c r="Q190" s="123" t="s">
        <v>30</v>
      </c>
      <c r="R190" s="123" t="s">
        <v>552</v>
      </c>
      <c r="S190" s="23">
        <v>201617225914</v>
      </c>
      <c r="T190" s="20">
        <v>45118</v>
      </c>
      <c r="U190" s="123"/>
      <c r="V190" s="123">
        <v>307</v>
      </c>
      <c r="W190" s="24">
        <v>45118.590277777781</v>
      </c>
      <c r="X190" s="24">
        <v>45118.788194444445</v>
      </c>
      <c r="Y190" s="25">
        <f t="shared" ref="Y190" si="154">+X190-W190</f>
        <v>0.19791666666424135</v>
      </c>
      <c r="Z190" s="24">
        <v>45118.666666666664</v>
      </c>
      <c r="AA190" s="24">
        <v>45118.784722222219</v>
      </c>
      <c r="AB190" s="25">
        <f t="shared" ref="AB190" si="155">+AA190-Z190</f>
        <v>0.11805555555474712</v>
      </c>
    </row>
    <row r="191" spans="1:28" x14ac:dyDescent="0.25">
      <c r="A191" s="12">
        <v>45108</v>
      </c>
      <c r="B191" s="123" t="s">
        <v>553</v>
      </c>
      <c r="C191" s="20">
        <v>45118</v>
      </c>
      <c r="D191" s="123">
        <v>6416376</v>
      </c>
      <c r="E191" s="123" t="s">
        <v>385</v>
      </c>
      <c r="F191" s="123" t="s">
        <v>386</v>
      </c>
      <c r="G191" s="123" t="s">
        <v>192</v>
      </c>
      <c r="H191" s="17">
        <v>5211013</v>
      </c>
      <c r="I191" s="17" t="s">
        <v>27</v>
      </c>
      <c r="J191" s="123" t="s">
        <v>367</v>
      </c>
      <c r="K191" s="123">
        <v>25</v>
      </c>
      <c r="L191" s="123">
        <v>313</v>
      </c>
      <c r="M191" s="123">
        <f t="shared" ref="M191:M192" si="156">+L191*K191</f>
        <v>7825</v>
      </c>
      <c r="N191" s="20">
        <v>45118</v>
      </c>
      <c r="O191" s="123" t="s">
        <v>399</v>
      </c>
      <c r="P191" s="123" t="s">
        <v>144</v>
      </c>
      <c r="Q191" s="123" t="s">
        <v>30</v>
      </c>
      <c r="R191" s="123" t="s">
        <v>552</v>
      </c>
      <c r="S191" s="23">
        <v>201617225914</v>
      </c>
      <c r="T191" s="20">
        <v>45118</v>
      </c>
      <c r="U191" s="123"/>
      <c r="V191" s="123">
        <v>307</v>
      </c>
      <c r="W191" s="24">
        <v>45118.590277777781</v>
      </c>
      <c r="X191" s="24">
        <v>45118.788194444445</v>
      </c>
      <c r="Y191" s="25">
        <f t="shared" ref="Y191:Y192" si="157">+X191-W191</f>
        <v>0.19791666666424135</v>
      </c>
      <c r="Z191" s="24">
        <v>45118.666666666664</v>
      </c>
      <c r="AA191" s="24">
        <v>45118.784722222219</v>
      </c>
      <c r="AB191" s="25">
        <f t="shared" ref="AB191:AB192" si="158">+AA191-Z191</f>
        <v>0.11805555555474712</v>
      </c>
    </row>
    <row r="192" spans="1:28" x14ac:dyDescent="0.25">
      <c r="A192" s="12">
        <v>45108</v>
      </c>
      <c r="B192" s="123" t="s">
        <v>554</v>
      </c>
      <c r="C192" s="20">
        <v>45118</v>
      </c>
      <c r="D192" s="123">
        <v>6416376</v>
      </c>
      <c r="E192" s="123" t="s">
        <v>395</v>
      </c>
      <c r="F192" s="123" t="s">
        <v>240</v>
      </c>
      <c r="G192" s="123" t="s">
        <v>192</v>
      </c>
      <c r="H192" s="17">
        <v>5211013</v>
      </c>
      <c r="I192" s="17" t="s">
        <v>27</v>
      </c>
      <c r="J192" s="123" t="s">
        <v>367</v>
      </c>
      <c r="K192" s="123">
        <v>25</v>
      </c>
      <c r="L192" s="123">
        <v>80</v>
      </c>
      <c r="M192" s="123">
        <f t="shared" si="156"/>
        <v>2000</v>
      </c>
      <c r="N192" s="20">
        <v>45119</v>
      </c>
      <c r="O192" s="123" t="s">
        <v>555</v>
      </c>
      <c r="P192" s="123" t="s">
        <v>556</v>
      </c>
      <c r="Q192" s="123" t="s">
        <v>30</v>
      </c>
      <c r="R192" s="123" t="s">
        <v>557</v>
      </c>
      <c r="S192" s="23">
        <v>271617664192</v>
      </c>
      <c r="T192" s="20">
        <v>45119</v>
      </c>
      <c r="U192" s="123"/>
      <c r="V192" s="123">
        <v>308</v>
      </c>
      <c r="W192" s="24">
        <v>45119.666666666664</v>
      </c>
      <c r="X192" s="24">
        <v>45119.6875</v>
      </c>
      <c r="Y192" s="25">
        <f t="shared" si="157"/>
        <v>2.0833333335758653E-2</v>
      </c>
      <c r="Z192" s="24">
        <v>45119.673611111109</v>
      </c>
      <c r="AA192" s="24">
        <v>45119.684027777781</v>
      </c>
      <c r="AB192" s="25">
        <f t="shared" si="158"/>
        <v>1.0416666671517305E-2</v>
      </c>
    </row>
    <row r="193" spans="1:28" x14ac:dyDescent="0.25">
      <c r="A193" s="12">
        <v>45108</v>
      </c>
      <c r="B193" s="123" t="s">
        <v>554</v>
      </c>
      <c r="C193" s="20">
        <v>45118</v>
      </c>
      <c r="D193" s="123">
        <v>5219103</v>
      </c>
      <c r="E193" s="123" t="s">
        <v>395</v>
      </c>
      <c r="F193" s="123" t="s">
        <v>240</v>
      </c>
      <c r="G193" s="123" t="s">
        <v>192</v>
      </c>
      <c r="H193" s="17">
        <v>5211014</v>
      </c>
      <c r="I193" s="17" t="s">
        <v>38</v>
      </c>
      <c r="J193" s="21" t="s">
        <v>69</v>
      </c>
      <c r="K193" s="123">
        <v>25</v>
      </c>
      <c r="L193" s="123">
        <v>26</v>
      </c>
      <c r="M193" s="123">
        <f t="shared" ref="M193:M195" si="159">+L193*K193</f>
        <v>650</v>
      </c>
      <c r="N193" s="20">
        <v>45119</v>
      </c>
      <c r="O193" s="123" t="s">
        <v>555</v>
      </c>
      <c r="P193" s="123" t="s">
        <v>556</v>
      </c>
      <c r="Q193" s="123" t="s">
        <v>30</v>
      </c>
      <c r="R193" s="123" t="s">
        <v>557</v>
      </c>
      <c r="S193" s="23">
        <v>271617664192</v>
      </c>
      <c r="T193" s="20">
        <v>45119</v>
      </c>
      <c r="U193" s="123"/>
      <c r="V193" s="123">
        <v>308</v>
      </c>
      <c r="W193" s="24">
        <v>45119.666666666664</v>
      </c>
      <c r="X193" s="24">
        <v>45119.6875</v>
      </c>
      <c r="Y193" s="25">
        <f t="shared" ref="Y193:Y195" si="160">+X193-W193</f>
        <v>2.0833333335758653E-2</v>
      </c>
      <c r="Z193" s="24">
        <v>45119.673611111109</v>
      </c>
      <c r="AA193" s="24">
        <v>45119.684027777781</v>
      </c>
      <c r="AB193" s="25">
        <f t="shared" ref="AB193:AB195" si="161">+AA193-Z193</f>
        <v>1.0416666671517305E-2</v>
      </c>
    </row>
    <row r="194" spans="1:28" x14ac:dyDescent="0.25">
      <c r="A194" s="12">
        <v>45108</v>
      </c>
      <c r="B194" s="123" t="s">
        <v>563</v>
      </c>
      <c r="C194" s="20">
        <v>45120</v>
      </c>
      <c r="D194" s="123">
        <v>5852098</v>
      </c>
      <c r="E194" s="123" t="s">
        <v>253</v>
      </c>
      <c r="F194" s="123" t="s">
        <v>215</v>
      </c>
      <c r="G194" s="17" t="s">
        <v>132</v>
      </c>
      <c r="H194" s="17">
        <v>5200193</v>
      </c>
      <c r="I194" s="123" t="s">
        <v>41</v>
      </c>
      <c r="J194" s="123">
        <v>1223005101</v>
      </c>
      <c r="K194" s="123">
        <v>250</v>
      </c>
      <c r="L194" s="123">
        <v>32</v>
      </c>
      <c r="M194" s="123">
        <f t="shared" si="159"/>
        <v>8000</v>
      </c>
      <c r="N194" s="20">
        <v>45120</v>
      </c>
      <c r="O194" s="123" t="s">
        <v>177</v>
      </c>
      <c r="P194" s="123" t="s">
        <v>134</v>
      </c>
      <c r="Q194" s="123">
        <v>2178</v>
      </c>
      <c r="R194" s="123" t="s">
        <v>564</v>
      </c>
      <c r="S194" s="23">
        <v>271618118870</v>
      </c>
      <c r="T194" s="20">
        <v>45120</v>
      </c>
      <c r="U194" s="123"/>
      <c r="V194" s="123">
        <v>309</v>
      </c>
      <c r="W194" s="24">
        <v>45120.645833333336</v>
      </c>
      <c r="X194" s="24">
        <v>45120.701388888891</v>
      </c>
      <c r="Y194" s="25">
        <f t="shared" si="160"/>
        <v>5.5555555554747116E-2</v>
      </c>
      <c r="Z194" s="24">
        <v>45120.680555555555</v>
      </c>
      <c r="AA194" s="24">
        <v>45120.694444444445</v>
      </c>
      <c r="AB194" s="25">
        <f t="shared" si="161"/>
        <v>1.3888888890505768E-2</v>
      </c>
    </row>
    <row r="195" spans="1:28" x14ac:dyDescent="0.25">
      <c r="A195" s="12">
        <v>45108</v>
      </c>
      <c r="B195" s="123" t="s">
        <v>565</v>
      </c>
      <c r="C195" s="20">
        <v>45120</v>
      </c>
      <c r="D195" s="123">
        <v>6509004</v>
      </c>
      <c r="E195" s="123" t="s">
        <v>191</v>
      </c>
      <c r="F195" s="123" t="s">
        <v>135</v>
      </c>
      <c r="G195" s="123" t="s">
        <v>192</v>
      </c>
      <c r="H195" s="17">
        <v>5212252</v>
      </c>
      <c r="I195" s="17" t="s">
        <v>23</v>
      </c>
      <c r="J195" s="123" t="s">
        <v>411</v>
      </c>
      <c r="K195" s="123">
        <v>25</v>
      </c>
      <c r="L195" s="123">
        <v>279</v>
      </c>
      <c r="M195" s="123">
        <f t="shared" si="159"/>
        <v>6975</v>
      </c>
      <c r="N195" s="20">
        <v>45120</v>
      </c>
      <c r="O195" s="123" t="s">
        <v>399</v>
      </c>
      <c r="P195" s="123" t="s">
        <v>144</v>
      </c>
      <c r="Q195" s="123" t="s">
        <v>30</v>
      </c>
      <c r="R195" s="123" t="s">
        <v>566</v>
      </c>
      <c r="S195" s="23">
        <v>231618081624</v>
      </c>
      <c r="T195" s="20">
        <v>45120</v>
      </c>
      <c r="U195" s="123"/>
      <c r="V195" s="123">
        <v>310</v>
      </c>
      <c r="W195" s="24">
        <v>45120.458333333336</v>
      </c>
      <c r="X195" s="24">
        <v>45120.611111111109</v>
      </c>
      <c r="Y195" s="25">
        <f t="shared" si="160"/>
        <v>0.15277777777373558</v>
      </c>
      <c r="Z195" s="24">
        <v>45120.479166666664</v>
      </c>
      <c r="AA195" s="24">
        <v>45120.5625</v>
      </c>
      <c r="AB195" s="25">
        <f t="shared" si="161"/>
        <v>8.3333333335758653E-2</v>
      </c>
    </row>
    <row r="196" spans="1:28" x14ac:dyDescent="0.25">
      <c r="A196" s="12">
        <v>45108</v>
      </c>
      <c r="B196" s="123" t="s">
        <v>565</v>
      </c>
      <c r="C196" s="20">
        <v>45120</v>
      </c>
      <c r="D196" s="123">
        <v>6509004</v>
      </c>
      <c r="E196" s="123" t="s">
        <v>191</v>
      </c>
      <c r="F196" s="123" t="s">
        <v>135</v>
      </c>
      <c r="G196" s="123" t="s">
        <v>192</v>
      </c>
      <c r="H196" s="17">
        <v>5212252</v>
      </c>
      <c r="I196" s="17" t="s">
        <v>23</v>
      </c>
      <c r="J196" s="123" t="s">
        <v>413</v>
      </c>
      <c r="K196" s="123">
        <v>25</v>
      </c>
      <c r="L196" s="123">
        <v>297</v>
      </c>
      <c r="M196" s="123">
        <f t="shared" ref="M196:M197" si="162">+L196*K196</f>
        <v>7425</v>
      </c>
      <c r="N196" s="20">
        <v>45120</v>
      </c>
      <c r="O196" s="123" t="s">
        <v>399</v>
      </c>
      <c r="P196" s="123" t="s">
        <v>144</v>
      </c>
      <c r="Q196" s="123" t="s">
        <v>30</v>
      </c>
      <c r="R196" s="123" t="s">
        <v>566</v>
      </c>
      <c r="S196" s="23">
        <v>231618081624</v>
      </c>
      <c r="T196" s="20">
        <v>45120</v>
      </c>
      <c r="U196" s="123"/>
      <c r="V196" s="123">
        <v>310</v>
      </c>
      <c r="W196" s="24">
        <v>45120.458333333336</v>
      </c>
      <c r="X196" s="24">
        <v>45120.611111111109</v>
      </c>
      <c r="Y196" s="25">
        <f t="shared" ref="Y196:Y197" si="163">+X196-W196</f>
        <v>0.15277777777373558</v>
      </c>
      <c r="Z196" s="24">
        <v>45120.479166666664</v>
      </c>
      <c r="AA196" s="24">
        <v>45120.5625</v>
      </c>
      <c r="AB196" s="25">
        <f t="shared" ref="AB196:AB197" si="164">+AA196-Z196</f>
        <v>8.3333333335758653E-2</v>
      </c>
    </row>
    <row r="197" spans="1:28" x14ac:dyDescent="0.25">
      <c r="A197" s="12">
        <v>45108</v>
      </c>
      <c r="B197" s="123" t="s">
        <v>565</v>
      </c>
      <c r="C197" s="20">
        <v>45120</v>
      </c>
      <c r="D197" s="123">
        <v>6509004</v>
      </c>
      <c r="E197" s="123" t="s">
        <v>191</v>
      </c>
      <c r="F197" s="123" t="s">
        <v>135</v>
      </c>
      <c r="G197" s="123" t="s">
        <v>192</v>
      </c>
      <c r="H197" s="17">
        <v>5212252</v>
      </c>
      <c r="I197" s="17" t="s">
        <v>23</v>
      </c>
      <c r="J197" s="123" t="s">
        <v>411</v>
      </c>
      <c r="K197" s="123">
        <v>25</v>
      </c>
      <c r="L197" s="123">
        <v>424</v>
      </c>
      <c r="M197" s="123">
        <f t="shared" si="162"/>
        <v>10600</v>
      </c>
      <c r="N197" s="20">
        <v>45120</v>
      </c>
      <c r="O197" s="123" t="s">
        <v>399</v>
      </c>
      <c r="P197" s="123" t="s">
        <v>144</v>
      </c>
      <c r="Q197" s="123" t="s">
        <v>30</v>
      </c>
      <c r="R197" s="123" t="s">
        <v>566</v>
      </c>
      <c r="S197" s="23">
        <v>231618081624</v>
      </c>
      <c r="T197" s="20">
        <v>45120</v>
      </c>
      <c r="U197" s="123"/>
      <c r="V197" s="123">
        <v>310</v>
      </c>
      <c r="W197" s="24">
        <v>45120.458333333336</v>
      </c>
      <c r="X197" s="24">
        <v>45120.611111111109</v>
      </c>
      <c r="Y197" s="25">
        <f t="shared" si="163"/>
        <v>0.15277777777373558</v>
      </c>
      <c r="Z197" s="24">
        <v>45120.479166666664</v>
      </c>
      <c r="AA197" s="24">
        <v>45120.5625</v>
      </c>
      <c r="AB197" s="25">
        <f t="shared" si="164"/>
        <v>8.3333333335758653E-2</v>
      </c>
    </row>
    <row r="198" spans="1:28" x14ac:dyDescent="0.25">
      <c r="A198" s="12">
        <v>45108</v>
      </c>
      <c r="B198" s="123" t="s">
        <v>567</v>
      </c>
      <c r="C198" s="20">
        <v>45120</v>
      </c>
      <c r="D198" s="123">
        <v>6335482</v>
      </c>
      <c r="E198" s="123" t="s">
        <v>191</v>
      </c>
      <c r="F198" s="123" t="s">
        <v>135</v>
      </c>
      <c r="G198" s="123" t="s">
        <v>192</v>
      </c>
      <c r="H198" s="17">
        <v>5212259</v>
      </c>
      <c r="I198" s="17" t="s">
        <v>26</v>
      </c>
      <c r="J198" s="123" t="s">
        <v>447</v>
      </c>
      <c r="K198" s="123">
        <v>25</v>
      </c>
      <c r="L198" s="123">
        <v>200</v>
      </c>
      <c r="M198" s="123">
        <f t="shared" ref="M198:M207" si="165">+L198*K198</f>
        <v>5000</v>
      </c>
      <c r="N198" s="20">
        <v>45120</v>
      </c>
      <c r="O198" s="123" t="s">
        <v>399</v>
      </c>
      <c r="P198" s="123" t="s">
        <v>144</v>
      </c>
      <c r="Q198" s="123" t="s">
        <v>30</v>
      </c>
      <c r="R198" s="123" t="s">
        <v>566</v>
      </c>
      <c r="S198" s="23">
        <v>201618085023</v>
      </c>
      <c r="T198" s="20">
        <v>45120</v>
      </c>
      <c r="U198" s="123"/>
      <c r="V198" s="123">
        <v>310</v>
      </c>
      <c r="W198" s="24">
        <v>45120.458333333336</v>
      </c>
      <c r="X198" s="24">
        <v>45120.611111111109</v>
      </c>
      <c r="Y198" s="25">
        <f t="shared" ref="Y198:Y204" si="166">+X198-W198</f>
        <v>0.15277777777373558</v>
      </c>
      <c r="Z198" s="24">
        <v>45120.479166666664</v>
      </c>
      <c r="AA198" s="24">
        <v>45120.5625</v>
      </c>
      <c r="AB198" s="25">
        <f t="shared" ref="AB198:AB204" si="167">+AA198-Z198</f>
        <v>8.3333333335758653E-2</v>
      </c>
    </row>
    <row r="199" spans="1:28" x14ac:dyDescent="0.25">
      <c r="A199" s="12">
        <v>45108</v>
      </c>
      <c r="B199" s="123" t="s">
        <v>568</v>
      </c>
      <c r="C199" s="20">
        <v>45120</v>
      </c>
      <c r="D199" s="123">
        <v>5852098</v>
      </c>
      <c r="E199" s="123" t="s">
        <v>253</v>
      </c>
      <c r="F199" s="123" t="s">
        <v>215</v>
      </c>
      <c r="G199" s="17" t="s">
        <v>132</v>
      </c>
      <c r="H199" s="17">
        <v>5200193</v>
      </c>
      <c r="I199" s="123" t="s">
        <v>41</v>
      </c>
      <c r="J199" s="123">
        <v>1223005101</v>
      </c>
      <c r="K199" s="123">
        <v>250</v>
      </c>
      <c r="L199" s="123">
        <v>32</v>
      </c>
      <c r="M199" s="123">
        <f t="shared" si="165"/>
        <v>8000</v>
      </c>
      <c r="N199" s="20">
        <v>45121</v>
      </c>
      <c r="O199" s="123" t="s">
        <v>177</v>
      </c>
      <c r="P199" s="123" t="s">
        <v>134</v>
      </c>
      <c r="Q199" s="123">
        <v>2179</v>
      </c>
      <c r="R199" s="123" t="s">
        <v>536</v>
      </c>
      <c r="S199" s="23">
        <v>281618638128</v>
      </c>
      <c r="T199" s="20">
        <v>45121</v>
      </c>
      <c r="U199" s="123"/>
      <c r="V199" s="123">
        <v>311</v>
      </c>
      <c r="W199" s="24">
        <v>45121.625</v>
      </c>
      <c r="X199" s="24">
        <v>45121.708333333336</v>
      </c>
      <c r="Y199" s="25">
        <f t="shared" si="166"/>
        <v>8.3333333335758653E-2</v>
      </c>
      <c r="Z199" s="24">
        <v>45121.666666666664</v>
      </c>
      <c r="AA199" s="24">
        <v>45121.701388888891</v>
      </c>
      <c r="AB199" s="25">
        <f t="shared" si="167"/>
        <v>3.4722222226264421E-2</v>
      </c>
    </row>
    <row r="200" spans="1:28" x14ac:dyDescent="0.25">
      <c r="A200" s="12">
        <v>45108</v>
      </c>
      <c r="B200" s="123" t="s">
        <v>569</v>
      </c>
      <c r="C200" s="20">
        <v>45121</v>
      </c>
      <c r="D200" s="123">
        <v>5285749</v>
      </c>
      <c r="E200" s="123" t="s">
        <v>196</v>
      </c>
      <c r="F200" s="123" t="s">
        <v>215</v>
      </c>
      <c r="G200" s="17" t="s">
        <v>132</v>
      </c>
      <c r="H200" s="17">
        <v>5230831</v>
      </c>
      <c r="I200" s="17" t="s">
        <v>35</v>
      </c>
      <c r="J200" s="21" t="s">
        <v>70</v>
      </c>
      <c r="K200" s="123">
        <v>240</v>
      </c>
      <c r="L200" s="123">
        <v>40</v>
      </c>
      <c r="M200" s="123">
        <f t="shared" si="165"/>
        <v>9600</v>
      </c>
      <c r="N200" s="20">
        <v>45121</v>
      </c>
      <c r="O200" s="123" t="s">
        <v>136</v>
      </c>
      <c r="P200" s="123" t="s">
        <v>144</v>
      </c>
      <c r="Q200" s="123" t="s">
        <v>30</v>
      </c>
      <c r="R200" s="123" t="s">
        <v>265</v>
      </c>
      <c r="S200" s="23">
        <v>201618651358</v>
      </c>
      <c r="T200" s="20">
        <v>45121</v>
      </c>
      <c r="U200" s="123"/>
      <c r="V200" s="123">
        <v>312</v>
      </c>
      <c r="W200" s="24">
        <v>45121.604166666664</v>
      </c>
      <c r="X200" s="24">
        <v>45121.701388888891</v>
      </c>
      <c r="Y200" s="25">
        <f t="shared" si="166"/>
        <v>9.7222222226264421E-2</v>
      </c>
      <c r="Z200" s="24">
        <v>45121.670138888891</v>
      </c>
      <c r="AA200" s="24">
        <v>45121.697916666664</v>
      </c>
      <c r="AB200" s="25">
        <f t="shared" si="167"/>
        <v>2.7777777773735579E-2</v>
      </c>
    </row>
    <row r="201" spans="1:28" x14ac:dyDescent="0.25">
      <c r="A201" s="12">
        <v>45108</v>
      </c>
      <c r="B201" s="123" t="s">
        <v>570</v>
      </c>
      <c r="C201" s="20">
        <v>45121</v>
      </c>
      <c r="D201" s="123">
        <v>6146274</v>
      </c>
      <c r="E201" s="123" t="s">
        <v>471</v>
      </c>
      <c r="F201" s="123" t="s">
        <v>472</v>
      </c>
      <c r="G201" s="123" t="s">
        <v>192</v>
      </c>
      <c r="H201" s="17">
        <v>5205449</v>
      </c>
      <c r="I201" s="17" t="str">
        <f>VLOOKUP(H201,[1]MASTER!$A:$B,2,0)</f>
        <v>PVC-WH1000F-Premium-Bag-25KG</v>
      </c>
      <c r="J201" s="123">
        <v>2230237712</v>
      </c>
      <c r="K201" s="123">
        <v>25</v>
      </c>
      <c r="L201" s="123">
        <v>180</v>
      </c>
      <c r="M201" s="123">
        <f t="shared" si="165"/>
        <v>4500</v>
      </c>
      <c r="N201" s="20">
        <v>45121</v>
      </c>
      <c r="O201" s="123" t="s">
        <v>259</v>
      </c>
      <c r="P201" s="123" t="s">
        <v>144</v>
      </c>
      <c r="Q201" s="123" t="s">
        <v>30</v>
      </c>
      <c r="R201" s="123" t="s">
        <v>571</v>
      </c>
      <c r="S201" s="23">
        <v>221618669740</v>
      </c>
      <c r="T201" s="20">
        <v>45121</v>
      </c>
      <c r="U201" s="123"/>
      <c r="V201" s="123">
        <v>313</v>
      </c>
      <c r="W201" s="24">
        <v>45121.440972222219</v>
      </c>
      <c r="X201" s="24">
        <v>45121.701388888891</v>
      </c>
      <c r="Y201" s="25">
        <f t="shared" si="166"/>
        <v>0.26041666667151731</v>
      </c>
      <c r="Z201" s="24">
        <v>45121.447916666664</v>
      </c>
      <c r="AA201" s="24">
        <v>45121.465277777781</v>
      </c>
      <c r="AB201" s="25">
        <f t="shared" si="167"/>
        <v>1.7361111116770189E-2</v>
      </c>
    </row>
    <row r="202" spans="1:28" x14ac:dyDescent="0.25">
      <c r="A202" s="12">
        <v>45108</v>
      </c>
      <c r="B202" s="123" t="s">
        <v>570</v>
      </c>
      <c r="C202" s="20">
        <v>45121</v>
      </c>
      <c r="D202" s="123">
        <v>6146274</v>
      </c>
      <c r="E202" s="123" t="s">
        <v>471</v>
      </c>
      <c r="F202" s="123" t="s">
        <v>472</v>
      </c>
      <c r="G202" s="123" t="s">
        <v>192</v>
      </c>
      <c r="H202" s="17">
        <v>5205449</v>
      </c>
      <c r="I202" s="17" t="str">
        <f>VLOOKUP(H202,[1]MASTER!$A:$B,2,0)</f>
        <v>PVC-WH1000F-Premium-Bag-25KG</v>
      </c>
      <c r="J202" s="123">
        <v>2230237822</v>
      </c>
      <c r="K202" s="123">
        <v>25</v>
      </c>
      <c r="L202" s="123">
        <v>20</v>
      </c>
      <c r="M202" s="123">
        <f t="shared" ref="M202" si="168">+L202*K202</f>
        <v>500</v>
      </c>
      <c r="N202" s="20">
        <v>45121</v>
      </c>
      <c r="O202" s="123" t="s">
        <v>259</v>
      </c>
      <c r="P202" s="123" t="s">
        <v>144</v>
      </c>
      <c r="Q202" s="123" t="s">
        <v>30</v>
      </c>
      <c r="R202" s="123" t="s">
        <v>571</v>
      </c>
      <c r="S202" s="23">
        <v>221618669740</v>
      </c>
      <c r="T202" s="20">
        <v>45121</v>
      </c>
      <c r="U202" s="123"/>
      <c r="V202" s="123">
        <v>313</v>
      </c>
      <c r="W202" s="24">
        <v>45121.440972222219</v>
      </c>
      <c r="X202" s="24">
        <v>45121.701388888891</v>
      </c>
      <c r="Y202" s="25">
        <f t="shared" ref="Y202" si="169">+X202-W202</f>
        <v>0.26041666667151731</v>
      </c>
      <c r="Z202" s="24">
        <v>45121.447916666664</v>
      </c>
      <c r="AA202" s="24">
        <v>45121.465277777781</v>
      </c>
      <c r="AB202" s="25">
        <f t="shared" ref="AB202" si="170">+AA202-Z202</f>
        <v>1.7361111116770189E-2</v>
      </c>
    </row>
    <row r="203" spans="1:28" x14ac:dyDescent="0.25">
      <c r="A203" s="12">
        <v>45108</v>
      </c>
      <c r="B203" s="123" t="s">
        <v>572</v>
      </c>
      <c r="C203" s="20">
        <v>45121</v>
      </c>
      <c r="D203" s="123">
        <v>6146274</v>
      </c>
      <c r="E203" s="123" t="s">
        <v>471</v>
      </c>
      <c r="F203" s="123" t="s">
        <v>472</v>
      </c>
      <c r="G203" s="123" t="s">
        <v>192</v>
      </c>
      <c r="H203" s="17">
        <v>5205449</v>
      </c>
      <c r="I203" s="17" t="str">
        <f>VLOOKUP(H203,[1]MASTER!$A:$B,2,0)</f>
        <v>PVC-WH1000F-Premium-Bag-25KG</v>
      </c>
      <c r="J203" s="123">
        <v>2230237822</v>
      </c>
      <c r="K203" s="123">
        <v>25</v>
      </c>
      <c r="L203" s="123">
        <v>1200</v>
      </c>
      <c r="M203" s="123">
        <f t="shared" si="165"/>
        <v>30000</v>
      </c>
      <c r="N203" s="20">
        <v>45121</v>
      </c>
      <c r="O203" s="123" t="s">
        <v>399</v>
      </c>
      <c r="P203" s="123" t="s">
        <v>144</v>
      </c>
      <c r="Q203" s="123" t="s">
        <v>30</v>
      </c>
      <c r="R203" s="123" t="s">
        <v>573</v>
      </c>
      <c r="S203" s="23">
        <v>811327958659</v>
      </c>
      <c r="T203" s="20">
        <v>45121</v>
      </c>
      <c r="U203" s="123"/>
      <c r="V203" s="123">
        <v>314</v>
      </c>
      <c r="W203" s="24">
        <v>45121.458333333336</v>
      </c>
      <c r="X203" s="24">
        <v>45121.791666666664</v>
      </c>
      <c r="Y203" s="25">
        <f t="shared" si="166"/>
        <v>0.33333333332848269</v>
      </c>
      <c r="Z203" s="24">
        <v>45121.583333333336</v>
      </c>
      <c r="AA203" s="24">
        <v>45121.770833333336</v>
      </c>
      <c r="AB203" s="25">
        <f t="shared" si="167"/>
        <v>0.1875</v>
      </c>
    </row>
    <row r="204" spans="1:28" x14ac:dyDescent="0.25">
      <c r="A204" s="12">
        <v>45108</v>
      </c>
      <c r="B204" s="123" t="s">
        <v>576</v>
      </c>
      <c r="C204" s="20">
        <v>45119</v>
      </c>
      <c r="D204" s="123">
        <v>6416376</v>
      </c>
      <c r="E204" s="123" t="s">
        <v>191</v>
      </c>
      <c r="F204" s="123" t="s">
        <v>135</v>
      </c>
      <c r="G204" s="123" t="s">
        <v>192</v>
      </c>
      <c r="H204" s="17">
        <v>5211013</v>
      </c>
      <c r="I204" s="17" t="s">
        <v>27</v>
      </c>
      <c r="J204" s="123" t="s">
        <v>367</v>
      </c>
      <c r="K204" s="123">
        <v>25</v>
      </c>
      <c r="L204" s="123">
        <v>120</v>
      </c>
      <c r="M204" s="123">
        <f t="shared" si="165"/>
        <v>3000</v>
      </c>
      <c r="N204" s="20">
        <v>45122</v>
      </c>
      <c r="O204" s="123" t="s">
        <v>259</v>
      </c>
      <c r="P204" s="123" t="s">
        <v>144</v>
      </c>
      <c r="Q204" s="123" t="s">
        <v>30</v>
      </c>
      <c r="R204" s="123" t="s">
        <v>180</v>
      </c>
      <c r="S204" s="23">
        <v>241618955632</v>
      </c>
      <c r="T204" s="20">
        <v>45122</v>
      </c>
      <c r="U204" s="123"/>
      <c r="V204" s="123">
        <v>315</v>
      </c>
      <c r="W204" s="24">
        <v>45122.454861111109</v>
      </c>
      <c r="X204" s="24">
        <v>45122.5</v>
      </c>
      <c r="Y204" s="25">
        <f t="shared" si="166"/>
        <v>4.5138888890505768E-2</v>
      </c>
      <c r="Z204" s="24">
        <v>45122.458333333336</v>
      </c>
      <c r="AA204" s="24">
        <v>45122.493055555555</v>
      </c>
      <c r="AB204" s="25">
        <f t="shared" si="167"/>
        <v>3.4722222218988463E-2</v>
      </c>
    </row>
    <row r="205" spans="1:28" x14ac:dyDescent="0.25">
      <c r="A205" s="12">
        <v>45108</v>
      </c>
      <c r="B205" s="123" t="s">
        <v>577</v>
      </c>
      <c r="C205" s="20">
        <v>45119</v>
      </c>
      <c r="D205" s="123">
        <v>6416376</v>
      </c>
      <c r="E205" s="123" t="s">
        <v>191</v>
      </c>
      <c r="F205" s="123" t="s">
        <v>135</v>
      </c>
      <c r="G205" s="123" t="s">
        <v>192</v>
      </c>
      <c r="H205" s="17">
        <v>5211013</v>
      </c>
      <c r="I205" s="17" t="s">
        <v>27</v>
      </c>
      <c r="J205" s="123" t="s">
        <v>367</v>
      </c>
      <c r="K205" s="123">
        <v>25</v>
      </c>
      <c r="L205" s="123">
        <v>80</v>
      </c>
      <c r="M205" s="123">
        <f t="shared" si="165"/>
        <v>2000</v>
      </c>
      <c r="N205" s="20">
        <v>45122</v>
      </c>
      <c r="O205" s="123" t="s">
        <v>259</v>
      </c>
      <c r="P205" s="123" t="s">
        <v>144</v>
      </c>
      <c r="Q205" s="123" t="s">
        <v>30</v>
      </c>
      <c r="R205" s="123" t="s">
        <v>180</v>
      </c>
      <c r="S205" s="23">
        <v>271618957273</v>
      </c>
      <c r="T205" s="20">
        <v>45122</v>
      </c>
      <c r="U205" s="123"/>
      <c r="V205" s="123">
        <v>315</v>
      </c>
      <c r="W205" s="24">
        <v>45122.454861111109</v>
      </c>
      <c r="X205" s="24">
        <v>45122.5</v>
      </c>
      <c r="Y205" s="25">
        <f t="shared" ref="Y205:Y207" si="171">+X205-W205</f>
        <v>4.5138888890505768E-2</v>
      </c>
      <c r="Z205" s="24">
        <v>45122.458333333336</v>
      </c>
      <c r="AA205" s="24">
        <v>45122.493055555555</v>
      </c>
      <c r="AB205" s="25">
        <f t="shared" ref="AB205:AB207" si="172">+AA205-Z205</f>
        <v>3.4722222218988463E-2</v>
      </c>
    </row>
    <row r="206" spans="1:28" x14ac:dyDescent="0.25">
      <c r="A206" s="12">
        <v>45108</v>
      </c>
      <c r="B206" s="123" t="s">
        <v>578</v>
      </c>
      <c r="C206" s="20">
        <v>45120</v>
      </c>
      <c r="D206" s="123">
        <v>5285749</v>
      </c>
      <c r="E206" s="123" t="s">
        <v>579</v>
      </c>
      <c r="F206" s="123" t="s">
        <v>215</v>
      </c>
      <c r="G206" s="17" t="s">
        <v>132</v>
      </c>
      <c r="H206" s="17">
        <v>5230831</v>
      </c>
      <c r="I206" s="17" t="s">
        <v>35</v>
      </c>
      <c r="J206" s="21" t="s">
        <v>70</v>
      </c>
      <c r="K206" s="123">
        <v>240</v>
      </c>
      <c r="L206" s="123">
        <v>20</v>
      </c>
      <c r="M206" s="123">
        <f t="shared" si="165"/>
        <v>4800</v>
      </c>
      <c r="N206" s="20">
        <v>45122</v>
      </c>
      <c r="O206" s="123" t="s">
        <v>298</v>
      </c>
      <c r="P206" s="123" t="s">
        <v>134</v>
      </c>
      <c r="Q206" s="123">
        <v>2180</v>
      </c>
      <c r="R206" s="123" t="s">
        <v>580</v>
      </c>
      <c r="S206" s="23">
        <v>291618988563</v>
      </c>
      <c r="T206" s="20">
        <v>45122</v>
      </c>
      <c r="U206" s="123"/>
      <c r="V206" s="123">
        <v>316</v>
      </c>
      <c r="W206" s="24">
        <v>45122.569444444445</v>
      </c>
      <c r="X206" s="24">
        <v>45122.59375</v>
      </c>
      <c r="Y206" s="25">
        <f t="shared" si="171"/>
        <v>2.4305555554747116E-2</v>
      </c>
      <c r="Z206" s="24">
        <v>45122.576388888891</v>
      </c>
      <c r="AA206" s="24">
        <v>45122.586805555555</v>
      </c>
      <c r="AB206" s="25">
        <f t="shared" si="172"/>
        <v>1.0416666664241347E-2</v>
      </c>
    </row>
    <row r="207" spans="1:28" x14ac:dyDescent="0.25">
      <c r="A207" s="12">
        <v>45108</v>
      </c>
      <c r="B207" s="123" t="s">
        <v>581</v>
      </c>
      <c r="C207" s="20">
        <v>45122</v>
      </c>
      <c r="D207" s="123">
        <v>6147723</v>
      </c>
      <c r="E207" s="123" t="s">
        <v>471</v>
      </c>
      <c r="F207" s="123" t="s">
        <v>472</v>
      </c>
      <c r="G207" s="123" t="s">
        <v>192</v>
      </c>
      <c r="H207" s="17">
        <v>5205449</v>
      </c>
      <c r="I207" s="17" t="str">
        <f>VLOOKUP(H207,[1]MASTER!$A:$B,2,0)</f>
        <v>PVC-WH1000F-Premium-Bag-25KG</v>
      </c>
      <c r="J207" s="123">
        <v>1230240562</v>
      </c>
      <c r="K207" s="123">
        <v>25</v>
      </c>
      <c r="L207" s="123">
        <v>240</v>
      </c>
      <c r="M207" s="123">
        <f t="shared" si="165"/>
        <v>6000</v>
      </c>
      <c r="N207" s="20">
        <v>45122</v>
      </c>
      <c r="O207" s="123" t="s">
        <v>204</v>
      </c>
      <c r="P207" s="123" t="s">
        <v>144</v>
      </c>
      <c r="Q207" s="123" t="s">
        <v>30</v>
      </c>
      <c r="R207" s="123" t="s">
        <v>582</v>
      </c>
      <c r="S207" s="23">
        <v>851328209925</v>
      </c>
      <c r="T207" s="20">
        <v>45122</v>
      </c>
      <c r="U207" s="123"/>
      <c r="V207" s="123">
        <v>317</v>
      </c>
      <c r="W207" s="24">
        <v>45122.645833333336</v>
      </c>
      <c r="X207" s="24">
        <v>45122.798611111109</v>
      </c>
      <c r="Y207" s="25">
        <f t="shared" si="171"/>
        <v>0.15277777777373558</v>
      </c>
      <c r="Z207" s="24">
        <v>45122.645833333336</v>
      </c>
      <c r="AA207" s="24">
        <v>45122.798611111109</v>
      </c>
      <c r="AB207" s="25">
        <f t="shared" si="172"/>
        <v>0.15277777777373558</v>
      </c>
    </row>
    <row r="208" spans="1:28" x14ac:dyDescent="0.25">
      <c r="A208" s="12">
        <v>45108</v>
      </c>
      <c r="B208" s="123" t="s">
        <v>581</v>
      </c>
      <c r="C208" s="20">
        <v>45122</v>
      </c>
      <c r="D208" s="123">
        <v>6147723</v>
      </c>
      <c r="E208" s="123" t="s">
        <v>471</v>
      </c>
      <c r="F208" s="123" t="s">
        <v>472</v>
      </c>
      <c r="G208" s="123" t="s">
        <v>192</v>
      </c>
      <c r="H208" s="17">
        <v>5205449</v>
      </c>
      <c r="I208" s="17" t="str">
        <f>VLOOKUP(H208,[1]MASTER!$A:$B,2,0)</f>
        <v>PVC-WH1000F-Premium-Bag-25KG</v>
      </c>
      <c r="J208" s="123">
        <v>1230240172</v>
      </c>
      <c r="K208" s="123">
        <v>25</v>
      </c>
      <c r="L208" s="123">
        <v>160</v>
      </c>
      <c r="M208" s="123">
        <f t="shared" ref="M208" si="173">+L208*K208</f>
        <v>4000</v>
      </c>
      <c r="N208" s="20">
        <v>45122</v>
      </c>
      <c r="O208" s="123" t="s">
        <v>204</v>
      </c>
      <c r="P208" s="123" t="s">
        <v>144</v>
      </c>
      <c r="Q208" s="123" t="s">
        <v>30</v>
      </c>
      <c r="R208" s="123" t="s">
        <v>582</v>
      </c>
      <c r="S208" s="23">
        <v>851328209925</v>
      </c>
      <c r="T208" s="20">
        <v>45122</v>
      </c>
      <c r="U208" s="123"/>
      <c r="V208" s="123">
        <v>317</v>
      </c>
      <c r="W208" s="24">
        <v>45122.645833333336</v>
      </c>
      <c r="X208" s="24">
        <v>45122.798611111109</v>
      </c>
      <c r="Y208" s="25">
        <f t="shared" ref="Y208" si="174">+X208-W208</f>
        <v>0.15277777777373558</v>
      </c>
      <c r="Z208" s="24">
        <v>45122.645833333336</v>
      </c>
      <c r="AA208" s="24">
        <v>45122.798611111109</v>
      </c>
      <c r="AB208" s="25">
        <f t="shared" ref="AB208" si="175">+AA208-Z208</f>
        <v>0.15277777777373558</v>
      </c>
    </row>
    <row r="209" spans="1:28" x14ac:dyDescent="0.25">
      <c r="A209" s="12">
        <v>45108</v>
      </c>
      <c r="B209" s="123" t="s">
        <v>583</v>
      </c>
      <c r="C209" s="20">
        <v>45122</v>
      </c>
      <c r="D209" s="123">
        <v>6147723</v>
      </c>
      <c r="E209" s="123" t="s">
        <v>471</v>
      </c>
      <c r="F209" s="123" t="s">
        <v>472</v>
      </c>
      <c r="G209" s="123" t="s">
        <v>192</v>
      </c>
      <c r="H209" s="17">
        <v>5205449</v>
      </c>
      <c r="I209" s="17" t="str">
        <f>VLOOKUP(H209,[1]MASTER!$A:$B,2,0)</f>
        <v>PVC-WH1000F-Premium-Bag-25KG</v>
      </c>
      <c r="J209" s="123">
        <v>1230240172</v>
      </c>
      <c r="K209" s="123">
        <v>25</v>
      </c>
      <c r="L209" s="123">
        <v>200</v>
      </c>
      <c r="M209" s="123">
        <f t="shared" ref="M209" si="176">+L209*K209</f>
        <v>5000</v>
      </c>
      <c r="N209" s="20">
        <v>45122</v>
      </c>
      <c r="O209" s="123" t="s">
        <v>204</v>
      </c>
      <c r="P209" s="123" t="s">
        <v>144</v>
      </c>
      <c r="Q209" s="123" t="s">
        <v>30</v>
      </c>
      <c r="R209" s="123" t="s">
        <v>582</v>
      </c>
      <c r="S209" s="23">
        <v>861328206495</v>
      </c>
      <c r="T209" s="20">
        <v>45122</v>
      </c>
      <c r="U209" s="123"/>
      <c r="V209" s="123">
        <v>317</v>
      </c>
      <c r="W209" s="24">
        <v>45122.645833333336</v>
      </c>
      <c r="X209" s="24">
        <v>45122.798611111109</v>
      </c>
      <c r="Y209" s="25">
        <f t="shared" ref="Y209" si="177">+X209-W209</f>
        <v>0.15277777777373558</v>
      </c>
      <c r="Z209" s="24">
        <v>45122.645833333336</v>
      </c>
      <c r="AA209" s="24">
        <v>45122.798611111109</v>
      </c>
      <c r="AB209" s="25">
        <f t="shared" ref="AB209" si="178">+AA209-Z209</f>
        <v>0.15277777777373558</v>
      </c>
    </row>
    <row r="210" spans="1:28" x14ac:dyDescent="0.25">
      <c r="A210" s="12">
        <v>45108</v>
      </c>
      <c r="B210" s="123" t="s">
        <v>584</v>
      </c>
      <c r="C210" s="20">
        <v>45122</v>
      </c>
      <c r="D210" s="123">
        <v>6147723</v>
      </c>
      <c r="E210" s="123" t="s">
        <v>471</v>
      </c>
      <c r="F210" s="123" t="s">
        <v>472</v>
      </c>
      <c r="G210" s="123" t="s">
        <v>192</v>
      </c>
      <c r="H210" s="17">
        <v>5205449</v>
      </c>
      <c r="I210" s="17" t="str">
        <f>VLOOKUP(H210,[1]MASTER!$A:$B,2,0)</f>
        <v>PVC-WH1000F-Premium-Bag-25KG</v>
      </c>
      <c r="J210" s="123">
        <v>1230240172</v>
      </c>
      <c r="K210" s="123">
        <v>25</v>
      </c>
      <c r="L210" s="123">
        <v>280</v>
      </c>
      <c r="M210" s="123">
        <f t="shared" ref="M210:M217" si="179">+L210*K210</f>
        <v>7000</v>
      </c>
      <c r="N210" s="20">
        <v>45122</v>
      </c>
      <c r="O210" s="123" t="s">
        <v>204</v>
      </c>
      <c r="P210" s="123" t="s">
        <v>144</v>
      </c>
      <c r="Q210" s="123" t="s">
        <v>30</v>
      </c>
      <c r="R210" s="123" t="s">
        <v>582</v>
      </c>
      <c r="S210" s="23">
        <v>891328212149</v>
      </c>
      <c r="T210" s="20">
        <v>45122</v>
      </c>
      <c r="U210" s="123"/>
      <c r="V210" s="123">
        <v>317</v>
      </c>
      <c r="W210" s="24">
        <v>45122.645833333336</v>
      </c>
      <c r="X210" s="24">
        <v>45122.798611111109</v>
      </c>
      <c r="Y210" s="25">
        <f t="shared" ref="Y210" si="180">+X210-W210</f>
        <v>0.15277777777373558</v>
      </c>
      <c r="Z210" s="24">
        <v>45122.645833333336</v>
      </c>
      <c r="AA210" s="24">
        <v>45122.798611111109</v>
      </c>
      <c r="AB210" s="25">
        <f t="shared" ref="AB210" si="181">+AA210-Z210</f>
        <v>0.15277777777373558</v>
      </c>
    </row>
    <row r="211" spans="1:28" s="39" customFormat="1" x14ac:dyDescent="0.25">
      <c r="A211" s="32">
        <v>45108</v>
      </c>
      <c r="B211" s="33" t="s">
        <v>584</v>
      </c>
      <c r="C211" s="34">
        <v>45122</v>
      </c>
      <c r="D211" s="33" t="s">
        <v>30</v>
      </c>
      <c r="E211" s="33" t="s">
        <v>471</v>
      </c>
      <c r="F211" s="33" t="s">
        <v>472</v>
      </c>
      <c r="G211" s="33" t="s">
        <v>192</v>
      </c>
      <c r="H211" s="35">
        <v>5205449</v>
      </c>
      <c r="I211" s="35" t="str">
        <f>VLOOKUP(H211,[1]MASTER!$A:$B,2,0)</f>
        <v>PVC-WH1000F-Premium-Bag-25KG</v>
      </c>
      <c r="J211" s="33" t="s">
        <v>30</v>
      </c>
      <c r="K211" s="33">
        <v>25</v>
      </c>
      <c r="L211" s="33">
        <v>0</v>
      </c>
      <c r="M211" s="33">
        <f t="shared" ref="M211" si="182">+L211*K211</f>
        <v>0</v>
      </c>
      <c r="N211" s="34">
        <v>45122</v>
      </c>
      <c r="O211" s="33" t="s">
        <v>204</v>
      </c>
      <c r="P211" s="33" t="s">
        <v>144</v>
      </c>
      <c r="Q211" s="33" t="s">
        <v>30</v>
      </c>
      <c r="R211" s="33" t="s">
        <v>582</v>
      </c>
      <c r="S211" s="36">
        <v>891328212149</v>
      </c>
      <c r="T211" s="34">
        <v>45122</v>
      </c>
      <c r="U211" s="33"/>
      <c r="V211" s="33">
        <v>317</v>
      </c>
      <c r="W211" s="37">
        <v>45122.645833333336</v>
      </c>
      <c r="X211" s="37">
        <v>45122.798611111109</v>
      </c>
      <c r="Y211" s="38">
        <f t="shared" ref="Y211" si="183">+X211-W211</f>
        <v>0.15277777777373558</v>
      </c>
      <c r="Z211" s="37">
        <v>45122.645833333336</v>
      </c>
      <c r="AA211" s="37">
        <v>45122.798611111109</v>
      </c>
      <c r="AB211" s="38">
        <f t="shared" ref="AB211" si="184">+AA211-Z211</f>
        <v>0.15277777777373558</v>
      </c>
    </row>
    <row r="212" spans="1:28" x14ac:dyDescent="0.25">
      <c r="A212" s="12">
        <v>45108</v>
      </c>
      <c r="B212" s="123" t="s">
        <v>585</v>
      </c>
      <c r="C212" s="20">
        <v>45122</v>
      </c>
      <c r="D212" s="123">
        <v>6147723</v>
      </c>
      <c r="E212" s="123" t="s">
        <v>471</v>
      </c>
      <c r="F212" s="123" t="s">
        <v>472</v>
      </c>
      <c r="G212" s="123" t="s">
        <v>192</v>
      </c>
      <c r="H212" s="17">
        <v>5205449</v>
      </c>
      <c r="I212" s="17" t="str">
        <f>VLOOKUP(H212,[1]MASTER!$A:$B,2,0)</f>
        <v>PVC-WH1000F-Premium-Bag-25KG</v>
      </c>
      <c r="J212" s="123">
        <v>1230240172</v>
      </c>
      <c r="K212" s="123">
        <v>25</v>
      </c>
      <c r="L212" s="123">
        <v>80</v>
      </c>
      <c r="M212" s="123">
        <f t="shared" si="179"/>
        <v>2000</v>
      </c>
      <c r="N212" s="20">
        <v>45122</v>
      </c>
      <c r="O212" s="123" t="s">
        <v>204</v>
      </c>
      <c r="P212" s="123" t="s">
        <v>144</v>
      </c>
      <c r="Q212" s="123" t="s">
        <v>30</v>
      </c>
      <c r="R212" s="123" t="s">
        <v>582</v>
      </c>
      <c r="S212" s="23">
        <v>891328212149</v>
      </c>
      <c r="T212" s="20">
        <v>45122</v>
      </c>
      <c r="U212" s="123"/>
      <c r="V212" s="123">
        <v>317</v>
      </c>
      <c r="W212" s="24">
        <v>45122.645833333336</v>
      </c>
      <c r="X212" s="24">
        <v>45122.798611111109</v>
      </c>
      <c r="Y212" s="25">
        <f t="shared" ref="Y212" si="185">+X212-W212</f>
        <v>0.15277777777373558</v>
      </c>
      <c r="Z212" s="24">
        <v>45122.645833333336</v>
      </c>
      <c r="AA212" s="24">
        <v>45122.798611111109</v>
      </c>
      <c r="AB212" s="25">
        <f t="shared" ref="AB212:AB223" si="186">+AA212-Z212</f>
        <v>0.15277777777373558</v>
      </c>
    </row>
    <row r="213" spans="1:28" x14ac:dyDescent="0.25">
      <c r="A213" s="12">
        <v>45108</v>
      </c>
      <c r="B213" s="123" t="s">
        <v>585</v>
      </c>
      <c r="C213" s="20">
        <v>45122</v>
      </c>
      <c r="D213" s="123">
        <v>6147723</v>
      </c>
      <c r="E213" s="123" t="s">
        <v>471</v>
      </c>
      <c r="F213" s="123" t="s">
        <v>472</v>
      </c>
      <c r="G213" s="123" t="s">
        <v>192</v>
      </c>
      <c r="H213" s="17">
        <v>5205449</v>
      </c>
      <c r="I213" s="17" t="str">
        <f>VLOOKUP(H213,[1]MASTER!$A:$B,2,0)</f>
        <v>PVC-WH1000F-Premium-Bag-25KG</v>
      </c>
      <c r="J213" s="123">
        <v>2230240612</v>
      </c>
      <c r="K213" s="123">
        <v>25</v>
      </c>
      <c r="L213" s="123">
        <v>320</v>
      </c>
      <c r="M213" s="123">
        <f t="shared" ref="M213" si="187">+L213*K213</f>
        <v>8000</v>
      </c>
      <c r="N213" s="20">
        <v>45122</v>
      </c>
      <c r="O213" s="123" t="s">
        <v>204</v>
      </c>
      <c r="P213" s="123" t="s">
        <v>144</v>
      </c>
      <c r="Q213" s="123" t="s">
        <v>30</v>
      </c>
      <c r="R213" s="123" t="s">
        <v>582</v>
      </c>
      <c r="S213" s="23">
        <v>891328212149</v>
      </c>
      <c r="T213" s="20">
        <v>45122</v>
      </c>
      <c r="U213" s="123"/>
      <c r="V213" s="123">
        <v>317</v>
      </c>
      <c r="W213" s="24">
        <v>45122.645833333336</v>
      </c>
      <c r="X213" s="24">
        <v>45122.798611111109</v>
      </c>
      <c r="Y213" s="25">
        <f t="shared" ref="Y213:Y223" si="188">+X213-W213</f>
        <v>0.15277777777373558</v>
      </c>
      <c r="Z213" s="24">
        <v>45122.645833333336</v>
      </c>
      <c r="AA213" s="24">
        <v>45122.798611111109</v>
      </c>
      <c r="AB213" s="25">
        <f t="shared" ref="AB213" si="189">+AA213-Z213</f>
        <v>0.15277777777373558</v>
      </c>
    </row>
    <row r="214" spans="1:28" x14ac:dyDescent="0.25">
      <c r="A214" s="12">
        <v>45108</v>
      </c>
      <c r="B214" s="123" t="s">
        <v>586</v>
      </c>
      <c r="C214" s="20">
        <v>45122</v>
      </c>
      <c r="D214" s="123">
        <v>5852098</v>
      </c>
      <c r="E214" s="123" t="s">
        <v>139</v>
      </c>
      <c r="F214" s="123" t="s">
        <v>240</v>
      </c>
      <c r="G214" s="17" t="s">
        <v>132</v>
      </c>
      <c r="H214" s="17">
        <v>5200193</v>
      </c>
      <c r="I214" s="123" t="s">
        <v>41</v>
      </c>
      <c r="J214" s="123">
        <v>1223005101</v>
      </c>
      <c r="K214" s="123">
        <v>250</v>
      </c>
      <c r="L214" s="123">
        <v>40</v>
      </c>
      <c r="M214" s="123">
        <f t="shared" si="179"/>
        <v>10000</v>
      </c>
      <c r="N214" s="20">
        <v>45122</v>
      </c>
      <c r="O214" s="123" t="s">
        <v>136</v>
      </c>
      <c r="P214" s="123" t="s">
        <v>134</v>
      </c>
      <c r="Q214" s="123">
        <v>2181</v>
      </c>
      <c r="R214" s="123" t="s">
        <v>587</v>
      </c>
      <c r="S214" s="23">
        <v>291619274317</v>
      </c>
      <c r="T214" s="20">
        <v>45122</v>
      </c>
      <c r="U214" s="123"/>
      <c r="V214" s="123">
        <v>318</v>
      </c>
      <c r="W214" s="24">
        <v>45122.784722222219</v>
      </c>
      <c r="X214" s="24">
        <v>45122.833333333336</v>
      </c>
      <c r="Y214" s="25">
        <f t="shared" si="188"/>
        <v>4.8611111116770189E-2</v>
      </c>
      <c r="Z214" s="24">
        <v>45122.8125</v>
      </c>
      <c r="AA214" s="24">
        <v>45122.833333333336</v>
      </c>
      <c r="AB214" s="25">
        <f t="shared" si="186"/>
        <v>2.0833333335758653E-2</v>
      </c>
    </row>
    <row r="215" spans="1:28" x14ac:dyDescent="0.25">
      <c r="A215" s="12">
        <v>45108</v>
      </c>
      <c r="B215" s="123" t="s">
        <v>588</v>
      </c>
      <c r="C215" s="20">
        <v>45124</v>
      </c>
      <c r="D215" s="123">
        <v>5285749</v>
      </c>
      <c r="E215" s="123" t="s">
        <v>175</v>
      </c>
      <c r="F215" s="123" t="s">
        <v>176</v>
      </c>
      <c r="G215" s="17" t="s">
        <v>132</v>
      </c>
      <c r="H215" s="17">
        <v>5230831</v>
      </c>
      <c r="I215" s="17" t="s">
        <v>35</v>
      </c>
      <c r="J215" s="21" t="s">
        <v>70</v>
      </c>
      <c r="K215" s="123">
        <v>240</v>
      </c>
      <c r="L215" s="123">
        <v>30</v>
      </c>
      <c r="M215" s="123">
        <f t="shared" si="179"/>
        <v>7200</v>
      </c>
      <c r="N215" s="20">
        <v>45124</v>
      </c>
      <c r="O215" s="123" t="s">
        <v>589</v>
      </c>
      <c r="P215" s="123" t="s">
        <v>144</v>
      </c>
      <c r="Q215" s="123" t="s">
        <v>30</v>
      </c>
      <c r="R215" s="123" t="s">
        <v>590</v>
      </c>
      <c r="S215" s="23">
        <v>291619758952</v>
      </c>
      <c r="T215" s="20">
        <v>45124</v>
      </c>
      <c r="U215" s="123"/>
      <c r="V215" s="123">
        <v>319</v>
      </c>
      <c r="W215" s="24">
        <v>45124.604166666664</v>
      </c>
      <c r="X215" s="24">
        <v>45124.652777777781</v>
      </c>
      <c r="Y215" s="25">
        <f t="shared" si="188"/>
        <v>4.8611111116770189E-2</v>
      </c>
      <c r="Z215" s="24">
        <v>45124.635416666664</v>
      </c>
      <c r="AA215" s="24">
        <v>45124.645833333336</v>
      </c>
      <c r="AB215" s="25">
        <f t="shared" si="186"/>
        <v>1.0416666671517305E-2</v>
      </c>
    </row>
    <row r="216" spans="1:28" x14ac:dyDescent="0.25">
      <c r="A216" s="12">
        <v>45108</v>
      </c>
      <c r="B216" s="123" t="s">
        <v>591</v>
      </c>
      <c r="C216" s="20">
        <v>45124</v>
      </c>
      <c r="D216" s="123">
        <v>5285749</v>
      </c>
      <c r="E216" s="123" t="s">
        <v>267</v>
      </c>
      <c r="F216" s="123" t="s">
        <v>268</v>
      </c>
      <c r="G216" s="17" t="s">
        <v>132</v>
      </c>
      <c r="H216" s="17">
        <v>5230831</v>
      </c>
      <c r="I216" s="17" t="s">
        <v>35</v>
      </c>
      <c r="J216" s="21" t="s">
        <v>70</v>
      </c>
      <c r="K216" s="123">
        <v>240</v>
      </c>
      <c r="L216" s="123">
        <v>25</v>
      </c>
      <c r="M216" s="123">
        <f t="shared" si="179"/>
        <v>6000</v>
      </c>
      <c r="N216" s="20">
        <v>45124</v>
      </c>
      <c r="O216" s="123" t="s">
        <v>589</v>
      </c>
      <c r="P216" s="123" t="s">
        <v>144</v>
      </c>
      <c r="Q216" s="123" t="s">
        <v>30</v>
      </c>
      <c r="R216" s="123" t="s">
        <v>592</v>
      </c>
      <c r="S216" s="23">
        <v>241619785070</v>
      </c>
      <c r="T216" s="20">
        <v>45124</v>
      </c>
      <c r="U216" s="123"/>
      <c r="V216" s="123">
        <v>320</v>
      </c>
      <c r="W216" s="24">
        <v>45124.604166666664</v>
      </c>
      <c r="X216" s="24">
        <v>45124.708333333336</v>
      </c>
      <c r="Y216" s="25">
        <f t="shared" si="188"/>
        <v>0.10416666667151731</v>
      </c>
      <c r="Z216" s="24">
        <v>45124.666666666664</v>
      </c>
      <c r="AA216" s="24">
        <v>45124.708333333336</v>
      </c>
      <c r="AB216" s="25">
        <f t="shared" si="186"/>
        <v>4.1666666671517305E-2</v>
      </c>
    </row>
    <row r="217" spans="1:28" x14ac:dyDescent="0.25">
      <c r="A217" s="12">
        <v>45108</v>
      </c>
      <c r="B217" s="123" t="s">
        <v>593</v>
      </c>
      <c r="C217" s="20">
        <v>45124</v>
      </c>
      <c r="D217" s="123">
        <v>6087743</v>
      </c>
      <c r="E217" s="123" t="s">
        <v>267</v>
      </c>
      <c r="F217" s="123" t="s">
        <v>268</v>
      </c>
      <c r="G217" s="17" t="s">
        <v>132</v>
      </c>
      <c r="H217" s="17">
        <v>5309040</v>
      </c>
      <c r="I217" s="17" t="s">
        <v>105</v>
      </c>
      <c r="J217" s="123" t="s">
        <v>107</v>
      </c>
      <c r="K217" s="123">
        <v>250</v>
      </c>
      <c r="L217" s="123">
        <v>40</v>
      </c>
      <c r="M217" s="123">
        <f t="shared" si="179"/>
        <v>10000</v>
      </c>
      <c r="N217" s="20">
        <v>45124</v>
      </c>
      <c r="O217" s="123" t="s">
        <v>589</v>
      </c>
      <c r="P217" s="123" t="s">
        <v>144</v>
      </c>
      <c r="Q217" s="123" t="s">
        <v>30</v>
      </c>
      <c r="R217" s="123" t="s">
        <v>594</v>
      </c>
      <c r="S217" s="23">
        <v>221619790870</v>
      </c>
      <c r="T217" s="20">
        <v>45124</v>
      </c>
      <c r="U217" s="123"/>
      <c r="V217" s="123">
        <v>321</v>
      </c>
      <c r="W217" s="24">
        <v>45124.659722222219</v>
      </c>
      <c r="X217" s="24">
        <v>45124.756944444445</v>
      </c>
      <c r="Y217" s="25">
        <f t="shared" si="188"/>
        <v>9.7222222226264421E-2</v>
      </c>
      <c r="Z217" s="24">
        <v>45124.736111111109</v>
      </c>
      <c r="AA217" s="24">
        <v>45124.75</v>
      </c>
      <c r="AB217" s="25">
        <f t="shared" si="186"/>
        <v>1.3888888890505768E-2</v>
      </c>
    </row>
    <row r="218" spans="1:28" x14ac:dyDescent="0.25">
      <c r="A218" s="12">
        <v>45108</v>
      </c>
      <c r="B218" s="123" t="s">
        <v>597</v>
      </c>
      <c r="C218" s="20">
        <v>45124</v>
      </c>
      <c r="D218" s="123">
        <v>5285749</v>
      </c>
      <c r="E218" s="123" t="s">
        <v>175</v>
      </c>
      <c r="F218" s="123" t="s">
        <v>176</v>
      </c>
      <c r="G218" s="17" t="s">
        <v>132</v>
      </c>
      <c r="H218" s="17">
        <v>5230831</v>
      </c>
      <c r="I218" s="17" t="s">
        <v>35</v>
      </c>
      <c r="J218" s="21" t="s">
        <v>70</v>
      </c>
      <c r="K218" s="123">
        <v>240</v>
      </c>
      <c r="L218" s="123">
        <v>30</v>
      </c>
      <c r="M218" s="123">
        <f t="shared" ref="M218:M223" si="190">+L218*K218</f>
        <v>7200</v>
      </c>
      <c r="N218" s="20">
        <v>45124</v>
      </c>
      <c r="O218" s="123" t="s">
        <v>589</v>
      </c>
      <c r="P218" s="123" t="s">
        <v>144</v>
      </c>
      <c r="Q218" s="123" t="s">
        <v>30</v>
      </c>
      <c r="R218" s="123" t="s">
        <v>180</v>
      </c>
      <c r="S218" s="23">
        <v>251619911719</v>
      </c>
      <c r="T218" s="20">
        <v>45124</v>
      </c>
      <c r="U218" s="123"/>
      <c r="V218" s="123">
        <v>322</v>
      </c>
      <c r="W218" s="24">
        <v>45124.625</v>
      </c>
      <c r="X218" s="24">
        <v>45124.791666666664</v>
      </c>
      <c r="Y218" s="25">
        <f t="shared" si="188"/>
        <v>0.16666666666424135</v>
      </c>
      <c r="Z218" s="24">
        <v>45124.777777777781</v>
      </c>
      <c r="AA218" s="24">
        <v>45124.791666666664</v>
      </c>
      <c r="AB218" s="25">
        <f t="shared" si="186"/>
        <v>1.3888888883229811E-2</v>
      </c>
    </row>
    <row r="219" spans="1:28" x14ac:dyDescent="0.25">
      <c r="A219" s="12">
        <v>45108</v>
      </c>
      <c r="B219" s="123" t="s">
        <v>595</v>
      </c>
      <c r="C219" s="20">
        <v>45124</v>
      </c>
      <c r="D219" s="123">
        <v>5852098</v>
      </c>
      <c r="E219" s="123" t="s">
        <v>244</v>
      </c>
      <c r="F219" s="123" t="s">
        <v>215</v>
      </c>
      <c r="G219" s="17" t="s">
        <v>132</v>
      </c>
      <c r="H219" s="17">
        <v>5200193</v>
      </c>
      <c r="I219" s="123" t="s">
        <v>41</v>
      </c>
      <c r="J219" s="123">
        <v>1223005101</v>
      </c>
      <c r="K219" s="123">
        <v>250</v>
      </c>
      <c r="L219" s="123">
        <v>8</v>
      </c>
      <c r="M219" s="123">
        <f t="shared" si="190"/>
        <v>2000</v>
      </c>
      <c r="N219" s="20">
        <v>45124</v>
      </c>
      <c r="O219" s="123" t="s">
        <v>193</v>
      </c>
      <c r="P219" s="123" t="s">
        <v>144</v>
      </c>
      <c r="Q219" s="123" t="s">
        <v>30</v>
      </c>
      <c r="R219" s="123" t="s">
        <v>596</v>
      </c>
      <c r="S219" s="23">
        <v>261619804227</v>
      </c>
      <c r="T219" s="20">
        <v>45124</v>
      </c>
      <c r="U219" s="123"/>
      <c r="V219" s="123">
        <v>323</v>
      </c>
      <c r="W219" s="24">
        <v>45124.666666666664</v>
      </c>
      <c r="X219" s="24">
        <v>45124.708333333336</v>
      </c>
      <c r="Y219" s="25">
        <f t="shared" si="188"/>
        <v>4.1666666671517305E-2</v>
      </c>
      <c r="Z219" s="24">
        <v>45124.673611111109</v>
      </c>
      <c r="AA219" s="24">
        <v>45124.6875</v>
      </c>
      <c r="AB219" s="25">
        <f t="shared" si="186"/>
        <v>1.3888888890505768E-2</v>
      </c>
    </row>
    <row r="220" spans="1:28" x14ac:dyDescent="0.25">
      <c r="A220" s="12">
        <v>45108</v>
      </c>
      <c r="B220" s="123" t="s">
        <v>598</v>
      </c>
      <c r="C220" s="20">
        <v>45124</v>
      </c>
      <c r="D220" s="123">
        <v>5852098</v>
      </c>
      <c r="E220" s="123" t="s">
        <v>380</v>
      </c>
      <c r="F220" s="123" t="s">
        <v>599</v>
      </c>
      <c r="G220" s="17" t="s">
        <v>132</v>
      </c>
      <c r="H220" s="17">
        <v>5200193</v>
      </c>
      <c r="I220" s="123" t="s">
        <v>41</v>
      </c>
      <c r="J220" s="123">
        <v>1223005101</v>
      </c>
      <c r="K220" s="123">
        <v>250</v>
      </c>
      <c r="L220" s="123">
        <v>40</v>
      </c>
      <c r="M220" s="123">
        <f t="shared" si="190"/>
        <v>10000</v>
      </c>
      <c r="N220" s="20">
        <v>45124</v>
      </c>
      <c r="O220" s="123" t="s">
        <v>136</v>
      </c>
      <c r="P220" s="123" t="s">
        <v>144</v>
      </c>
      <c r="Q220" s="123" t="s">
        <v>30</v>
      </c>
      <c r="R220" s="123" t="s">
        <v>381</v>
      </c>
      <c r="S220" s="23">
        <v>291619910664</v>
      </c>
      <c r="T220" s="20">
        <v>45124</v>
      </c>
      <c r="U220" s="123"/>
      <c r="V220" s="123">
        <v>324</v>
      </c>
      <c r="W220" s="24">
        <v>45124.763888888891</v>
      </c>
      <c r="X220" s="24">
        <v>45124.854166666664</v>
      </c>
      <c r="Y220" s="25">
        <f t="shared" si="188"/>
        <v>9.0277777773735579E-2</v>
      </c>
      <c r="Z220" s="24">
        <v>45124.833333333336</v>
      </c>
      <c r="AA220" s="24">
        <v>45124.854166666664</v>
      </c>
      <c r="AB220" s="25">
        <f t="shared" si="186"/>
        <v>2.0833333328482695E-2</v>
      </c>
    </row>
    <row r="221" spans="1:28" x14ac:dyDescent="0.25">
      <c r="A221" s="12">
        <v>45108</v>
      </c>
      <c r="B221" s="123" t="s">
        <v>614</v>
      </c>
      <c r="C221" s="20">
        <v>45124</v>
      </c>
      <c r="D221" s="13">
        <v>5285749</v>
      </c>
      <c r="E221" s="123" t="s">
        <v>477</v>
      </c>
      <c r="F221" s="123" t="s">
        <v>327</v>
      </c>
      <c r="G221" s="123" t="s">
        <v>132</v>
      </c>
      <c r="H221" s="123">
        <v>5230831</v>
      </c>
      <c r="I221" s="123" t="s">
        <v>35</v>
      </c>
      <c r="J221" s="123" t="s">
        <v>70</v>
      </c>
      <c r="K221" s="13">
        <v>240</v>
      </c>
      <c r="L221" s="13">
        <v>110</v>
      </c>
      <c r="M221" s="13">
        <f t="shared" si="190"/>
        <v>26400</v>
      </c>
      <c r="N221" s="20">
        <v>45125</v>
      </c>
      <c r="O221" s="13" t="s">
        <v>399</v>
      </c>
      <c r="P221" s="13" t="s">
        <v>134</v>
      </c>
      <c r="Q221" s="123">
        <v>2182</v>
      </c>
      <c r="R221" s="13" t="s">
        <v>615</v>
      </c>
      <c r="S221" s="23">
        <v>201620121047</v>
      </c>
      <c r="T221" s="20">
        <v>45125</v>
      </c>
      <c r="U221" s="123"/>
      <c r="V221" s="13">
        <v>325</v>
      </c>
      <c r="W221" s="29">
        <v>45124.604166666664</v>
      </c>
      <c r="X221" s="29">
        <v>45125.416666666664</v>
      </c>
      <c r="Y221" s="30">
        <f t="shared" si="188"/>
        <v>0.8125</v>
      </c>
      <c r="Z221" s="29">
        <v>45124.690972222219</v>
      </c>
      <c r="AA221" s="29">
        <v>45124.75</v>
      </c>
      <c r="AB221" s="30">
        <f t="shared" si="186"/>
        <v>5.9027777781011537E-2</v>
      </c>
    </row>
    <row r="222" spans="1:28" x14ac:dyDescent="0.25">
      <c r="A222" s="12">
        <v>45108</v>
      </c>
      <c r="B222" s="123" t="s">
        <v>616</v>
      </c>
      <c r="C222" s="20">
        <v>45124</v>
      </c>
      <c r="D222" s="13">
        <v>5285749</v>
      </c>
      <c r="E222" s="13" t="s">
        <v>175</v>
      </c>
      <c r="F222" s="13" t="s">
        <v>176</v>
      </c>
      <c r="G222" s="123" t="s">
        <v>132</v>
      </c>
      <c r="H222" s="123">
        <v>5230831</v>
      </c>
      <c r="I222" s="123" t="s">
        <v>35</v>
      </c>
      <c r="J222" s="123" t="s">
        <v>70</v>
      </c>
      <c r="K222" s="13">
        <v>240</v>
      </c>
      <c r="L222" s="13">
        <v>20</v>
      </c>
      <c r="M222" s="13">
        <f t="shared" si="190"/>
        <v>4800</v>
      </c>
      <c r="N222" s="20">
        <v>45125</v>
      </c>
      <c r="O222" s="13" t="s">
        <v>259</v>
      </c>
      <c r="P222" s="13" t="s">
        <v>144</v>
      </c>
      <c r="Q222" s="13" t="s">
        <v>30</v>
      </c>
      <c r="R222" s="13" t="s">
        <v>590</v>
      </c>
      <c r="S222" s="23">
        <v>221620147375</v>
      </c>
      <c r="T222" s="20">
        <v>45125</v>
      </c>
      <c r="U222" s="123"/>
      <c r="V222" s="13">
        <v>326</v>
      </c>
      <c r="W222" s="29">
        <v>45125.493055555555</v>
      </c>
      <c r="X222" s="29">
        <v>45125.520833333336</v>
      </c>
      <c r="Y222" s="30">
        <f t="shared" si="188"/>
        <v>2.7777777781011537E-2</v>
      </c>
      <c r="Z222" s="29">
        <v>45125.5</v>
      </c>
      <c r="AA222" s="29">
        <v>45125.513888888891</v>
      </c>
      <c r="AB222" s="30">
        <f t="shared" si="186"/>
        <v>1.3888888890505768E-2</v>
      </c>
    </row>
    <row r="223" spans="1:28" x14ac:dyDescent="0.25">
      <c r="A223" s="12">
        <v>45108</v>
      </c>
      <c r="B223" s="123" t="s">
        <v>617</v>
      </c>
      <c r="C223" s="20">
        <v>45124</v>
      </c>
      <c r="D223" s="13">
        <v>5285749</v>
      </c>
      <c r="E223" s="123" t="s">
        <v>477</v>
      </c>
      <c r="F223" s="123" t="s">
        <v>327</v>
      </c>
      <c r="G223" s="123" t="s">
        <v>132</v>
      </c>
      <c r="H223" s="123">
        <v>5230831</v>
      </c>
      <c r="I223" s="123" t="s">
        <v>35</v>
      </c>
      <c r="J223" s="123" t="s">
        <v>70</v>
      </c>
      <c r="K223" s="13">
        <v>240</v>
      </c>
      <c r="L223" s="13">
        <v>26</v>
      </c>
      <c r="M223" s="13">
        <f t="shared" si="190"/>
        <v>6240</v>
      </c>
      <c r="N223" s="20">
        <v>45125</v>
      </c>
      <c r="O223" s="13" t="s">
        <v>399</v>
      </c>
      <c r="P223" s="13" t="s">
        <v>134</v>
      </c>
      <c r="Q223" s="123">
        <v>2183</v>
      </c>
      <c r="R223" s="13" t="s">
        <v>618</v>
      </c>
      <c r="S223" s="23">
        <v>261620127717</v>
      </c>
      <c r="T223" s="20">
        <v>45125</v>
      </c>
      <c r="U223" s="123"/>
      <c r="V223" s="13">
        <v>327</v>
      </c>
      <c r="W223" s="29">
        <v>45124.625</v>
      </c>
      <c r="X223" s="29">
        <v>45125.611111111109</v>
      </c>
      <c r="Y223" s="30">
        <f t="shared" si="188"/>
        <v>0.98611111110949423</v>
      </c>
      <c r="Z223" s="29">
        <v>45124.739583333336</v>
      </c>
      <c r="AA223" s="29">
        <v>45124.815972222219</v>
      </c>
      <c r="AB223" s="30">
        <f t="shared" si="186"/>
        <v>7.6388888883229811E-2</v>
      </c>
    </row>
    <row r="224" spans="1:28" x14ac:dyDescent="0.25">
      <c r="A224" s="12">
        <v>45108</v>
      </c>
      <c r="B224" s="123" t="s">
        <v>617</v>
      </c>
      <c r="C224" s="20">
        <v>45124</v>
      </c>
      <c r="D224" s="13">
        <v>5329092</v>
      </c>
      <c r="E224" s="123" t="s">
        <v>477</v>
      </c>
      <c r="F224" s="123" t="s">
        <v>327</v>
      </c>
      <c r="G224" s="123" t="s">
        <v>132</v>
      </c>
      <c r="H224" s="123">
        <v>5230831</v>
      </c>
      <c r="I224" s="123" t="s">
        <v>35</v>
      </c>
      <c r="J224" s="14" t="s">
        <v>71</v>
      </c>
      <c r="K224" s="13">
        <v>240</v>
      </c>
      <c r="L224" s="13">
        <v>84</v>
      </c>
      <c r="M224" s="13">
        <f t="shared" ref="M224" si="191">+L224*K224</f>
        <v>20160</v>
      </c>
      <c r="N224" s="20">
        <v>45125</v>
      </c>
      <c r="O224" s="13" t="s">
        <v>399</v>
      </c>
      <c r="P224" s="13" t="s">
        <v>134</v>
      </c>
      <c r="Q224" s="123">
        <v>2183</v>
      </c>
      <c r="R224" s="13" t="s">
        <v>618</v>
      </c>
      <c r="S224" s="23">
        <v>261620127717</v>
      </c>
      <c r="T224" s="20">
        <v>45125</v>
      </c>
      <c r="U224" s="123"/>
      <c r="V224" s="13">
        <v>327</v>
      </c>
      <c r="W224" s="29">
        <v>45124.625</v>
      </c>
      <c r="X224" s="29">
        <v>45125.611111111109</v>
      </c>
      <c r="Y224" s="30">
        <f t="shared" ref="Y224" si="192">+X224-W224</f>
        <v>0.98611111110949423</v>
      </c>
      <c r="Z224" s="29">
        <v>45124.739583333336</v>
      </c>
      <c r="AA224" s="29">
        <v>45124.815972222219</v>
      </c>
      <c r="AB224" s="30">
        <f t="shared" ref="AB224" si="193">+AA224-Z224</f>
        <v>7.6388888883229811E-2</v>
      </c>
    </row>
    <row r="225" spans="1:28" x14ac:dyDescent="0.25">
      <c r="A225" s="12">
        <v>45108</v>
      </c>
      <c r="B225" s="123" t="s">
        <v>619</v>
      </c>
      <c r="C225" s="20">
        <v>45125</v>
      </c>
      <c r="D225" s="13">
        <v>5329092</v>
      </c>
      <c r="E225" s="123" t="s">
        <v>477</v>
      </c>
      <c r="F225" s="123" t="s">
        <v>327</v>
      </c>
      <c r="G225" s="123" t="s">
        <v>132</v>
      </c>
      <c r="H225" s="123">
        <v>5230831</v>
      </c>
      <c r="I225" s="123" t="s">
        <v>35</v>
      </c>
      <c r="J225" s="14" t="s">
        <v>71</v>
      </c>
      <c r="K225" s="13">
        <v>240</v>
      </c>
      <c r="L225" s="13">
        <v>6</v>
      </c>
      <c r="M225" s="13">
        <f t="shared" ref="M225:M226" si="194">+L225*K225</f>
        <v>1440</v>
      </c>
      <c r="N225" s="20">
        <v>45125</v>
      </c>
      <c r="O225" s="13" t="s">
        <v>399</v>
      </c>
      <c r="P225" s="13" t="s">
        <v>134</v>
      </c>
      <c r="Q225" s="123">
        <v>2183</v>
      </c>
      <c r="R225" s="13" t="s">
        <v>618</v>
      </c>
      <c r="S225" s="23">
        <v>221620208432</v>
      </c>
      <c r="T225" s="20">
        <v>45125</v>
      </c>
      <c r="U225" s="123"/>
      <c r="V225" s="13">
        <v>327</v>
      </c>
      <c r="W225" s="29">
        <v>45124.625</v>
      </c>
      <c r="X225" s="29">
        <v>45125.611111111109</v>
      </c>
      <c r="Y225" s="30">
        <f t="shared" ref="Y225:Y226" si="195">+X225-W225</f>
        <v>0.98611111110949423</v>
      </c>
      <c r="Z225" s="29">
        <v>45124.739583333336</v>
      </c>
      <c r="AA225" s="29">
        <v>45124.815972222219</v>
      </c>
      <c r="AB225" s="30">
        <f t="shared" ref="AB225:AB226" si="196">+AA225-Z225</f>
        <v>7.6388888883229811E-2</v>
      </c>
    </row>
    <row r="226" spans="1:28" x14ac:dyDescent="0.25">
      <c r="A226" s="12">
        <v>45108</v>
      </c>
      <c r="B226" s="123" t="s">
        <v>620</v>
      </c>
      <c r="C226" s="20">
        <v>45120</v>
      </c>
      <c r="D226" s="13">
        <v>6416376</v>
      </c>
      <c r="E226" s="13" t="s">
        <v>191</v>
      </c>
      <c r="F226" s="13" t="s">
        <v>135</v>
      </c>
      <c r="G226" s="13" t="s">
        <v>192</v>
      </c>
      <c r="H226" s="17">
        <v>5211013</v>
      </c>
      <c r="I226" s="17" t="s">
        <v>27</v>
      </c>
      <c r="J226" s="13" t="s">
        <v>367</v>
      </c>
      <c r="K226" s="13">
        <v>25</v>
      </c>
      <c r="L226" s="13">
        <v>7</v>
      </c>
      <c r="M226" s="13">
        <f t="shared" si="194"/>
        <v>175</v>
      </c>
      <c r="N226" s="20">
        <v>45125</v>
      </c>
      <c r="O226" s="13" t="s">
        <v>204</v>
      </c>
      <c r="P226" s="13" t="s">
        <v>144</v>
      </c>
      <c r="Q226" s="123" t="s">
        <v>30</v>
      </c>
      <c r="R226" s="13" t="s">
        <v>621</v>
      </c>
      <c r="S226" s="23">
        <v>221620240728</v>
      </c>
      <c r="T226" s="20">
        <v>45125</v>
      </c>
      <c r="U226" s="123"/>
      <c r="V226" s="13">
        <v>328</v>
      </c>
      <c r="W226" s="29">
        <v>45125.479166666664</v>
      </c>
      <c r="X226" s="29">
        <v>45125.677083333336</v>
      </c>
      <c r="Y226" s="30">
        <f t="shared" si="195"/>
        <v>0.19791666667151731</v>
      </c>
      <c r="Z226" s="29">
        <v>45125.5</v>
      </c>
      <c r="AA226" s="29">
        <v>45125.666666666664</v>
      </c>
      <c r="AB226" s="30">
        <f t="shared" si="196"/>
        <v>0.16666666666424135</v>
      </c>
    </row>
    <row r="227" spans="1:28" x14ac:dyDescent="0.25">
      <c r="A227" s="12">
        <v>45108</v>
      </c>
      <c r="B227" s="123" t="s">
        <v>620</v>
      </c>
      <c r="C227" s="20">
        <v>45120</v>
      </c>
      <c r="D227" s="13">
        <v>6416376</v>
      </c>
      <c r="E227" s="13" t="s">
        <v>191</v>
      </c>
      <c r="F227" s="13" t="s">
        <v>135</v>
      </c>
      <c r="G227" s="13" t="s">
        <v>192</v>
      </c>
      <c r="H227" s="17">
        <v>5211013</v>
      </c>
      <c r="I227" s="17" t="s">
        <v>27</v>
      </c>
      <c r="J227" s="13" t="s">
        <v>367</v>
      </c>
      <c r="K227" s="13">
        <v>25</v>
      </c>
      <c r="L227" s="13">
        <v>272</v>
      </c>
      <c r="M227" s="13">
        <f t="shared" ref="M227:M230" si="197">+L227*K227</f>
        <v>6800</v>
      </c>
      <c r="N227" s="20">
        <v>45125</v>
      </c>
      <c r="O227" s="13" t="s">
        <v>204</v>
      </c>
      <c r="P227" s="13" t="s">
        <v>144</v>
      </c>
      <c r="Q227" s="123" t="s">
        <v>30</v>
      </c>
      <c r="R227" s="13" t="s">
        <v>621</v>
      </c>
      <c r="S227" s="23">
        <v>221620240728</v>
      </c>
      <c r="T227" s="20">
        <v>45125</v>
      </c>
      <c r="U227" s="123"/>
      <c r="V227" s="13">
        <v>328</v>
      </c>
      <c r="W227" s="29">
        <v>45125.479166666664</v>
      </c>
      <c r="X227" s="29">
        <v>45125.677083333336</v>
      </c>
      <c r="Y227" s="30">
        <f t="shared" ref="Y227" si="198">+X227-W227</f>
        <v>0.19791666667151731</v>
      </c>
      <c r="Z227" s="29">
        <v>45125.5</v>
      </c>
      <c r="AA227" s="29">
        <v>45125.666666666664</v>
      </c>
      <c r="AB227" s="30">
        <f t="shared" ref="AB227" si="199">+AA227-Z227</f>
        <v>0.16666666666424135</v>
      </c>
    </row>
    <row r="228" spans="1:28" x14ac:dyDescent="0.25">
      <c r="A228" s="12">
        <v>45108</v>
      </c>
      <c r="B228" s="123" t="s">
        <v>620</v>
      </c>
      <c r="C228" s="20">
        <v>45120</v>
      </c>
      <c r="D228" s="13">
        <v>6416376</v>
      </c>
      <c r="E228" s="13" t="s">
        <v>191</v>
      </c>
      <c r="F228" s="13" t="s">
        <v>135</v>
      </c>
      <c r="G228" s="13" t="s">
        <v>192</v>
      </c>
      <c r="H228" s="17">
        <v>5211013</v>
      </c>
      <c r="I228" s="17" t="s">
        <v>27</v>
      </c>
      <c r="J228" s="13" t="s">
        <v>369</v>
      </c>
      <c r="K228" s="13">
        <v>25</v>
      </c>
      <c r="L228" s="13">
        <v>80</v>
      </c>
      <c r="M228" s="13">
        <f t="shared" ref="M228:M229" si="200">+L228*K228</f>
        <v>2000</v>
      </c>
      <c r="N228" s="20">
        <v>45125</v>
      </c>
      <c r="O228" s="13" t="s">
        <v>204</v>
      </c>
      <c r="P228" s="13" t="s">
        <v>144</v>
      </c>
      <c r="Q228" s="123" t="s">
        <v>30</v>
      </c>
      <c r="R228" s="13" t="s">
        <v>621</v>
      </c>
      <c r="S228" s="23">
        <v>221620240728</v>
      </c>
      <c r="T228" s="20">
        <v>45125</v>
      </c>
      <c r="U228" s="123"/>
      <c r="V228" s="13">
        <v>328</v>
      </c>
      <c r="W228" s="29">
        <v>45125.479166666664</v>
      </c>
      <c r="X228" s="29">
        <v>45125.677083333336</v>
      </c>
      <c r="Y228" s="30">
        <f t="shared" ref="Y228:Y229" si="201">+X228-W228</f>
        <v>0.19791666667151731</v>
      </c>
      <c r="Z228" s="29">
        <v>45125.5</v>
      </c>
      <c r="AA228" s="29">
        <v>45125.666666666664</v>
      </c>
      <c r="AB228" s="30">
        <f t="shared" ref="AB228:AB229" si="202">+AA228-Z228</f>
        <v>0.16666666666424135</v>
      </c>
    </row>
    <row r="229" spans="1:28" x14ac:dyDescent="0.25">
      <c r="A229" s="12">
        <v>45108</v>
      </c>
      <c r="B229" s="123" t="s">
        <v>620</v>
      </c>
      <c r="C229" s="20">
        <v>45120</v>
      </c>
      <c r="D229" s="13">
        <v>6416376</v>
      </c>
      <c r="E229" s="13" t="s">
        <v>191</v>
      </c>
      <c r="F229" s="13" t="s">
        <v>135</v>
      </c>
      <c r="G229" s="13" t="s">
        <v>192</v>
      </c>
      <c r="H229" s="17">
        <v>5211013</v>
      </c>
      <c r="I229" s="17" t="s">
        <v>27</v>
      </c>
      <c r="J229" s="13" t="s">
        <v>370</v>
      </c>
      <c r="K229" s="13">
        <v>25</v>
      </c>
      <c r="L229" s="13">
        <v>88</v>
      </c>
      <c r="M229" s="13">
        <f t="shared" si="200"/>
        <v>2200</v>
      </c>
      <c r="N229" s="20">
        <v>45125</v>
      </c>
      <c r="O229" s="13" t="s">
        <v>204</v>
      </c>
      <c r="P229" s="13" t="s">
        <v>144</v>
      </c>
      <c r="Q229" s="123" t="s">
        <v>30</v>
      </c>
      <c r="R229" s="13" t="s">
        <v>621</v>
      </c>
      <c r="S229" s="23">
        <v>221620240728</v>
      </c>
      <c r="T229" s="20">
        <v>45125</v>
      </c>
      <c r="U229" s="123"/>
      <c r="V229" s="13">
        <v>328</v>
      </c>
      <c r="W229" s="29">
        <v>45125.479166666664</v>
      </c>
      <c r="X229" s="29">
        <v>45125.677083333336</v>
      </c>
      <c r="Y229" s="30">
        <f t="shared" si="201"/>
        <v>0.19791666667151731</v>
      </c>
      <c r="Z229" s="29">
        <v>45125.5</v>
      </c>
      <c r="AA229" s="29">
        <v>45125.666666666664</v>
      </c>
      <c r="AB229" s="30">
        <f t="shared" si="202"/>
        <v>0.16666666666424135</v>
      </c>
    </row>
    <row r="230" spans="1:28" x14ac:dyDescent="0.25">
      <c r="A230" s="12">
        <v>45108</v>
      </c>
      <c r="B230" s="123" t="s">
        <v>622</v>
      </c>
      <c r="C230" s="20">
        <v>45124</v>
      </c>
      <c r="D230" s="13">
        <v>9474284</v>
      </c>
      <c r="E230" s="13" t="s">
        <v>191</v>
      </c>
      <c r="F230" s="13" t="s">
        <v>135</v>
      </c>
      <c r="G230" s="13" t="s">
        <v>192</v>
      </c>
      <c r="H230" s="17">
        <v>5212249</v>
      </c>
      <c r="I230" s="17" t="s">
        <v>28</v>
      </c>
      <c r="J230" s="123" t="s">
        <v>30</v>
      </c>
      <c r="K230" s="13">
        <v>25</v>
      </c>
      <c r="L230" s="13">
        <v>116</v>
      </c>
      <c r="M230" s="13">
        <f t="shared" si="197"/>
        <v>2900</v>
      </c>
      <c r="N230" s="20">
        <v>45125</v>
      </c>
      <c r="O230" s="13" t="s">
        <v>204</v>
      </c>
      <c r="P230" s="13" t="s">
        <v>144</v>
      </c>
      <c r="Q230" s="123" t="s">
        <v>30</v>
      </c>
      <c r="R230" s="13" t="s">
        <v>621</v>
      </c>
      <c r="S230" s="23">
        <v>241620244193</v>
      </c>
      <c r="T230" s="20">
        <v>45125</v>
      </c>
      <c r="U230" s="123"/>
      <c r="V230" s="13">
        <v>328</v>
      </c>
      <c r="W230" s="29">
        <v>45125.479166666664</v>
      </c>
      <c r="X230" s="29">
        <v>45125.677083333336</v>
      </c>
      <c r="Y230" s="30">
        <f t="shared" ref="Y230" si="203">+X230-W230</f>
        <v>0.19791666667151731</v>
      </c>
      <c r="Z230" s="29">
        <v>45125.5</v>
      </c>
      <c r="AA230" s="29">
        <v>45125.666666666664</v>
      </c>
      <c r="AB230" s="30">
        <f t="shared" ref="AB230" si="204">+AA230-Z230</f>
        <v>0.16666666666424135</v>
      </c>
    </row>
    <row r="231" spans="1:28" x14ac:dyDescent="0.25">
      <c r="A231" s="12">
        <v>45108</v>
      </c>
      <c r="B231" s="123" t="s">
        <v>622</v>
      </c>
      <c r="C231" s="20">
        <v>45124</v>
      </c>
      <c r="D231" s="13">
        <v>6509004</v>
      </c>
      <c r="E231" s="13" t="s">
        <v>191</v>
      </c>
      <c r="F231" s="13" t="s">
        <v>135</v>
      </c>
      <c r="G231" s="13" t="s">
        <v>192</v>
      </c>
      <c r="H231" s="17">
        <v>5212252</v>
      </c>
      <c r="I231" s="17" t="s">
        <v>23</v>
      </c>
      <c r="J231" s="13" t="s">
        <v>368</v>
      </c>
      <c r="K231" s="13">
        <v>25</v>
      </c>
      <c r="L231" s="13">
        <v>161</v>
      </c>
      <c r="M231" s="13">
        <f t="shared" ref="M231:M238" si="205">+L231*K231</f>
        <v>4025</v>
      </c>
      <c r="N231" s="20">
        <v>45125</v>
      </c>
      <c r="O231" s="13" t="s">
        <v>204</v>
      </c>
      <c r="P231" s="13" t="s">
        <v>144</v>
      </c>
      <c r="Q231" s="123" t="s">
        <v>30</v>
      </c>
      <c r="R231" s="13" t="s">
        <v>621</v>
      </c>
      <c r="S231" s="23">
        <v>241620244193</v>
      </c>
      <c r="T231" s="20">
        <v>45125</v>
      </c>
      <c r="U231" s="123"/>
      <c r="V231" s="13">
        <v>328</v>
      </c>
      <c r="W231" s="29">
        <v>45125.479166666664</v>
      </c>
      <c r="X231" s="29">
        <v>45125.677083333336</v>
      </c>
      <c r="Y231" s="30">
        <f t="shared" ref="Y231:Y238" si="206">+X231-W231</f>
        <v>0.19791666667151731</v>
      </c>
      <c r="Z231" s="29">
        <v>45125.5</v>
      </c>
      <c r="AA231" s="29">
        <v>45125.666666666664</v>
      </c>
      <c r="AB231" s="30">
        <f t="shared" ref="AB231:AB238" si="207">+AA231-Z231</f>
        <v>0.16666666666424135</v>
      </c>
    </row>
    <row r="232" spans="1:28" x14ac:dyDescent="0.25">
      <c r="A232" s="12">
        <v>45108</v>
      </c>
      <c r="B232" s="123" t="s">
        <v>622</v>
      </c>
      <c r="C232" s="20">
        <v>45124</v>
      </c>
      <c r="D232" s="13">
        <v>6337848</v>
      </c>
      <c r="E232" s="13" t="s">
        <v>191</v>
      </c>
      <c r="F232" s="13" t="s">
        <v>135</v>
      </c>
      <c r="G232" s="13" t="s">
        <v>192</v>
      </c>
      <c r="H232" s="17">
        <v>5212252</v>
      </c>
      <c r="I232" s="17" t="s">
        <v>23</v>
      </c>
      <c r="J232" s="13" t="s">
        <v>312</v>
      </c>
      <c r="K232" s="13">
        <v>25</v>
      </c>
      <c r="L232" s="13">
        <v>14</v>
      </c>
      <c r="M232" s="13">
        <f t="shared" ref="M232:M234" si="208">+L232*K232</f>
        <v>350</v>
      </c>
      <c r="N232" s="20">
        <v>45125</v>
      </c>
      <c r="O232" s="13" t="s">
        <v>204</v>
      </c>
      <c r="P232" s="13" t="s">
        <v>144</v>
      </c>
      <c r="Q232" s="123" t="s">
        <v>30</v>
      </c>
      <c r="R232" s="13" t="s">
        <v>621</v>
      </c>
      <c r="S232" s="23">
        <v>241620244193</v>
      </c>
      <c r="T232" s="20">
        <v>45125</v>
      </c>
      <c r="U232" s="123"/>
      <c r="V232" s="13">
        <v>328</v>
      </c>
      <c r="W232" s="29">
        <v>45125.479166666664</v>
      </c>
      <c r="X232" s="29">
        <v>45125.677083333336</v>
      </c>
      <c r="Y232" s="30">
        <f t="shared" ref="Y232:Y234" si="209">+X232-W232</f>
        <v>0.19791666667151731</v>
      </c>
      <c r="Z232" s="29">
        <v>45125.5</v>
      </c>
      <c r="AA232" s="29">
        <v>45125.666666666664</v>
      </c>
      <c r="AB232" s="30">
        <f t="shared" ref="AB232:AB234" si="210">+AA232-Z232</f>
        <v>0.16666666666424135</v>
      </c>
    </row>
    <row r="233" spans="1:28" x14ac:dyDescent="0.25">
      <c r="A233" s="12">
        <v>45108</v>
      </c>
      <c r="B233" s="123" t="s">
        <v>622</v>
      </c>
      <c r="C233" s="20">
        <v>45124</v>
      </c>
      <c r="D233" s="13">
        <v>6337848</v>
      </c>
      <c r="E233" s="13" t="s">
        <v>191</v>
      </c>
      <c r="F233" s="13" t="s">
        <v>135</v>
      </c>
      <c r="G233" s="13" t="s">
        <v>192</v>
      </c>
      <c r="H233" s="17">
        <v>5212252</v>
      </c>
      <c r="I233" s="17" t="s">
        <v>23</v>
      </c>
      <c r="J233" s="13" t="s">
        <v>365</v>
      </c>
      <c r="K233" s="13">
        <v>25</v>
      </c>
      <c r="L233" s="13">
        <v>240</v>
      </c>
      <c r="M233" s="13">
        <f t="shared" si="208"/>
        <v>6000</v>
      </c>
      <c r="N233" s="20">
        <v>45125</v>
      </c>
      <c r="O233" s="13" t="s">
        <v>204</v>
      </c>
      <c r="P233" s="13" t="s">
        <v>144</v>
      </c>
      <c r="Q233" s="123" t="s">
        <v>30</v>
      </c>
      <c r="R233" s="13" t="s">
        <v>621</v>
      </c>
      <c r="S233" s="23">
        <v>241620244193</v>
      </c>
      <c r="T233" s="20">
        <v>45125</v>
      </c>
      <c r="U233" s="123"/>
      <c r="V233" s="13">
        <v>328</v>
      </c>
      <c r="W233" s="29">
        <v>45125.479166666664</v>
      </c>
      <c r="X233" s="29">
        <v>45125.677083333336</v>
      </c>
      <c r="Y233" s="30">
        <f t="shared" si="209"/>
        <v>0.19791666667151731</v>
      </c>
      <c r="Z233" s="29">
        <v>45125.5</v>
      </c>
      <c r="AA233" s="29">
        <v>45125.666666666664</v>
      </c>
      <c r="AB233" s="30">
        <f t="shared" si="210"/>
        <v>0.16666666666424135</v>
      </c>
    </row>
    <row r="234" spans="1:28" x14ac:dyDescent="0.25">
      <c r="A234" s="12">
        <v>45108</v>
      </c>
      <c r="B234" s="123" t="s">
        <v>622</v>
      </c>
      <c r="C234" s="20">
        <v>45124</v>
      </c>
      <c r="D234" s="13">
        <v>6337848</v>
      </c>
      <c r="E234" s="13" t="s">
        <v>191</v>
      </c>
      <c r="F234" s="13" t="s">
        <v>135</v>
      </c>
      <c r="G234" s="13" t="s">
        <v>192</v>
      </c>
      <c r="H234" s="17">
        <v>5212252</v>
      </c>
      <c r="I234" s="17" t="s">
        <v>23</v>
      </c>
      <c r="J234" s="13" t="s">
        <v>438</v>
      </c>
      <c r="K234" s="13">
        <v>25</v>
      </c>
      <c r="L234" s="13">
        <v>385</v>
      </c>
      <c r="M234" s="13">
        <f t="shared" si="208"/>
        <v>9625</v>
      </c>
      <c r="N234" s="20">
        <v>45125</v>
      </c>
      <c r="O234" s="13" t="s">
        <v>204</v>
      </c>
      <c r="P234" s="13" t="s">
        <v>144</v>
      </c>
      <c r="Q234" s="123" t="s">
        <v>30</v>
      </c>
      <c r="R234" s="13" t="s">
        <v>621</v>
      </c>
      <c r="S234" s="23">
        <v>241620244193</v>
      </c>
      <c r="T234" s="20">
        <v>45125</v>
      </c>
      <c r="U234" s="123"/>
      <c r="V234" s="13">
        <v>328</v>
      </c>
      <c r="W234" s="29">
        <v>45125.479166666664</v>
      </c>
      <c r="X234" s="29">
        <v>45125.677083333336</v>
      </c>
      <c r="Y234" s="30">
        <f t="shared" si="209"/>
        <v>0.19791666667151731</v>
      </c>
      <c r="Z234" s="29">
        <v>45125.5</v>
      </c>
      <c r="AA234" s="29">
        <v>45125.666666666664</v>
      </c>
      <c r="AB234" s="30">
        <f t="shared" si="210"/>
        <v>0.16666666666424135</v>
      </c>
    </row>
    <row r="235" spans="1:28" x14ac:dyDescent="0.25">
      <c r="A235" s="12">
        <v>45108</v>
      </c>
      <c r="B235" s="123" t="s">
        <v>622</v>
      </c>
      <c r="C235" s="20">
        <v>45124</v>
      </c>
      <c r="D235" s="13">
        <v>5743038</v>
      </c>
      <c r="E235" s="13" t="s">
        <v>191</v>
      </c>
      <c r="F235" s="13" t="s">
        <v>135</v>
      </c>
      <c r="G235" s="13" t="s">
        <v>192</v>
      </c>
      <c r="H235" s="17">
        <v>5212259</v>
      </c>
      <c r="I235" s="17" t="s">
        <v>26</v>
      </c>
      <c r="J235" s="13" t="s">
        <v>87</v>
      </c>
      <c r="K235" s="13">
        <v>25</v>
      </c>
      <c r="L235" s="13">
        <v>80</v>
      </c>
      <c r="M235" s="13">
        <f t="shared" si="205"/>
        <v>2000</v>
      </c>
      <c r="N235" s="20">
        <v>45125</v>
      </c>
      <c r="O235" s="13" t="s">
        <v>204</v>
      </c>
      <c r="P235" s="13" t="s">
        <v>144</v>
      </c>
      <c r="Q235" s="123" t="s">
        <v>30</v>
      </c>
      <c r="R235" s="13" t="s">
        <v>621</v>
      </c>
      <c r="S235" s="23">
        <v>241620244193</v>
      </c>
      <c r="T235" s="20">
        <v>45125</v>
      </c>
      <c r="U235" s="123"/>
      <c r="V235" s="13">
        <v>328</v>
      </c>
      <c r="W235" s="29">
        <v>45125.479166666664</v>
      </c>
      <c r="X235" s="29">
        <v>45125.677083333336</v>
      </c>
      <c r="Y235" s="30">
        <f t="shared" si="206"/>
        <v>0.19791666667151731</v>
      </c>
      <c r="Z235" s="29">
        <v>45125.5</v>
      </c>
      <c r="AA235" s="29">
        <v>45125.666666666664</v>
      </c>
      <c r="AB235" s="30">
        <f t="shared" si="207"/>
        <v>0.16666666666424135</v>
      </c>
    </row>
    <row r="236" spans="1:28" x14ac:dyDescent="0.25">
      <c r="A236" s="12">
        <v>45108</v>
      </c>
      <c r="B236" s="123" t="s">
        <v>623</v>
      </c>
      <c r="C236" s="20">
        <v>45125</v>
      </c>
      <c r="D236" s="13">
        <v>5329092</v>
      </c>
      <c r="E236" s="13" t="s">
        <v>624</v>
      </c>
      <c r="F236" s="13" t="s">
        <v>625</v>
      </c>
      <c r="G236" s="13" t="s">
        <v>132</v>
      </c>
      <c r="H236" s="123">
        <v>5230831</v>
      </c>
      <c r="I236" s="123" t="s">
        <v>35</v>
      </c>
      <c r="J236" s="14" t="s">
        <v>71</v>
      </c>
      <c r="K236" s="13">
        <v>240</v>
      </c>
      <c r="L236" s="13">
        <v>35</v>
      </c>
      <c r="M236" s="13">
        <f t="shared" si="205"/>
        <v>8400</v>
      </c>
      <c r="N236" s="20">
        <v>45125</v>
      </c>
      <c r="O236" s="13" t="s">
        <v>177</v>
      </c>
      <c r="P236" s="13" t="s">
        <v>134</v>
      </c>
      <c r="Q236" s="123">
        <v>2184</v>
      </c>
      <c r="R236" s="13" t="s">
        <v>626</v>
      </c>
      <c r="S236" s="23">
        <v>201620284308</v>
      </c>
      <c r="T236" s="20">
        <v>45125</v>
      </c>
      <c r="U236" s="123"/>
      <c r="V236" s="13">
        <v>329</v>
      </c>
      <c r="W236" s="29">
        <v>45125.645833333336</v>
      </c>
      <c r="X236" s="29">
        <v>45125.732638888891</v>
      </c>
      <c r="Y236" s="30">
        <f t="shared" si="206"/>
        <v>8.6805555554747116E-2</v>
      </c>
      <c r="Z236" s="29">
        <v>45125.701388888891</v>
      </c>
      <c r="AA236" s="29">
        <v>45125.729166666664</v>
      </c>
      <c r="AB236" s="30">
        <f t="shared" si="207"/>
        <v>2.7777777773735579E-2</v>
      </c>
    </row>
    <row r="237" spans="1:28" x14ac:dyDescent="0.25">
      <c r="A237" s="12">
        <v>45108</v>
      </c>
      <c r="B237" s="123" t="s">
        <v>627</v>
      </c>
      <c r="C237" s="20">
        <v>45124</v>
      </c>
      <c r="D237" s="13">
        <v>4923693</v>
      </c>
      <c r="E237" s="13" t="s">
        <v>628</v>
      </c>
      <c r="F237" s="13" t="s">
        <v>629</v>
      </c>
      <c r="G237" s="13" t="s">
        <v>132</v>
      </c>
      <c r="H237" s="17">
        <v>5230097</v>
      </c>
      <c r="I237" s="17" t="s">
        <v>52</v>
      </c>
      <c r="J237" s="14" t="s">
        <v>53</v>
      </c>
      <c r="K237" s="13">
        <v>250</v>
      </c>
      <c r="L237" s="13">
        <v>1</v>
      </c>
      <c r="M237" s="13">
        <f t="shared" si="205"/>
        <v>250</v>
      </c>
      <c r="N237" s="20">
        <v>45125</v>
      </c>
      <c r="O237" s="13" t="s">
        <v>186</v>
      </c>
      <c r="P237" s="13" t="s">
        <v>187</v>
      </c>
      <c r="Q237" s="13" t="s">
        <v>30</v>
      </c>
      <c r="R237" s="13" t="s">
        <v>233</v>
      </c>
      <c r="S237" s="23" t="s">
        <v>631</v>
      </c>
      <c r="T237" s="20">
        <v>45125</v>
      </c>
      <c r="U237" s="123"/>
      <c r="V237" s="13">
        <v>330</v>
      </c>
      <c r="W237" s="29">
        <v>45125.743055555555</v>
      </c>
      <c r="X237" s="29">
        <v>45125.760416666664</v>
      </c>
      <c r="Y237" s="30">
        <f t="shared" si="206"/>
        <v>1.7361111109494232E-2</v>
      </c>
      <c r="Z237" s="29">
        <v>45125.75</v>
      </c>
      <c r="AA237" s="29">
        <v>45125.756944444445</v>
      </c>
      <c r="AB237" s="30">
        <f t="shared" si="207"/>
        <v>6.9444444452528842E-3</v>
      </c>
    </row>
    <row r="238" spans="1:28" x14ac:dyDescent="0.25">
      <c r="A238" s="32">
        <v>45108</v>
      </c>
      <c r="B238" s="33" t="s">
        <v>630</v>
      </c>
      <c r="C238" s="34">
        <v>45125</v>
      </c>
      <c r="D238" s="33" t="s">
        <v>30</v>
      </c>
      <c r="E238" s="33" t="s">
        <v>471</v>
      </c>
      <c r="F238" s="33" t="s">
        <v>472</v>
      </c>
      <c r="G238" s="33" t="s">
        <v>192</v>
      </c>
      <c r="H238" s="35">
        <v>5205449</v>
      </c>
      <c r="I238" s="35" t="str">
        <f>VLOOKUP(H238,[1]MASTER!$A:$B,2,0)</f>
        <v>PVC-WH1000F-Premium-Bag-25KG</v>
      </c>
      <c r="J238" s="33" t="s">
        <v>30</v>
      </c>
      <c r="K238" s="33">
        <v>25</v>
      </c>
      <c r="L238" s="33">
        <v>0</v>
      </c>
      <c r="M238" s="33">
        <f t="shared" si="205"/>
        <v>0</v>
      </c>
      <c r="N238" s="34">
        <v>45125</v>
      </c>
      <c r="O238" s="33" t="s">
        <v>399</v>
      </c>
      <c r="P238" s="33" t="s">
        <v>144</v>
      </c>
      <c r="Q238" s="33" t="s">
        <v>30</v>
      </c>
      <c r="R238" s="33" t="s">
        <v>473</v>
      </c>
      <c r="S238" s="36">
        <v>231620292061</v>
      </c>
      <c r="T238" s="34">
        <v>45125</v>
      </c>
      <c r="U238" s="33"/>
      <c r="V238" s="33">
        <v>331</v>
      </c>
      <c r="W238" s="37">
        <v>45125.583333333336</v>
      </c>
      <c r="X238" s="37">
        <v>45125.871527777781</v>
      </c>
      <c r="Y238" s="38">
        <f t="shared" si="206"/>
        <v>0.28819444444525288</v>
      </c>
      <c r="Z238" s="37">
        <v>45125.736111111109</v>
      </c>
      <c r="AA238" s="37">
        <v>45125.868055555555</v>
      </c>
      <c r="AB238" s="38">
        <f t="shared" si="207"/>
        <v>0.13194444444525288</v>
      </c>
    </row>
    <row r="239" spans="1:28" x14ac:dyDescent="0.25">
      <c r="A239" s="12">
        <v>45108</v>
      </c>
      <c r="B239" s="123" t="s">
        <v>632</v>
      </c>
      <c r="C239" s="15">
        <v>45125</v>
      </c>
      <c r="D239" s="13">
        <v>5329092</v>
      </c>
      <c r="E239" s="13" t="s">
        <v>214</v>
      </c>
      <c r="F239" s="13" t="s">
        <v>633</v>
      </c>
      <c r="G239" s="13" t="s">
        <v>132</v>
      </c>
      <c r="H239" s="123">
        <v>5230831</v>
      </c>
      <c r="I239" s="123" t="s">
        <v>35</v>
      </c>
      <c r="J239" s="14" t="s">
        <v>71</v>
      </c>
      <c r="K239" s="13">
        <v>240</v>
      </c>
      <c r="L239" s="13">
        <v>20</v>
      </c>
      <c r="M239" s="13">
        <f t="shared" ref="M239:M256" si="211">+L239*K239</f>
        <v>4800</v>
      </c>
      <c r="N239" s="20">
        <v>45126</v>
      </c>
      <c r="O239" s="13" t="s">
        <v>298</v>
      </c>
      <c r="P239" s="13" t="s">
        <v>134</v>
      </c>
      <c r="Q239" s="123">
        <v>2185</v>
      </c>
      <c r="R239" s="13" t="s">
        <v>634</v>
      </c>
      <c r="S239" s="123"/>
      <c r="T239" s="20">
        <v>45126</v>
      </c>
      <c r="U239" s="123"/>
      <c r="V239" s="13">
        <v>332</v>
      </c>
      <c r="W239" s="29">
        <v>45126.614583333336</v>
      </c>
      <c r="X239" s="29">
        <v>45126.635416666664</v>
      </c>
      <c r="Y239" s="30">
        <f t="shared" ref="Y239:Y241" si="212">+X239-W239</f>
        <v>2.0833333328482695E-2</v>
      </c>
      <c r="Z239" s="29">
        <v>45126.618055555555</v>
      </c>
      <c r="AA239" s="29">
        <v>45126.635416666664</v>
      </c>
      <c r="AB239" s="30">
        <f t="shared" ref="AB239:AB241" si="213">+AA239-Z239</f>
        <v>1.7361111109494232E-2</v>
      </c>
    </row>
    <row r="240" spans="1:28" x14ac:dyDescent="0.25">
      <c r="A240" s="12">
        <v>45108</v>
      </c>
      <c r="B240" s="123" t="s">
        <v>635</v>
      </c>
      <c r="C240" s="15">
        <v>45125</v>
      </c>
      <c r="D240" s="13">
        <v>5852098</v>
      </c>
      <c r="E240" s="13" t="s">
        <v>253</v>
      </c>
      <c r="F240" s="13" t="s">
        <v>215</v>
      </c>
      <c r="G240" s="13" t="s">
        <v>132</v>
      </c>
      <c r="H240" s="17">
        <v>5200193</v>
      </c>
      <c r="I240" s="123" t="s">
        <v>41</v>
      </c>
      <c r="J240" s="123">
        <v>1223005101</v>
      </c>
      <c r="K240" s="13">
        <v>250</v>
      </c>
      <c r="L240" s="13">
        <v>32</v>
      </c>
      <c r="M240" s="13">
        <f t="shared" si="211"/>
        <v>8000</v>
      </c>
      <c r="N240" s="20">
        <v>45126</v>
      </c>
      <c r="O240" s="13" t="s">
        <v>177</v>
      </c>
      <c r="P240" s="13" t="s">
        <v>134</v>
      </c>
      <c r="Q240" s="123">
        <v>2186</v>
      </c>
      <c r="R240" s="13" t="s">
        <v>636</v>
      </c>
      <c r="S240" s="123"/>
      <c r="T240" s="20">
        <v>45126</v>
      </c>
      <c r="U240" s="123"/>
      <c r="V240" s="13">
        <v>333</v>
      </c>
      <c r="W240" s="29">
        <v>45126.715277777781</v>
      </c>
      <c r="X240" s="29">
        <v>45126.746527777781</v>
      </c>
      <c r="Y240" s="30">
        <f t="shared" si="212"/>
        <v>3.125E-2</v>
      </c>
      <c r="Z240" s="29">
        <v>45126.722222222219</v>
      </c>
      <c r="AA240" s="29">
        <v>45126.739583333336</v>
      </c>
      <c r="AB240" s="30">
        <f t="shared" si="213"/>
        <v>1.7361111116770189E-2</v>
      </c>
    </row>
    <row r="241" spans="1:28" x14ac:dyDescent="0.25">
      <c r="A241" s="12">
        <v>45108</v>
      </c>
      <c r="B241" s="123" t="s">
        <v>637</v>
      </c>
      <c r="C241" s="15">
        <v>45125</v>
      </c>
      <c r="D241" s="13">
        <v>6134297</v>
      </c>
      <c r="E241" s="13" t="s">
        <v>191</v>
      </c>
      <c r="F241" s="13" t="s">
        <v>135</v>
      </c>
      <c r="G241" s="13" t="s">
        <v>192</v>
      </c>
      <c r="H241" s="17">
        <v>5211014</v>
      </c>
      <c r="I241" s="17" t="s">
        <v>38</v>
      </c>
      <c r="J241" s="13" t="s">
        <v>338</v>
      </c>
      <c r="K241" s="13">
        <v>25</v>
      </c>
      <c r="L241" s="13">
        <v>320</v>
      </c>
      <c r="M241" s="13">
        <f t="shared" si="211"/>
        <v>8000</v>
      </c>
      <c r="N241" s="20">
        <v>45126</v>
      </c>
      <c r="O241" s="13" t="s">
        <v>399</v>
      </c>
      <c r="P241" s="13" t="s">
        <v>144</v>
      </c>
      <c r="Q241" s="13" t="s">
        <v>30</v>
      </c>
      <c r="R241" s="13" t="s">
        <v>638</v>
      </c>
      <c r="S241" s="31">
        <v>211620884031</v>
      </c>
      <c r="T241" s="20">
        <v>45126</v>
      </c>
      <c r="U241" s="123"/>
      <c r="V241" s="13">
        <v>334</v>
      </c>
      <c r="W241" s="29">
        <v>45126.604166666664</v>
      </c>
      <c r="X241" s="29">
        <v>45126.798611111109</v>
      </c>
      <c r="Y241" s="30">
        <f t="shared" si="212"/>
        <v>0.19444444444525288</v>
      </c>
      <c r="Z241" s="29">
        <v>45126.659722222219</v>
      </c>
      <c r="AA241" s="29">
        <v>45126.791666666664</v>
      </c>
      <c r="AB241" s="30">
        <f t="shared" si="213"/>
        <v>0.13194444444525288</v>
      </c>
    </row>
    <row r="242" spans="1:28" x14ac:dyDescent="0.25">
      <c r="A242" s="12">
        <v>45108</v>
      </c>
      <c r="B242" s="123" t="s">
        <v>639</v>
      </c>
      <c r="C242" s="15">
        <v>45125</v>
      </c>
      <c r="D242" s="13">
        <v>6509004</v>
      </c>
      <c r="E242" s="13" t="s">
        <v>191</v>
      </c>
      <c r="F242" s="13" t="s">
        <v>135</v>
      </c>
      <c r="G242" s="13" t="s">
        <v>192</v>
      </c>
      <c r="H242" s="17">
        <v>5212252</v>
      </c>
      <c r="I242" s="17" t="s">
        <v>23</v>
      </c>
      <c r="J242" s="13" t="s">
        <v>413</v>
      </c>
      <c r="K242" s="13">
        <v>25</v>
      </c>
      <c r="L242" s="13">
        <v>103</v>
      </c>
      <c r="M242" s="13">
        <f t="shared" si="211"/>
        <v>2575</v>
      </c>
      <c r="N242" s="20">
        <v>45126</v>
      </c>
      <c r="O242" s="13" t="s">
        <v>399</v>
      </c>
      <c r="P242" s="13" t="s">
        <v>144</v>
      </c>
      <c r="Q242" s="13" t="s">
        <v>30</v>
      </c>
      <c r="R242" s="13" t="s">
        <v>638</v>
      </c>
      <c r="S242" s="31">
        <v>261620880737</v>
      </c>
      <c r="T242" s="20">
        <v>45126</v>
      </c>
      <c r="U242" s="123"/>
      <c r="V242" s="13">
        <v>334</v>
      </c>
      <c r="W242" s="29">
        <v>45126.604166666664</v>
      </c>
      <c r="X242" s="29">
        <v>45126.798611111109</v>
      </c>
      <c r="Y242" s="30">
        <f t="shared" ref="Y242:Y256" si="214">+X242-W242</f>
        <v>0.19444444444525288</v>
      </c>
      <c r="Z242" s="29">
        <v>45126.659722222219</v>
      </c>
      <c r="AA242" s="29">
        <v>45126.791666666664</v>
      </c>
      <c r="AB242" s="30">
        <f t="shared" ref="AB242:AB256" si="215">+AA242-Z242</f>
        <v>0.13194444444525288</v>
      </c>
    </row>
    <row r="243" spans="1:28" x14ac:dyDescent="0.25">
      <c r="A243" s="12">
        <v>45108</v>
      </c>
      <c r="B243" s="123" t="s">
        <v>639</v>
      </c>
      <c r="C243" s="15">
        <v>45125</v>
      </c>
      <c r="D243" s="13">
        <v>6509004</v>
      </c>
      <c r="E243" s="13" t="s">
        <v>191</v>
      </c>
      <c r="F243" s="13" t="s">
        <v>135</v>
      </c>
      <c r="G243" s="13" t="s">
        <v>192</v>
      </c>
      <c r="H243" s="17">
        <v>5212252</v>
      </c>
      <c r="I243" s="17" t="s">
        <v>23</v>
      </c>
      <c r="J243" s="13" t="s">
        <v>368</v>
      </c>
      <c r="K243" s="13">
        <v>25</v>
      </c>
      <c r="L243" s="13">
        <v>55</v>
      </c>
      <c r="M243" s="13">
        <f t="shared" ref="M243:M244" si="216">+L243*K243</f>
        <v>1375</v>
      </c>
      <c r="N243" s="20">
        <v>45126</v>
      </c>
      <c r="O243" s="13" t="s">
        <v>399</v>
      </c>
      <c r="P243" s="13" t="s">
        <v>144</v>
      </c>
      <c r="Q243" s="13" t="s">
        <v>30</v>
      </c>
      <c r="R243" s="13" t="s">
        <v>638</v>
      </c>
      <c r="S243" s="31">
        <v>261620880737</v>
      </c>
      <c r="T243" s="20">
        <v>45126</v>
      </c>
      <c r="U243" s="123"/>
      <c r="V243" s="13">
        <v>334</v>
      </c>
      <c r="W243" s="29">
        <v>45126.604166666664</v>
      </c>
      <c r="X243" s="29">
        <v>45126.798611111109</v>
      </c>
      <c r="Y243" s="30">
        <f t="shared" ref="Y243:Y244" si="217">+X243-W243</f>
        <v>0.19444444444525288</v>
      </c>
      <c r="Z243" s="29">
        <v>45126.659722222219</v>
      </c>
      <c r="AA243" s="29">
        <v>45126.791666666664</v>
      </c>
      <c r="AB243" s="30">
        <f t="shared" ref="AB243:AB244" si="218">+AA243-Z243</f>
        <v>0.13194444444525288</v>
      </c>
    </row>
    <row r="244" spans="1:28" x14ac:dyDescent="0.25">
      <c r="A244" s="12">
        <v>45108</v>
      </c>
      <c r="B244" s="123" t="s">
        <v>639</v>
      </c>
      <c r="C244" s="15">
        <v>45125</v>
      </c>
      <c r="D244" s="13">
        <v>6508852</v>
      </c>
      <c r="E244" s="13" t="s">
        <v>191</v>
      </c>
      <c r="F244" s="13" t="s">
        <v>135</v>
      </c>
      <c r="G244" s="13" t="s">
        <v>192</v>
      </c>
      <c r="H244" s="17">
        <v>5212252</v>
      </c>
      <c r="I244" s="17" t="s">
        <v>23</v>
      </c>
      <c r="J244" s="13" t="s">
        <v>413</v>
      </c>
      <c r="K244" s="13">
        <v>25</v>
      </c>
      <c r="L244" s="13">
        <v>160</v>
      </c>
      <c r="M244" s="13">
        <f t="shared" si="216"/>
        <v>4000</v>
      </c>
      <c r="N244" s="20">
        <v>45126</v>
      </c>
      <c r="O244" s="13" t="s">
        <v>399</v>
      </c>
      <c r="P244" s="13" t="s">
        <v>144</v>
      </c>
      <c r="Q244" s="13" t="s">
        <v>30</v>
      </c>
      <c r="R244" s="13" t="s">
        <v>638</v>
      </c>
      <c r="S244" s="31">
        <v>261620880737</v>
      </c>
      <c r="T244" s="20">
        <v>45126</v>
      </c>
      <c r="U244" s="123"/>
      <c r="V244" s="13">
        <v>334</v>
      </c>
      <c r="W244" s="29">
        <v>45126.604166666664</v>
      </c>
      <c r="X244" s="29">
        <v>45126.798611111109</v>
      </c>
      <c r="Y244" s="30">
        <f t="shared" si="217"/>
        <v>0.19444444444525288</v>
      </c>
      <c r="Z244" s="29">
        <v>45126.659722222219</v>
      </c>
      <c r="AA244" s="29">
        <v>45126.791666666664</v>
      </c>
      <c r="AB244" s="30">
        <f t="shared" si="218"/>
        <v>0.13194444444525288</v>
      </c>
    </row>
    <row r="245" spans="1:28" x14ac:dyDescent="0.25">
      <c r="A245" s="12">
        <v>45108</v>
      </c>
      <c r="B245" s="123" t="s">
        <v>639</v>
      </c>
      <c r="C245" s="15">
        <v>45125</v>
      </c>
      <c r="D245" s="13">
        <v>6337848</v>
      </c>
      <c r="E245" s="13" t="s">
        <v>191</v>
      </c>
      <c r="F245" s="13" t="s">
        <v>135</v>
      </c>
      <c r="G245" s="13" t="s">
        <v>192</v>
      </c>
      <c r="H245" s="17">
        <v>5212252</v>
      </c>
      <c r="I245" s="17" t="s">
        <v>23</v>
      </c>
      <c r="J245" s="13" t="s">
        <v>312</v>
      </c>
      <c r="K245" s="13">
        <v>25</v>
      </c>
      <c r="L245" s="13">
        <v>362</v>
      </c>
      <c r="M245" s="13">
        <f t="shared" ref="M245" si="219">+L245*K245</f>
        <v>9050</v>
      </c>
      <c r="N245" s="20">
        <v>45126</v>
      </c>
      <c r="O245" s="13" t="s">
        <v>399</v>
      </c>
      <c r="P245" s="13" t="s">
        <v>144</v>
      </c>
      <c r="Q245" s="13" t="s">
        <v>30</v>
      </c>
      <c r="R245" s="13" t="s">
        <v>638</v>
      </c>
      <c r="S245" s="31">
        <v>261620880737</v>
      </c>
      <c r="T245" s="20">
        <v>45126</v>
      </c>
      <c r="U245" s="123"/>
      <c r="V245" s="13">
        <v>334</v>
      </c>
      <c r="W245" s="29">
        <v>45126.604166666664</v>
      </c>
      <c r="X245" s="29">
        <v>45126.798611111109</v>
      </c>
      <c r="Y245" s="30">
        <f t="shared" ref="Y245" si="220">+X245-W245</f>
        <v>0.19444444444525288</v>
      </c>
      <c r="Z245" s="29">
        <v>45126.659722222219</v>
      </c>
      <c r="AA245" s="29">
        <v>45126.791666666664</v>
      </c>
      <c r="AB245" s="30">
        <f t="shared" ref="AB245" si="221">+AA245-Z245</f>
        <v>0.13194444444525288</v>
      </c>
    </row>
    <row r="246" spans="1:28" x14ac:dyDescent="0.25">
      <c r="A246" s="12">
        <v>45108</v>
      </c>
      <c r="B246" s="123" t="s">
        <v>640</v>
      </c>
      <c r="C246" s="15">
        <v>45125</v>
      </c>
      <c r="D246" s="13">
        <v>5743038</v>
      </c>
      <c r="E246" s="13" t="s">
        <v>191</v>
      </c>
      <c r="F246" s="13" t="s">
        <v>135</v>
      </c>
      <c r="G246" s="13" t="s">
        <v>192</v>
      </c>
      <c r="H246" s="17">
        <v>5212259</v>
      </c>
      <c r="I246" s="17" t="s">
        <v>26</v>
      </c>
      <c r="J246" s="13" t="s">
        <v>87</v>
      </c>
      <c r="K246" s="13">
        <v>25</v>
      </c>
      <c r="L246" s="13">
        <v>200</v>
      </c>
      <c r="M246" s="13">
        <f t="shared" si="211"/>
        <v>5000</v>
      </c>
      <c r="N246" s="20">
        <v>45126</v>
      </c>
      <c r="O246" s="13" t="s">
        <v>399</v>
      </c>
      <c r="P246" s="13" t="s">
        <v>144</v>
      </c>
      <c r="Q246" s="13" t="s">
        <v>30</v>
      </c>
      <c r="R246" s="13" t="s">
        <v>638</v>
      </c>
      <c r="S246" s="31">
        <v>281620879830</v>
      </c>
      <c r="T246" s="20">
        <v>45126</v>
      </c>
      <c r="U246" s="123"/>
      <c r="V246" s="13">
        <v>334</v>
      </c>
      <c r="W246" s="29">
        <v>45126.604166666664</v>
      </c>
      <c r="X246" s="29">
        <v>45126.798611111109</v>
      </c>
      <c r="Y246" s="30">
        <f t="shared" si="214"/>
        <v>0.19444444444525288</v>
      </c>
      <c r="Z246" s="29">
        <v>45126.659722222219</v>
      </c>
      <c r="AA246" s="29">
        <v>45126.791666666664</v>
      </c>
      <c r="AB246" s="30">
        <f t="shared" si="215"/>
        <v>0.13194444444525288</v>
      </c>
    </row>
    <row r="247" spans="1:28" x14ac:dyDescent="0.25">
      <c r="A247" s="12">
        <v>45108</v>
      </c>
      <c r="B247" s="123" t="s">
        <v>641</v>
      </c>
      <c r="C247" s="20">
        <v>45127</v>
      </c>
      <c r="D247" s="13">
        <v>6087743</v>
      </c>
      <c r="E247" s="13" t="s">
        <v>267</v>
      </c>
      <c r="F247" s="13" t="s">
        <v>268</v>
      </c>
      <c r="G247" s="13" t="s">
        <v>132</v>
      </c>
      <c r="H247" s="17">
        <v>5309040</v>
      </c>
      <c r="I247" s="17" t="s">
        <v>105</v>
      </c>
      <c r="J247" s="13" t="s">
        <v>107</v>
      </c>
      <c r="K247" s="13">
        <v>250</v>
      </c>
      <c r="L247" s="13">
        <v>10</v>
      </c>
      <c r="M247" s="13">
        <f t="shared" si="211"/>
        <v>2500</v>
      </c>
      <c r="N247" s="20">
        <v>45127</v>
      </c>
      <c r="O247" s="13" t="s">
        <v>555</v>
      </c>
      <c r="P247" s="13" t="s">
        <v>144</v>
      </c>
      <c r="Q247" s="13" t="s">
        <v>30</v>
      </c>
      <c r="R247" s="13" t="s">
        <v>644</v>
      </c>
      <c r="S247" s="31">
        <v>271621162132</v>
      </c>
      <c r="T247" s="20">
        <v>45127</v>
      </c>
      <c r="U247" s="123"/>
      <c r="V247" s="13">
        <v>335</v>
      </c>
      <c r="W247" s="29">
        <v>45127.458333333336</v>
      </c>
      <c r="X247" s="29">
        <v>45127.604166666664</v>
      </c>
      <c r="Y247" s="30">
        <f t="shared" si="214"/>
        <v>0.14583333332848269</v>
      </c>
      <c r="Z247" s="29">
        <v>45127.465277777781</v>
      </c>
      <c r="AA247" s="29">
        <v>45127.475694444445</v>
      </c>
      <c r="AB247" s="30">
        <f t="shared" si="215"/>
        <v>1.0416666664241347E-2</v>
      </c>
    </row>
    <row r="248" spans="1:28" x14ac:dyDescent="0.25">
      <c r="A248" s="12">
        <v>45108</v>
      </c>
      <c r="B248" s="123" t="s">
        <v>643</v>
      </c>
      <c r="C248" s="20">
        <v>45124</v>
      </c>
      <c r="D248" s="13">
        <v>6508852</v>
      </c>
      <c r="E248" s="13" t="s">
        <v>191</v>
      </c>
      <c r="F248" s="13" t="s">
        <v>135</v>
      </c>
      <c r="G248" s="13" t="s">
        <v>192</v>
      </c>
      <c r="H248" s="17">
        <v>5212252</v>
      </c>
      <c r="I248" s="17" t="s">
        <v>23</v>
      </c>
      <c r="J248" s="13" t="s">
        <v>413</v>
      </c>
      <c r="K248" s="13">
        <v>25</v>
      </c>
      <c r="L248" s="13">
        <v>400</v>
      </c>
      <c r="M248" s="13">
        <f t="shared" si="211"/>
        <v>10000</v>
      </c>
      <c r="N248" s="20">
        <v>45127</v>
      </c>
      <c r="O248" s="13" t="s">
        <v>136</v>
      </c>
      <c r="P248" s="13" t="s">
        <v>144</v>
      </c>
      <c r="Q248" s="13" t="s">
        <v>30</v>
      </c>
      <c r="R248" s="13" t="s">
        <v>642</v>
      </c>
      <c r="S248" s="31">
        <v>211621192678</v>
      </c>
      <c r="T248" s="20">
        <v>45127</v>
      </c>
      <c r="U248" s="123"/>
      <c r="V248" s="13">
        <v>336</v>
      </c>
      <c r="W248" s="29">
        <v>45127.625</v>
      </c>
      <c r="X248" s="29">
        <v>45127.652777777781</v>
      </c>
      <c r="Y248" s="30">
        <f t="shared" si="214"/>
        <v>2.7777777781011537E-2</v>
      </c>
      <c r="Z248" s="29">
        <v>45127.625</v>
      </c>
      <c r="AA248" s="29">
        <v>45127.649305555555</v>
      </c>
      <c r="AB248" s="30">
        <f t="shared" si="215"/>
        <v>2.4305555554747116E-2</v>
      </c>
    </row>
    <row r="249" spans="1:28" x14ac:dyDescent="0.25">
      <c r="A249" s="12">
        <v>45108</v>
      </c>
      <c r="B249" s="123" t="s">
        <v>645</v>
      </c>
      <c r="C249" s="20">
        <v>45125</v>
      </c>
      <c r="D249" s="13">
        <v>5852098</v>
      </c>
      <c r="E249" s="13" t="s">
        <v>253</v>
      </c>
      <c r="F249" s="13" t="s">
        <v>215</v>
      </c>
      <c r="G249" s="13" t="s">
        <v>132</v>
      </c>
      <c r="H249" s="17">
        <v>5200193</v>
      </c>
      <c r="I249" s="123" t="s">
        <v>41</v>
      </c>
      <c r="J249" s="123">
        <v>1223005101</v>
      </c>
      <c r="K249" s="13">
        <v>250</v>
      </c>
      <c r="L249" s="13">
        <v>32</v>
      </c>
      <c r="M249" s="13">
        <f t="shared" si="211"/>
        <v>8000</v>
      </c>
      <c r="N249" s="20">
        <v>45127</v>
      </c>
      <c r="O249" s="13" t="s">
        <v>589</v>
      </c>
      <c r="P249" s="13" t="s">
        <v>134</v>
      </c>
      <c r="Q249" s="123">
        <v>2187</v>
      </c>
      <c r="R249" s="13" t="s">
        <v>646</v>
      </c>
      <c r="S249" s="31">
        <v>221621269834</v>
      </c>
      <c r="T249" s="20">
        <v>45127</v>
      </c>
      <c r="U249" s="123"/>
      <c r="V249" s="13">
        <v>337</v>
      </c>
      <c r="W249" s="29">
        <v>45127.666666666664</v>
      </c>
      <c r="X249" s="29">
        <v>45127.6875</v>
      </c>
      <c r="Y249" s="30">
        <f t="shared" si="214"/>
        <v>2.0833333335758653E-2</v>
      </c>
      <c r="Z249" s="29">
        <v>45127.666666666664</v>
      </c>
      <c r="AA249" s="29">
        <v>45127.680555555555</v>
      </c>
      <c r="AB249" s="30">
        <f t="shared" si="215"/>
        <v>1.3888888890505768E-2</v>
      </c>
    </row>
    <row r="250" spans="1:28" x14ac:dyDescent="0.25">
      <c r="A250" s="12">
        <v>45108</v>
      </c>
      <c r="B250" s="123" t="s">
        <v>647</v>
      </c>
      <c r="C250" s="20">
        <v>45127</v>
      </c>
      <c r="D250" s="13">
        <v>5329092</v>
      </c>
      <c r="E250" s="13" t="s">
        <v>648</v>
      </c>
      <c r="F250" s="13" t="s">
        <v>506</v>
      </c>
      <c r="G250" s="13" t="s">
        <v>132</v>
      </c>
      <c r="H250" s="123">
        <v>5230831</v>
      </c>
      <c r="I250" s="123" t="s">
        <v>35</v>
      </c>
      <c r="J250" s="14" t="s">
        <v>71</v>
      </c>
      <c r="K250" s="13">
        <v>240</v>
      </c>
      <c r="L250" s="13">
        <v>30</v>
      </c>
      <c r="M250" s="13">
        <f t="shared" si="211"/>
        <v>7200</v>
      </c>
      <c r="N250" s="20">
        <v>45127</v>
      </c>
      <c r="O250" s="13" t="s">
        <v>589</v>
      </c>
      <c r="P250" s="13" t="s">
        <v>144</v>
      </c>
      <c r="Q250" s="13" t="s">
        <v>30</v>
      </c>
      <c r="R250" s="13" t="s">
        <v>649</v>
      </c>
      <c r="S250" s="31">
        <v>211621368675</v>
      </c>
      <c r="T250" s="20">
        <v>45127</v>
      </c>
      <c r="U250" s="123"/>
      <c r="V250" s="13">
        <v>338</v>
      </c>
      <c r="W250" s="29">
        <v>45127.784722222219</v>
      </c>
      <c r="X250" s="29">
        <v>45127.8125</v>
      </c>
      <c r="Y250" s="30">
        <f t="shared" si="214"/>
        <v>2.7777777781011537E-2</v>
      </c>
      <c r="Z250" s="29">
        <v>45127.791666666664</v>
      </c>
      <c r="AA250" s="29">
        <v>45127.805555555555</v>
      </c>
      <c r="AB250" s="30">
        <f t="shared" si="215"/>
        <v>1.3888888890505768E-2</v>
      </c>
    </row>
    <row r="251" spans="1:28" x14ac:dyDescent="0.25">
      <c r="A251" s="12">
        <v>45108</v>
      </c>
      <c r="B251" s="123" t="s">
        <v>650</v>
      </c>
      <c r="C251" s="20">
        <v>45127</v>
      </c>
      <c r="D251" s="13">
        <v>6087743</v>
      </c>
      <c r="E251" s="13" t="s">
        <v>651</v>
      </c>
      <c r="F251" s="13" t="s">
        <v>215</v>
      </c>
      <c r="G251" s="13" t="s">
        <v>132</v>
      </c>
      <c r="H251" s="17">
        <v>5309040</v>
      </c>
      <c r="I251" s="17" t="s">
        <v>105</v>
      </c>
      <c r="J251" s="13" t="s">
        <v>107</v>
      </c>
      <c r="K251" s="13">
        <v>250</v>
      </c>
      <c r="L251" s="13">
        <v>36</v>
      </c>
      <c r="M251" s="13">
        <f t="shared" si="211"/>
        <v>9000</v>
      </c>
      <c r="N251" s="20">
        <v>45127</v>
      </c>
      <c r="O251" s="13" t="s">
        <v>136</v>
      </c>
      <c r="P251" s="13" t="s">
        <v>134</v>
      </c>
      <c r="Q251" s="123">
        <v>2188</v>
      </c>
      <c r="R251" s="13" t="s">
        <v>652</v>
      </c>
      <c r="S251" s="31">
        <v>271621362349</v>
      </c>
      <c r="T251" s="20">
        <v>45127</v>
      </c>
      <c r="U251" s="123"/>
      <c r="V251" s="13">
        <v>339</v>
      </c>
      <c r="W251" s="29">
        <v>45127.770833333336</v>
      </c>
      <c r="X251" s="29">
        <v>45127.798611111109</v>
      </c>
      <c r="Y251" s="30">
        <f t="shared" si="214"/>
        <v>2.7777777773735579E-2</v>
      </c>
      <c r="Z251" s="29">
        <v>45127.777777777781</v>
      </c>
      <c r="AA251" s="29">
        <v>45127.791666666664</v>
      </c>
      <c r="AB251" s="30">
        <f t="shared" si="215"/>
        <v>1.3888888883229811E-2</v>
      </c>
    </row>
    <row r="252" spans="1:28" x14ac:dyDescent="0.25">
      <c r="A252" s="12">
        <v>45108</v>
      </c>
      <c r="B252" s="123" t="s">
        <v>654</v>
      </c>
      <c r="C252" s="20">
        <v>45127</v>
      </c>
      <c r="D252" s="13">
        <v>2900840</v>
      </c>
      <c r="E252" s="13" t="s">
        <v>477</v>
      </c>
      <c r="F252" s="13" t="s">
        <v>327</v>
      </c>
      <c r="G252" s="13" t="s">
        <v>132</v>
      </c>
      <c r="H252" s="17">
        <v>5200193</v>
      </c>
      <c r="I252" s="123" t="s">
        <v>41</v>
      </c>
      <c r="J252" s="14" t="s">
        <v>450</v>
      </c>
      <c r="K252" s="13">
        <v>250</v>
      </c>
      <c r="L252" s="13">
        <v>2</v>
      </c>
      <c r="M252" s="13">
        <f t="shared" si="211"/>
        <v>500</v>
      </c>
      <c r="N252" s="20">
        <v>45128</v>
      </c>
      <c r="O252" s="13" t="s">
        <v>399</v>
      </c>
      <c r="P252" s="13" t="s">
        <v>134</v>
      </c>
      <c r="Q252" s="123">
        <v>2189</v>
      </c>
      <c r="R252" s="13" t="s">
        <v>655</v>
      </c>
      <c r="S252" s="31">
        <v>211621405211</v>
      </c>
      <c r="T252" s="20">
        <v>45127</v>
      </c>
      <c r="U252" s="123"/>
      <c r="V252" s="13">
        <v>340</v>
      </c>
      <c r="W252" s="29">
        <v>45127.625</v>
      </c>
      <c r="X252" s="29">
        <v>45128.395833333336</v>
      </c>
      <c r="Y252" s="30">
        <f t="shared" si="214"/>
        <v>0.77083333333575865</v>
      </c>
      <c r="Z252" s="29">
        <v>45127.680555555555</v>
      </c>
      <c r="AA252" s="29">
        <v>45127.784722222219</v>
      </c>
      <c r="AB252" s="30">
        <f t="shared" si="215"/>
        <v>0.10416666666424135</v>
      </c>
    </row>
    <row r="253" spans="1:28" x14ac:dyDescent="0.25">
      <c r="A253" s="12">
        <v>45108</v>
      </c>
      <c r="B253" s="123" t="s">
        <v>654</v>
      </c>
      <c r="C253" s="20">
        <v>45127</v>
      </c>
      <c r="D253" s="13">
        <v>5852098</v>
      </c>
      <c r="E253" s="13" t="s">
        <v>477</v>
      </c>
      <c r="F253" s="13" t="s">
        <v>327</v>
      </c>
      <c r="G253" s="13" t="s">
        <v>132</v>
      </c>
      <c r="H253" s="17">
        <v>5200193</v>
      </c>
      <c r="I253" s="123" t="s">
        <v>41</v>
      </c>
      <c r="J253" s="123">
        <v>1223005101</v>
      </c>
      <c r="K253" s="13">
        <v>250</v>
      </c>
      <c r="L253" s="13">
        <v>110</v>
      </c>
      <c r="M253" s="13">
        <f t="shared" ref="M253" si="222">+L253*K253</f>
        <v>27500</v>
      </c>
      <c r="N253" s="20">
        <v>45128</v>
      </c>
      <c r="O253" s="13" t="s">
        <v>399</v>
      </c>
      <c r="P253" s="13" t="s">
        <v>134</v>
      </c>
      <c r="Q253" s="123">
        <v>2189</v>
      </c>
      <c r="R253" s="13" t="s">
        <v>655</v>
      </c>
      <c r="S253" s="31">
        <v>211621405211</v>
      </c>
      <c r="T253" s="20">
        <v>45127</v>
      </c>
      <c r="U253" s="123"/>
      <c r="V253" s="13">
        <v>340</v>
      </c>
      <c r="W253" s="29">
        <v>45127.625</v>
      </c>
      <c r="X253" s="29">
        <v>45128.395833333336</v>
      </c>
      <c r="Y253" s="30">
        <f t="shared" ref="Y253" si="223">+X253-W253</f>
        <v>0.77083333333575865</v>
      </c>
      <c r="Z253" s="29">
        <v>45127.680555555555</v>
      </c>
      <c r="AA253" s="29">
        <v>45127.784722222219</v>
      </c>
      <c r="AB253" s="30">
        <f t="shared" ref="AB253" si="224">+AA253-Z253</f>
        <v>0.10416666666424135</v>
      </c>
    </row>
    <row r="254" spans="1:28" x14ac:dyDescent="0.25">
      <c r="A254" s="12">
        <v>45108</v>
      </c>
      <c r="B254" s="123" t="s">
        <v>653</v>
      </c>
      <c r="C254" s="20">
        <v>45127</v>
      </c>
      <c r="D254" s="13">
        <v>5329092</v>
      </c>
      <c r="E254" s="13" t="s">
        <v>175</v>
      </c>
      <c r="F254" s="13" t="s">
        <v>176</v>
      </c>
      <c r="G254" s="13" t="s">
        <v>132</v>
      </c>
      <c r="H254" s="123">
        <v>5230831</v>
      </c>
      <c r="I254" s="123" t="s">
        <v>35</v>
      </c>
      <c r="J254" s="14" t="s">
        <v>71</v>
      </c>
      <c r="K254" s="13">
        <v>240</v>
      </c>
      <c r="L254" s="13">
        <v>20</v>
      </c>
      <c r="M254" s="13">
        <f t="shared" si="211"/>
        <v>4800</v>
      </c>
      <c r="N254" s="20">
        <v>45128</v>
      </c>
      <c r="O254" s="13" t="s">
        <v>259</v>
      </c>
      <c r="P254" s="13" t="s">
        <v>144</v>
      </c>
      <c r="Q254" s="13" t="s">
        <v>30</v>
      </c>
      <c r="R254" s="13" t="s">
        <v>182</v>
      </c>
      <c r="S254" s="31">
        <v>261621542696</v>
      </c>
      <c r="T254" s="20">
        <v>45128</v>
      </c>
      <c r="U254" s="123"/>
      <c r="V254" s="13">
        <v>341</v>
      </c>
      <c r="W254" s="29">
        <v>45128.472222222219</v>
      </c>
      <c r="X254" s="29">
        <v>45128.486111111109</v>
      </c>
      <c r="Y254" s="30">
        <f t="shared" si="214"/>
        <v>1.3888888890505768E-2</v>
      </c>
      <c r="Z254" s="29">
        <v>45128.479166666664</v>
      </c>
      <c r="AA254" s="29">
        <v>45128.486111111109</v>
      </c>
      <c r="AB254" s="30">
        <f t="shared" si="215"/>
        <v>6.9444444452528842E-3</v>
      </c>
    </row>
    <row r="255" spans="1:28" x14ac:dyDescent="0.25">
      <c r="A255" s="12">
        <v>45108</v>
      </c>
      <c r="B255" s="123" t="s">
        <v>656</v>
      </c>
      <c r="C255" s="20">
        <v>45127</v>
      </c>
      <c r="D255" s="13">
        <v>5329092</v>
      </c>
      <c r="E255" s="13" t="s">
        <v>175</v>
      </c>
      <c r="F255" s="13" t="s">
        <v>176</v>
      </c>
      <c r="G255" s="13" t="s">
        <v>132</v>
      </c>
      <c r="H255" s="123">
        <v>5230831</v>
      </c>
      <c r="I255" s="123" t="s">
        <v>35</v>
      </c>
      <c r="J255" s="14" t="s">
        <v>71</v>
      </c>
      <c r="K255" s="13">
        <v>240</v>
      </c>
      <c r="L255" s="13">
        <v>30</v>
      </c>
      <c r="M255" s="13">
        <f t="shared" si="211"/>
        <v>7200</v>
      </c>
      <c r="N255" s="20">
        <v>45128</v>
      </c>
      <c r="O255" s="13" t="s">
        <v>177</v>
      </c>
      <c r="P255" s="13" t="s">
        <v>144</v>
      </c>
      <c r="Q255" s="13" t="s">
        <v>30</v>
      </c>
      <c r="R255" s="13" t="s">
        <v>180</v>
      </c>
      <c r="S255" s="31">
        <v>291621543601</v>
      </c>
      <c r="T255" s="20">
        <v>45128</v>
      </c>
      <c r="U255" s="123"/>
      <c r="V255" s="13">
        <v>342</v>
      </c>
      <c r="W255" s="29">
        <v>45128.486111111109</v>
      </c>
      <c r="X255" s="29">
        <v>45128.513888888891</v>
      </c>
      <c r="Y255" s="30">
        <f t="shared" si="214"/>
        <v>2.7777777781011537E-2</v>
      </c>
      <c r="Z255" s="29">
        <v>45128.493055555555</v>
      </c>
      <c r="AA255" s="29">
        <v>45128.506944444445</v>
      </c>
      <c r="AB255" s="30">
        <f t="shared" si="215"/>
        <v>1.3888888890505768E-2</v>
      </c>
    </row>
    <row r="256" spans="1:28" x14ac:dyDescent="0.25">
      <c r="A256" s="12">
        <v>45108</v>
      </c>
      <c r="B256" s="123" t="s">
        <v>657</v>
      </c>
      <c r="C256" s="20">
        <v>45127</v>
      </c>
      <c r="D256" s="13">
        <v>5566306</v>
      </c>
      <c r="E256" s="13" t="s">
        <v>191</v>
      </c>
      <c r="F256" s="13" t="s">
        <v>135</v>
      </c>
      <c r="G256" s="13" t="s">
        <v>192</v>
      </c>
      <c r="H256" s="17">
        <v>5211014</v>
      </c>
      <c r="I256" s="17" t="s">
        <v>38</v>
      </c>
      <c r="J256" s="14" t="s">
        <v>72</v>
      </c>
      <c r="K256" s="13">
        <v>25</v>
      </c>
      <c r="L256" s="13">
        <v>520</v>
      </c>
      <c r="M256" s="13">
        <f t="shared" si="211"/>
        <v>13000</v>
      </c>
      <c r="N256" s="20">
        <v>45128</v>
      </c>
      <c r="O256" s="13" t="s">
        <v>399</v>
      </c>
      <c r="P256" s="13" t="s">
        <v>144</v>
      </c>
      <c r="Q256" s="13" t="s">
        <v>30</v>
      </c>
      <c r="R256" s="13" t="s">
        <v>658</v>
      </c>
      <c r="S256" s="31">
        <v>241621535562</v>
      </c>
      <c r="T256" s="20">
        <v>45128</v>
      </c>
      <c r="U256" s="123"/>
      <c r="V256" s="13">
        <v>343</v>
      </c>
      <c r="W256" s="29">
        <v>45128.444444444445</v>
      </c>
      <c r="X256" s="29">
        <v>45128.5625</v>
      </c>
      <c r="Y256" s="30">
        <f t="shared" si="214"/>
        <v>0.11805555555474712</v>
      </c>
      <c r="Z256" s="29">
        <v>45128.451388888891</v>
      </c>
      <c r="AA256" s="29">
        <v>45128.555555555555</v>
      </c>
      <c r="AB256" s="30">
        <f t="shared" si="215"/>
        <v>0.10416666666424135</v>
      </c>
    </row>
    <row r="257" spans="1:28" x14ac:dyDescent="0.25">
      <c r="A257" s="12">
        <v>45108</v>
      </c>
      <c r="B257" s="123" t="s">
        <v>657</v>
      </c>
      <c r="C257" s="20">
        <v>45127</v>
      </c>
      <c r="D257" s="13">
        <v>6337848</v>
      </c>
      <c r="E257" s="13" t="s">
        <v>191</v>
      </c>
      <c r="F257" s="13" t="s">
        <v>135</v>
      </c>
      <c r="G257" s="13" t="s">
        <v>192</v>
      </c>
      <c r="H257" s="17">
        <v>5212252</v>
      </c>
      <c r="I257" s="17" t="s">
        <v>23</v>
      </c>
      <c r="J257" s="13" t="s">
        <v>312</v>
      </c>
      <c r="K257" s="13">
        <v>25</v>
      </c>
      <c r="L257" s="13">
        <v>424</v>
      </c>
      <c r="M257" s="13">
        <f t="shared" ref="M257" si="225">+L257*K257</f>
        <v>10600</v>
      </c>
      <c r="N257" s="20">
        <v>45128</v>
      </c>
      <c r="O257" s="13" t="s">
        <v>399</v>
      </c>
      <c r="P257" s="13" t="s">
        <v>144</v>
      </c>
      <c r="Q257" s="13" t="s">
        <v>30</v>
      </c>
      <c r="R257" s="13" t="s">
        <v>658</v>
      </c>
      <c r="S257" s="31">
        <v>241621535562</v>
      </c>
      <c r="T257" s="20">
        <v>45128</v>
      </c>
      <c r="U257" s="123"/>
      <c r="V257" s="13">
        <v>343</v>
      </c>
      <c r="W257" s="29">
        <v>45128.444444444445</v>
      </c>
      <c r="X257" s="29">
        <v>45128.5625</v>
      </c>
      <c r="Y257" s="30">
        <f t="shared" ref="Y257" si="226">+X257-W257</f>
        <v>0.11805555555474712</v>
      </c>
      <c r="Z257" s="29">
        <v>45128.451388888891</v>
      </c>
      <c r="AA257" s="29">
        <v>45128.555555555555</v>
      </c>
      <c r="AB257" s="30">
        <f t="shared" ref="AB257" si="227">+AA257-Z257</f>
        <v>0.10416666666424135</v>
      </c>
    </row>
    <row r="258" spans="1:28" x14ac:dyDescent="0.25">
      <c r="A258" s="12">
        <v>45108</v>
      </c>
      <c r="B258" s="123" t="s">
        <v>657</v>
      </c>
      <c r="C258" s="20">
        <v>45127</v>
      </c>
      <c r="D258" s="13">
        <v>6337848</v>
      </c>
      <c r="E258" s="13" t="s">
        <v>191</v>
      </c>
      <c r="F258" s="13" t="s">
        <v>135</v>
      </c>
      <c r="G258" s="13" t="s">
        <v>192</v>
      </c>
      <c r="H258" s="17">
        <v>5212252</v>
      </c>
      <c r="I258" s="17" t="s">
        <v>23</v>
      </c>
      <c r="J258" s="13" t="s">
        <v>438</v>
      </c>
      <c r="K258" s="13">
        <v>25</v>
      </c>
      <c r="L258" s="13">
        <v>22</v>
      </c>
      <c r="M258" s="13">
        <f t="shared" ref="M258" si="228">+L258*K258</f>
        <v>550</v>
      </c>
      <c r="N258" s="20">
        <v>45128</v>
      </c>
      <c r="O258" s="13" t="s">
        <v>399</v>
      </c>
      <c r="P258" s="13" t="s">
        <v>144</v>
      </c>
      <c r="Q258" s="13" t="s">
        <v>30</v>
      </c>
      <c r="R258" s="13" t="s">
        <v>658</v>
      </c>
      <c r="S258" s="31">
        <v>241621535562</v>
      </c>
      <c r="T258" s="20">
        <v>45128</v>
      </c>
      <c r="U258" s="123"/>
      <c r="V258" s="13">
        <v>343</v>
      </c>
      <c r="W258" s="29">
        <v>45128.444444444445</v>
      </c>
      <c r="X258" s="29">
        <v>45128.5625</v>
      </c>
      <c r="Y258" s="30">
        <f t="shared" ref="Y258" si="229">+X258-W258</f>
        <v>0.11805555555474712</v>
      </c>
      <c r="Z258" s="29">
        <v>45128.451388888891</v>
      </c>
      <c r="AA258" s="29">
        <v>45128.555555555555</v>
      </c>
      <c r="AB258" s="30">
        <f t="shared" ref="AB258" si="230">+AA258-Z258</f>
        <v>0.10416666666424135</v>
      </c>
    </row>
    <row r="259" spans="1:28" x14ac:dyDescent="0.25">
      <c r="A259" s="12">
        <v>45108</v>
      </c>
      <c r="B259" s="123" t="s">
        <v>657</v>
      </c>
      <c r="C259" s="20">
        <v>45127</v>
      </c>
      <c r="D259" s="13">
        <v>5936674</v>
      </c>
      <c r="E259" s="13" t="s">
        <v>191</v>
      </c>
      <c r="F259" s="13" t="s">
        <v>135</v>
      </c>
      <c r="G259" s="13" t="s">
        <v>192</v>
      </c>
      <c r="H259" s="17">
        <v>5212259</v>
      </c>
      <c r="I259" s="17" t="s">
        <v>26</v>
      </c>
      <c r="J259" s="13" t="s">
        <v>102</v>
      </c>
      <c r="K259" s="13">
        <v>25</v>
      </c>
      <c r="L259" s="13">
        <v>160</v>
      </c>
      <c r="M259" s="13">
        <f t="shared" ref="M259:M267" si="231">+L259*K259</f>
        <v>4000</v>
      </c>
      <c r="N259" s="20">
        <v>45128</v>
      </c>
      <c r="O259" s="13" t="s">
        <v>399</v>
      </c>
      <c r="P259" s="13" t="s">
        <v>144</v>
      </c>
      <c r="Q259" s="13" t="s">
        <v>30</v>
      </c>
      <c r="R259" s="13" t="s">
        <v>658</v>
      </c>
      <c r="S259" s="31">
        <v>241621535562</v>
      </c>
      <c r="T259" s="20">
        <v>45128</v>
      </c>
      <c r="U259" s="123"/>
      <c r="V259" s="13">
        <v>343</v>
      </c>
      <c r="W259" s="29">
        <v>45128.444444444445</v>
      </c>
      <c r="X259" s="29">
        <v>45128.5625</v>
      </c>
      <c r="Y259" s="30">
        <f t="shared" ref="Y259:Y267" si="232">+X259-W259</f>
        <v>0.11805555555474712</v>
      </c>
      <c r="Z259" s="29">
        <v>45128.451388888891</v>
      </c>
      <c r="AA259" s="29">
        <v>45128.555555555555</v>
      </c>
      <c r="AB259" s="30">
        <f t="shared" ref="AB259:AB267" si="233">+AA259-Z259</f>
        <v>0.10416666666424135</v>
      </c>
    </row>
    <row r="260" spans="1:28" x14ac:dyDescent="0.25">
      <c r="A260" s="12">
        <v>45108</v>
      </c>
      <c r="B260" s="123" t="s">
        <v>659</v>
      </c>
      <c r="C260" s="20">
        <v>45128</v>
      </c>
      <c r="D260" s="13">
        <v>6087743</v>
      </c>
      <c r="E260" s="13" t="s">
        <v>651</v>
      </c>
      <c r="F260" s="13" t="s">
        <v>215</v>
      </c>
      <c r="G260" s="13" t="s">
        <v>132</v>
      </c>
      <c r="H260" s="17">
        <v>5309040</v>
      </c>
      <c r="I260" s="17" t="s">
        <v>105</v>
      </c>
      <c r="J260" s="13" t="s">
        <v>107</v>
      </c>
      <c r="K260" s="13">
        <v>250</v>
      </c>
      <c r="L260" s="13">
        <v>36</v>
      </c>
      <c r="M260" s="13">
        <f t="shared" si="231"/>
        <v>9000</v>
      </c>
      <c r="N260" s="20">
        <v>45128</v>
      </c>
      <c r="O260" s="13" t="s">
        <v>177</v>
      </c>
      <c r="P260" s="13" t="s">
        <v>134</v>
      </c>
      <c r="Q260" s="123">
        <v>2190</v>
      </c>
      <c r="R260" s="13" t="s">
        <v>660</v>
      </c>
      <c r="S260" s="31">
        <v>291621581458</v>
      </c>
      <c r="T260" s="20">
        <v>45128</v>
      </c>
      <c r="U260" s="123"/>
      <c r="V260" s="13">
        <v>344</v>
      </c>
      <c r="W260" s="29">
        <v>45128.444444444445</v>
      </c>
      <c r="X260" s="29">
        <v>45128.513888888891</v>
      </c>
      <c r="Y260" s="30">
        <f t="shared" si="232"/>
        <v>6.9444444445252884E-2</v>
      </c>
      <c r="Z260" s="29">
        <v>45128.451388888891</v>
      </c>
      <c r="AA260" s="29">
        <v>45128.472222222219</v>
      </c>
      <c r="AB260" s="30">
        <f t="shared" si="233"/>
        <v>2.0833333328482695E-2</v>
      </c>
    </row>
    <row r="261" spans="1:28" x14ac:dyDescent="0.25">
      <c r="A261" s="12">
        <v>45108</v>
      </c>
      <c r="B261" s="123" t="s">
        <v>661</v>
      </c>
      <c r="C261" s="20">
        <v>45125</v>
      </c>
      <c r="D261" s="13">
        <v>5743118</v>
      </c>
      <c r="E261" s="13" t="s">
        <v>662</v>
      </c>
      <c r="F261" s="13" t="s">
        <v>663</v>
      </c>
      <c r="G261" s="13" t="s">
        <v>192</v>
      </c>
      <c r="H261" s="17">
        <v>5211003</v>
      </c>
      <c r="I261" s="17" t="s">
        <v>31</v>
      </c>
      <c r="J261" s="13" t="s">
        <v>85</v>
      </c>
      <c r="K261" s="13">
        <v>25</v>
      </c>
      <c r="L261" s="13">
        <v>40</v>
      </c>
      <c r="M261" s="13">
        <f t="shared" si="231"/>
        <v>1000</v>
      </c>
      <c r="N261" s="20">
        <v>45128</v>
      </c>
      <c r="O261" s="13" t="s">
        <v>186</v>
      </c>
      <c r="P261" s="13" t="s">
        <v>697</v>
      </c>
      <c r="Q261" s="123">
        <v>243327214</v>
      </c>
      <c r="R261" s="13" t="s">
        <v>664</v>
      </c>
      <c r="S261" s="31">
        <v>271621700060</v>
      </c>
      <c r="T261" s="20">
        <v>45128</v>
      </c>
      <c r="U261" s="123"/>
      <c r="V261" s="13">
        <v>345</v>
      </c>
      <c r="W261" s="29">
        <v>45128.652777777781</v>
      </c>
      <c r="X261" s="29">
        <v>45128.673611111109</v>
      </c>
      <c r="Y261" s="30">
        <f t="shared" si="232"/>
        <v>2.0833333328482695E-2</v>
      </c>
      <c r="Z261" s="29">
        <v>45128.659722222219</v>
      </c>
      <c r="AA261" s="29">
        <v>45128.666666666664</v>
      </c>
      <c r="AB261" s="30">
        <f t="shared" si="233"/>
        <v>6.9444444452528842E-3</v>
      </c>
    </row>
    <row r="262" spans="1:28" x14ac:dyDescent="0.25">
      <c r="A262" s="12">
        <v>45108</v>
      </c>
      <c r="B262" s="123" t="s">
        <v>665</v>
      </c>
      <c r="C262" s="20">
        <v>45128</v>
      </c>
      <c r="D262" s="13">
        <v>5329092</v>
      </c>
      <c r="E262" s="13" t="s">
        <v>624</v>
      </c>
      <c r="F262" s="13" t="s">
        <v>625</v>
      </c>
      <c r="G262" s="13" t="s">
        <v>132</v>
      </c>
      <c r="H262" s="123">
        <v>5230831</v>
      </c>
      <c r="I262" s="123" t="s">
        <v>35</v>
      </c>
      <c r="J262" s="14" t="s">
        <v>71</v>
      </c>
      <c r="K262" s="13">
        <v>240</v>
      </c>
      <c r="L262" s="13">
        <v>35</v>
      </c>
      <c r="M262" s="13">
        <f t="shared" si="231"/>
        <v>8400</v>
      </c>
      <c r="N262" s="20">
        <v>45128</v>
      </c>
      <c r="O262" s="13" t="s">
        <v>177</v>
      </c>
      <c r="P262" s="13" t="s">
        <v>134</v>
      </c>
      <c r="Q262" s="123">
        <v>2191</v>
      </c>
      <c r="R262" s="13" t="s">
        <v>666</v>
      </c>
      <c r="S262" s="31">
        <v>261621658849</v>
      </c>
      <c r="T262" s="20">
        <v>45128</v>
      </c>
      <c r="U262" s="123"/>
      <c r="V262" s="13">
        <v>346</v>
      </c>
      <c r="W262" s="29">
        <v>45128.611111111109</v>
      </c>
      <c r="X262" s="29">
        <v>45128.642361111109</v>
      </c>
      <c r="Y262" s="30">
        <f t="shared" si="232"/>
        <v>3.125E-2</v>
      </c>
      <c r="Z262" s="29">
        <v>45128.618055555555</v>
      </c>
      <c r="AA262" s="29">
        <v>45128.635416666664</v>
      </c>
      <c r="AB262" s="30">
        <f t="shared" si="233"/>
        <v>1.7361111109494232E-2</v>
      </c>
    </row>
    <row r="263" spans="1:28" x14ac:dyDescent="0.25">
      <c r="A263" s="12">
        <v>45108</v>
      </c>
      <c r="B263" s="123" t="s">
        <v>667</v>
      </c>
      <c r="C263" s="20">
        <v>45127</v>
      </c>
      <c r="D263" s="13">
        <v>5329092</v>
      </c>
      <c r="E263" s="13" t="s">
        <v>175</v>
      </c>
      <c r="F263" s="13" t="s">
        <v>176</v>
      </c>
      <c r="G263" s="13" t="s">
        <v>132</v>
      </c>
      <c r="H263" s="123">
        <v>5230831</v>
      </c>
      <c r="I263" s="123" t="s">
        <v>35</v>
      </c>
      <c r="J263" s="14" t="s">
        <v>71</v>
      </c>
      <c r="K263" s="13">
        <v>240</v>
      </c>
      <c r="L263" s="13">
        <v>30</v>
      </c>
      <c r="M263" s="13">
        <f t="shared" si="231"/>
        <v>7200</v>
      </c>
      <c r="N263" s="20">
        <v>45129</v>
      </c>
      <c r="O263" s="13" t="s">
        <v>177</v>
      </c>
      <c r="P263" s="13" t="s">
        <v>144</v>
      </c>
      <c r="Q263" s="123" t="s">
        <v>30</v>
      </c>
      <c r="R263" s="13" t="s">
        <v>590</v>
      </c>
      <c r="S263" s="31">
        <v>231622157247</v>
      </c>
      <c r="T263" s="20">
        <v>45129</v>
      </c>
      <c r="U263" s="123"/>
      <c r="V263" s="13">
        <v>347</v>
      </c>
      <c r="W263" s="29">
        <v>45129.378472222219</v>
      </c>
      <c r="X263" s="29">
        <v>45129.40625</v>
      </c>
      <c r="Y263" s="30">
        <f t="shared" si="232"/>
        <v>2.7777777781011537E-2</v>
      </c>
      <c r="Z263" s="29">
        <v>45129.385416666664</v>
      </c>
      <c r="AA263" s="29">
        <v>45129.399305555555</v>
      </c>
      <c r="AB263" s="30">
        <f t="shared" si="233"/>
        <v>1.3888888890505768E-2</v>
      </c>
    </row>
    <row r="264" spans="1:28" x14ac:dyDescent="0.25">
      <c r="A264" s="12">
        <v>45108</v>
      </c>
      <c r="B264" s="123" t="s">
        <v>668</v>
      </c>
      <c r="C264" s="20">
        <v>45128</v>
      </c>
      <c r="D264" s="13">
        <v>6337848</v>
      </c>
      <c r="E264" s="13" t="s">
        <v>385</v>
      </c>
      <c r="F264" s="13" t="s">
        <v>386</v>
      </c>
      <c r="G264" s="13" t="s">
        <v>192</v>
      </c>
      <c r="H264" s="17">
        <v>5212252</v>
      </c>
      <c r="I264" s="17" t="s">
        <v>23</v>
      </c>
      <c r="J264" s="13" t="s">
        <v>438</v>
      </c>
      <c r="K264" s="13">
        <v>25</v>
      </c>
      <c r="L264" s="13">
        <v>137</v>
      </c>
      <c r="M264" s="13">
        <f t="shared" si="231"/>
        <v>3425</v>
      </c>
      <c r="N264" s="20">
        <v>45129</v>
      </c>
      <c r="O264" s="13" t="s">
        <v>399</v>
      </c>
      <c r="P264" s="13" t="s">
        <v>144</v>
      </c>
      <c r="Q264" s="123" t="s">
        <v>30</v>
      </c>
      <c r="R264" s="13" t="s">
        <v>669</v>
      </c>
      <c r="S264" s="31">
        <v>211622117232</v>
      </c>
      <c r="T264" s="20">
        <v>45129</v>
      </c>
      <c r="U264" s="123"/>
      <c r="V264" s="13">
        <v>348</v>
      </c>
      <c r="W264" s="29">
        <v>45129.465277777781</v>
      </c>
      <c r="X264" s="29">
        <v>45129.583333333336</v>
      </c>
      <c r="Y264" s="30">
        <f t="shared" si="232"/>
        <v>0.11805555555474712</v>
      </c>
      <c r="Z264" s="29">
        <v>45129.472222222219</v>
      </c>
      <c r="AA264" s="29">
        <v>45129.576388888891</v>
      </c>
      <c r="AB264" s="30">
        <f t="shared" si="233"/>
        <v>0.10416666667151731</v>
      </c>
    </row>
    <row r="265" spans="1:28" x14ac:dyDescent="0.25">
      <c r="A265" s="12">
        <v>45108</v>
      </c>
      <c r="B265" s="123" t="s">
        <v>668</v>
      </c>
      <c r="C265" s="20">
        <v>45128</v>
      </c>
      <c r="D265" s="13">
        <v>6337848</v>
      </c>
      <c r="E265" s="13" t="s">
        <v>385</v>
      </c>
      <c r="F265" s="13" t="s">
        <v>386</v>
      </c>
      <c r="G265" s="13" t="s">
        <v>192</v>
      </c>
      <c r="H265" s="17">
        <v>5212252</v>
      </c>
      <c r="I265" s="17" t="s">
        <v>23</v>
      </c>
      <c r="J265" s="13" t="s">
        <v>365</v>
      </c>
      <c r="K265" s="13">
        <v>25</v>
      </c>
      <c r="L265" s="13">
        <v>496</v>
      </c>
      <c r="M265" s="13">
        <f t="shared" ref="M265:M266" si="234">+L265*K265</f>
        <v>12400</v>
      </c>
      <c r="N265" s="20">
        <v>45129</v>
      </c>
      <c r="O265" s="13" t="s">
        <v>399</v>
      </c>
      <c r="P265" s="13" t="s">
        <v>144</v>
      </c>
      <c r="Q265" s="123" t="s">
        <v>30</v>
      </c>
      <c r="R265" s="13" t="s">
        <v>669</v>
      </c>
      <c r="S265" s="31">
        <v>211622117232</v>
      </c>
      <c r="T265" s="20">
        <v>45129</v>
      </c>
      <c r="U265" s="123"/>
      <c r="V265" s="13">
        <v>348</v>
      </c>
      <c r="W265" s="29">
        <v>45129.465277777781</v>
      </c>
      <c r="X265" s="29">
        <v>45129.583333333336</v>
      </c>
      <c r="Y265" s="30">
        <f t="shared" ref="Y265:Y266" si="235">+X265-W265</f>
        <v>0.11805555555474712</v>
      </c>
      <c r="Z265" s="29">
        <v>45129.472222222219</v>
      </c>
      <c r="AA265" s="29">
        <v>45129.576388888891</v>
      </c>
      <c r="AB265" s="30">
        <f t="shared" ref="AB265:AB266" si="236">+AA265-Z265</f>
        <v>0.10416666667151731</v>
      </c>
    </row>
    <row r="266" spans="1:28" x14ac:dyDescent="0.25">
      <c r="A266" s="12">
        <v>45108</v>
      </c>
      <c r="B266" s="123" t="s">
        <v>668</v>
      </c>
      <c r="C266" s="20">
        <v>45128</v>
      </c>
      <c r="D266" s="13">
        <v>6622739</v>
      </c>
      <c r="E266" s="13" t="s">
        <v>385</v>
      </c>
      <c r="F266" s="13" t="s">
        <v>386</v>
      </c>
      <c r="G266" s="13" t="s">
        <v>192</v>
      </c>
      <c r="H266" s="17">
        <v>5212252</v>
      </c>
      <c r="I266" s="17" t="s">
        <v>23</v>
      </c>
      <c r="J266" s="13" t="s">
        <v>559</v>
      </c>
      <c r="K266" s="13">
        <v>25</v>
      </c>
      <c r="L266" s="13">
        <v>567</v>
      </c>
      <c r="M266" s="13">
        <f t="shared" si="234"/>
        <v>14175</v>
      </c>
      <c r="N266" s="20">
        <v>45129</v>
      </c>
      <c r="O266" s="13" t="s">
        <v>399</v>
      </c>
      <c r="P266" s="13" t="s">
        <v>144</v>
      </c>
      <c r="Q266" s="123" t="s">
        <v>30</v>
      </c>
      <c r="R266" s="13" t="s">
        <v>669</v>
      </c>
      <c r="S266" s="31">
        <v>211622117232</v>
      </c>
      <c r="T266" s="20">
        <v>45129</v>
      </c>
      <c r="U266" s="123"/>
      <c r="V266" s="13">
        <v>348</v>
      </c>
      <c r="W266" s="29">
        <v>45129.465277777781</v>
      </c>
      <c r="X266" s="29">
        <v>45129.583333333336</v>
      </c>
      <c r="Y266" s="30">
        <f t="shared" si="235"/>
        <v>0.11805555555474712</v>
      </c>
      <c r="Z266" s="29">
        <v>45129.472222222219</v>
      </c>
      <c r="AA266" s="29">
        <v>45129.576388888891</v>
      </c>
      <c r="AB266" s="30">
        <f t="shared" si="236"/>
        <v>0.10416666667151731</v>
      </c>
    </row>
    <row r="267" spans="1:28" x14ac:dyDescent="0.25">
      <c r="A267" s="12">
        <v>45108</v>
      </c>
      <c r="B267" s="123" t="s">
        <v>670</v>
      </c>
      <c r="C267" s="20">
        <v>45128</v>
      </c>
      <c r="D267" s="13">
        <v>2045923</v>
      </c>
      <c r="E267" s="13" t="s">
        <v>523</v>
      </c>
      <c r="F267" s="13" t="s">
        <v>524</v>
      </c>
      <c r="G267" s="13" t="s">
        <v>192</v>
      </c>
      <c r="H267" s="17">
        <v>5300098</v>
      </c>
      <c r="I267" s="17" t="s">
        <v>25</v>
      </c>
      <c r="J267" s="123" t="s">
        <v>30</v>
      </c>
      <c r="K267" s="13">
        <v>25</v>
      </c>
      <c r="L267" s="13">
        <v>10</v>
      </c>
      <c r="M267" s="13">
        <f t="shared" si="231"/>
        <v>250</v>
      </c>
      <c r="N267" s="20">
        <v>45129</v>
      </c>
      <c r="O267" s="13" t="s">
        <v>399</v>
      </c>
      <c r="P267" s="13" t="s">
        <v>134</v>
      </c>
      <c r="Q267" s="13">
        <v>2192</v>
      </c>
      <c r="R267" s="13" t="s">
        <v>671</v>
      </c>
      <c r="S267" s="31">
        <v>211622132417</v>
      </c>
      <c r="T267" s="20">
        <v>45129</v>
      </c>
      <c r="U267" s="123"/>
      <c r="V267" s="13">
        <v>349</v>
      </c>
      <c r="W267" s="29">
        <v>45129.524305555555</v>
      </c>
      <c r="X267" s="29">
        <v>45129.659722222219</v>
      </c>
      <c r="Y267" s="30">
        <f t="shared" si="232"/>
        <v>0.13541666666424135</v>
      </c>
      <c r="Z267" s="29">
        <v>45129.53125</v>
      </c>
      <c r="AA267" s="29">
        <v>45129.652777777781</v>
      </c>
      <c r="AB267" s="30">
        <f t="shared" si="233"/>
        <v>0.12152777778101154</v>
      </c>
    </row>
    <row r="268" spans="1:28" x14ac:dyDescent="0.25">
      <c r="A268" s="12">
        <v>45108</v>
      </c>
      <c r="B268" s="123" t="s">
        <v>670</v>
      </c>
      <c r="C268" s="20">
        <v>45128</v>
      </c>
      <c r="D268" s="13">
        <v>4274263</v>
      </c>
      <c r="E268" s="13" t="s">
        <v>523</v>
      </c>
      <c r="F268" s="13" t="s">
        <v>524</v>
      </c>
      <c r="G268" s="13" t="s">
        <v>192</v>
      </c>
      <c r="H268" s="17">
        <v>5210935</v>
      </c>
      <c r="I268" s="17" t="s">
        <v>44</v>
      </c>
      <c r="J268" s="13" t="s">
        <v>46</v>
      </c>
      <c r="K268" s="13">
        <v>25</v>
      </c>
      <c r="L268" s="13">
        <v>284</v>
      </c>
      <c r="M268" s="13">
        <f t="shared" ref="M268:M272" si="237">+L268*K268</f>
        <v>7100</v>
      </c>
      <c r="N268" s="20">
        <v>45129</v>
      </c>
      <c r="O268" s="13" t="s">
        <v>399</v>
      </c>
      <c r="P268" s="13" t="s">
        <v>134</v>
      </c>
      <c r="Q268" s="13">
        <v>2192</v>
      </c>
      <c r="R268" s="13" t="s">
        <v>671</v>
      </c>
      <c r="S268" s="31">
        <v>211622132417</v>
      </c>
      <c r="T268" s="20">
        <v>45129</v>
      </c>
      <c r="U268" s="123"/>
      <c r="V268" s="13">
        <v>349</v>
      </c>
      <c r="W268" s="29">
        <v>45129.524305555555</v>
      </c>
      <c r="X268" s="29">
        <v>45129.659722222219</v>
      </c>
      <c r="Y268" s="30">
        <f t="shared" ref="Y268:Y269" si="238">+X268-W268</f>
        <v>0.13541666666424135</v>
      </c>
      <c r="Z268" s="29">
        <v>45129.53125</v>
      </c>
      <c r="AA268" s="29">
        <v>45129.652777777781</v>
      </c>
      <c r="AB268" s="30">
        <f t="shared" ref="AB268:AB269" si="239">+AA268-Z268</f>
        <v>0.12152777778101154</v>
      </c>
    </row>
    <row r="269" spans="1:28" x14ac:dyDescent="0.25">
      <c r="A269" s="12">
        <v>45108</v>
      </c>
      <c r="B269" s="123" t="s">
        <v>670</v>
      </c>
      <c r="C269" s="20">
        <v>45128</v>
      </c>
      <c r="D269" s="13">
        <v>2071005</v>
      </c>
      <c r="E269" s="13" t="s">
        <v>523</v>
      </c>
      <c r="F269" s="13" t="s">
        <v>524</v>
      </c>
      <c r="G269" s="13" t="s">
        <v>192</v>
      </c>
      <c r="H269" s="17">
        <v>5212256</v>
      </c>
      <c r="I269" s="17" t="s">
        <v>22</v>
      </c>
      <c r="J269" s="123" t="s">
        <v>30</v>
      </c>
      <c r="K269" s="13">
        <v>25</v>
      </c>
      <c r="L269" s="13">
        <v>39</v>
      </c>
      <c r="M269" s="13">
        <f t="shared" si="237"/>
        <v>975</v>
      </c>
      <c r="N269" s="20">
        <v>45129</v>
      </c>
      <c r="O269" s="13" t="s">
        <v>399</v>
      </c>
      <c r="P269" s="13" t="s">
        <v>134</v>
      </c>
      <c r="Q269" s="13">
        <v>2192</v>
      </c>
      <c r="R269" s="13" t="s">
        <v>671</v>
      </c>
      <c r="S269" s="31">
        <v>211622132417</v>
      </c>
      <c r="T269" s="20">
        <v>45129</v>
      </c>
      <c r="U269" s="123"/>
      <c r="V269" s="13">
        <v>349</v>
      </c>
      <c r="W269" s="29">
        <v>45129.524305555555</v>
      </c>
      <c r="X269" s="29">
        <v>45129.659722222219</v>
      </c>
      <c r="Y269" s="30">
        <f t="shared" si="238"/>
        <v>0.13541666666424135</v>
      </c>
      <c r="Z269" s="29">
        <v>45129.53125</v>
      </c>
      <c r="AA269" s="29">
        <v>45129.652777777781</v>
      </c>
      <c r="AB269" s="30">
        <f t="shared" si="239"/>
        <v>0.12152777778101154</v>
      </c>
    </row>
    <row r="270" spans="1:28" x14ac:dyDescent="0.25">
      <c r="A270" s="12">
        <v>45108</v>
      </c>
      <c r="B270" s="123" t="s">
        <v>670</v>
      </c>
      <c r="C270" s="20">
        <v>45128</v>
      </c>
      <c r="D270" s="13">
        <v>5512760</v>
      </c>
      <c r="E270" s="13" t="s">
        <v>523</v>
      </c>
      <c r="F270" s="13" t="s">
        <v>524</v>
      </c>
      <c r="G270" s="13" t="s">
        <v>192</v>
      </c>
      <c r="H270" s="17">
        <v>5212256</v>
      </c>
      <c r="I270" s="17" t="s">
        <v>22</v>
      </c>
      <c r="J270" s="13" t="s">
        <v>74</v>
      </c>
      <c r="K270" s="13">
        <v>25</v>
      </c>
      <c r="L270" s="13">
        <v>467</v>
      </c>
      <c r="M270" s="13">
        <f t="shared" ref="M270" si="240">+L270*K270</f>
        <v>11675</v>
      </c>
      <c r="N270" s="20">
        <v>45129</v>
      </c>
      <c r="O270" s="13" t="s">
        <v>399</v>
      </c>
      <c r="P270" s="13" t="s">
        <v>134</v>
      </c>
      <c r="Q270" s="13">
        <v>2192</v>
      </c>
      <c r="R270" s="13" t="s">
        <v>671</v>
      </c>
      <c r="S270" s="31">
        <v>211622132417</v>
      </c>
      <c r="T270" s="20">
        <v>45129</v>
      </c>
      <c r="U270" s="123"/>
      <c r="V270" s="13">
        <v>349</v>
      </c>
      <c r="W270" s="29">
        <v>45129.524305555555</v>
      </c>
      <c r="X270" s="29">
        <v>45129.659722222219</v>
      </c>
      <c r="Y270" s="30">
        <f t="shared" ref="Y270" si="241">+X270-W270</f>
        <v>0.13541666666424135</v>
      </c>
      <c r="Z270" s="29">
        <v>45129.53125</v>
      </c>
      <c r="AA270" s="29">
        <v>45129.652777777781</v>
      </c>
      <c r="AB270" s="30">
        <f t="shared" ref="AB270" si="242">+AA270-Z270</f>
        <v>0.12152777778101154</v>
      </c>
    </row>
    <row r="271" spans="1:28" x14ac:dyDescent="0.25">
      <c r="A271" s="12">
        <v>45108</v>
      </c>
      <c r="B271" s="123" t="s">
        <v>672</v>
      </c>
      <c r="C271" s="20">
        <v>45128</v>
      </c>
      <c r="D271" s="13">
        <v>6416249</v>
      </c>
      <c r="E271" s="13" t="s">
        <v>673</v>
      </c>
      <c r="F271" s="13" t="s">
        <v>524</v>
      </c>
      <c r="G271" s="13" t="s">
        <v>192</v>
      </c>
      <c r="H271" s="17">
        <v>5210162</v>
      </c>
      <c r="I271" s="17" t="s">
        <v>24</v>
      </c>
      <c r="J271" s="13" t="s">
        <v>376</v>
      </c>
      <c r="K271" s="13">
        <v>25</v>
      </c>
      <c r="L271" s="13">
        <v>240</v>
      </c>
      <c r="M271" s="13">
        <f t="shared" si="237"/>
        <v>6000</v>
      </c>
      <c r="N271" s="20">
        <v>45129</v>
      </c>
      <c r="O271" s="13" t="s">
        <v>399</v>
      </c>
      <c r="P271" s="13" t="s">
        <v>134</v>
      </c>
      <c r="Q271" s="13">
        <v>2193</v>
      </c>
      <c r="R271" s="13" t="s">
        <v>671</v>
      </c>
      <c r="S271" s="31">
        <v>241622133419</v>
      </c>
      <c r="T271" s="20">
        <v>45129</v>
      </c>
      <c r="U271" s="123"/>
      <c r="V271" s="13">
        <v>349</v>
      </c>
      <c r="W271" s="29">
        <v>45129.524305555555</v>
      </c>
      <c r="X271" s="29">
        <v>45129.659722222219</v>
      </c>
      <c r="Y271" s="30">
        <f t="shared" ref="Y271:Y272" si="243">+X271-W271</f>
        <v>0.13541666666424135</v>
      </c>
      <c r="Z271" s="29">
        <v>45129.53125</v>
      </c>
      <c r="AA271" s="29">
        <v>45129.652777777781</v>
      </c>
      <c r="AB271" s="30">
        <f t="shared" ref="AB271:AB272" si="244">+AA271-Z271</f>
        <v>0.12152777778101154</v>
      </c>
    </row>
    <row r="272" spans="1:28" x14ac:dyDescent="0.25">
      <c r="A272" s="12">
        <v>45108</v>
      </c>
      <c r="B272" s="123" t="s">
        <v>674</v>
      </c>
      <c r="C272" s="20">
        <v>45129</v>
      </c>
      <c r="D272" s="13">
        <v>6622739</v>
      </c>
      <c r="E272" s="13" t="s">
        <v>523</v>
      </c>
      <c r="F272" s="13" t="s">
        <v>524</v>
      </c>
      <c r="G272" s="13" t="s">
        <v>192</v>
      </c>
      <c r="H272" s="17">
        <v>5212252</v>
      </c>
      <c r="I272" s="17" t="s">
        <v>23</v>
      </c>
      <c r="J272" s="13" t="s">
        <v>559</v>
      </c>
      <c r="K272" s="13">
        <v>25</v>
      </c>
      <c r="L272" s="13">
        <v>1113</v>
      </c>
      <c r="M272" s="13">
        <f t="shared" si="237"/>
        <v>27825</v>
      </c>
      <c r="N272" s="20">
        <v>45129</v>
      </c>
      <c r="O272" s="13" t="s">
        <v>399</v>
      </c>
      <c r="P272" s="13" t="s">
        <v>144</v>
      </c>
      <c r="Q272" s="123" t="s">
        <v>30</v>
      </c>
      <c r="R272" s="13" t="s">
        <v>675</v>
      </c>
      <c r="S272" s="31">
        <v>231622185970</v>
      </c>
      <c r="T272" s="20">
        <v>45129</v>
      </c>
      <c r="U272" s="123"/>
      <c r="V272" s="13">
        <v>350</v>
      </c>
      <c r="W272" s="29">
        <v>45129.5</v>
      </c>
      <c r="X272" s="29">
        <v>45129.743055555555</v>
      </c>
      <c r="Y272" s="30">
        <f t="shared" si="243"/>
        <v>0.24305555555474712</v>
      </c>
      <c r="Z272" s="29">
        <v>45129.625</v>
      </c>
      <c r="AA272" s="29">
        <v>45129.736111111109</v>
      </c>
      <c r="AB272" s="30">
        <f t="shared" si="244"/>
        <v>0.11111111110949423</v>
      </c>
    </row>
    <row r="273" spans="1:28" x14ac:dyDescent="0.25">
      <c r="A273" s="12">
        <v>45108</v>
      </c>
      <c r="B273" s="123" t="s">
        <v>674</v>
      </c>
      <c r="C273" s="20">
        <v>45129</v>
      </c>
      <c r="D273" s="13">
        <v>6622739</v>
      </c>
      <c r="E273" s="13" t="s">
        <v>523</v>
      </c>
      <c r="F273" s="13" t="s">
        <v>524</v>
      </c>
      <c r="G273" s="13" t="s">
        <v>192</v>
      </c>
      <c r="H273" s="17">
        <v>5212252</v>
      </c>
      <c r="I273" s="17" t="s">
        <v>23</v>
      </c>
      <c r="J273" s="13" t="s">
        <v>562</v>
      </c>
      <c r="K273" s="13">
        <v>25</v>
      </c>
      <c r="L273" s="13">
        <v>18</v>
      </c>
      <c r="M273" s="13">
        <f t="shared" ref="M273:M283" si="245">+L273*K273</f>
        <v>450</v>
      </c>
      <c r="N273" s="20">
        <v>45129</v>
      </c>
      <c r="O273" s="13" t="s">
        <v>399</v>
      </c>
      <c r="P273" s="13" t="s">
        <v>144</v>
      </c>
      <c r="Q273" s="123" t="s">
        <v>30</v>
      </c>
      <c r="R273" s="13" t="s">
        <v>675</v>
      </c>
      <c r="S273" s="31">
        <v>231622185970</v>
      </c>
      <c r="T273" s="20">
        <v>45129</v>
      </c>
      <c r="U273" s="123"/>
      <c r="V273" s="13">
        <v>350</v>
      </c>
      <c r="W273" s="29">
        <v>45129.5</v>
      </c>
      <c r="X273" s="29">
        <v>45129.743055555555</v>
      </c>
      <c r="Y273" s="30">
        <f t="shared" ref="Y273:Y282" si="246">+X273-W273</f>
        <v>0.24305555555474712</v>
      </c>
      <c r="Z273" s="29">
        <v>45129.625</v>
      </c>
      <c r="AA273" s="29">
        <v>45129.736111111109</v>
      </c>
      <c r="AB273" s="30">
        <f t="shared" ref="AB273:AB282" si="247">+AA273-Z273</f>
        <v>0.11111111110949423</v>
      </c>
    </row>
    <row r="274" spans="1:28" x14ac:dyDescent="0.25">
      <c r="A274" s="12">
        <v>45108</v>
      </c>
      <c r="B274" s="123" t="s">
        <v>674</v>
      </c>
      <c r="C274" s="20">
        <v>45129</v>
      </c>
      <c r="D274" s="13">
        <v>6622739</v>
      </c>
      <c r="E274" s="13" t="s">
        <v>523</v>
      </c>
      <c r="F274" s="13" t="s">
        <v>524</v>
      </c>
      <c r="G274" s="13" t="s">
        <v>192</v>
      </c>
      <c r="H274" s="17">
        <v>5212252</v>
      </c>
      <c r="I274" s="17" t="s">
        <v>23</v>
      </c>
      <c r="J274" s="13" t="s">
        <v>560</v>
      </c>
      <c r="K274" s="13">
        <v>25</v>
      </c>
      <c r="L274" s="13">
        <v>69</v>
      </c>
      <c r="M274" s="13">
        <f t="shared" si="245"/>
        <v>1725</v>
      </c>
      <c r="N274" s="20">
        <v>45129</v>
      </c>
      <c r="O274" s="13" t="s">
        <v>399</v>
      </c>
      <c r="P274" s="13" t="s">
        <v>144</v>
      </c>
      <c r="Q274" s="123" t="s">
        <v>30</v>
      </c>
      <c r="R274" s="13" t="s">
        <v>675</v>
      </c>
      <c r="S274" s="31">
        <v>231622185970</v>
      </c>
      <c r="T274" s="20">
        <v>45129</v>
      </c>
      <c r="U274" s="123"/>
      <c r="V274" s="13">
        <v>350</v>
      </c>
      <c r="W274" s="29">
        <v>45129.5</v>
      </c>
      <c r="X274" s="29">
        <v>45129.743055555555</v>
      </c>
      <c r="Y274" s="30">
        <f t="shared" si="246"/>
        <v>0.24305555555474712</v>
      </c>
      <c r="Z274" s="29">
        <v>45129.625</v>
      </c>
      <c r="AA274" s="29">
        <v>45129.736111111109</v>
      </c>
      <c r="AB274" s="30">
        <f t="shared" si="247"/>
        <v>0.11111111110949423</v>
      </c>
    </row>
    <row r="275" spans="1:28" x14ac:dyDescent="0.25">
      <c r="A275" s="12">
        <v>45108</v>
      </c>
      <c r="B275" s="123" t="s">
        <v>676</v>
      </c>
      <c r="C275" s="20">
        <v>45131</v>
      </c>
      <c r="D275" s="13">
        <v>5329092</v>
      </c>
      <c r="E275" s="13" t="s">
        <v>624</v>
      </c>
      <c r="F275" s="13" t="s">
        <v>625</v>
      </c>
      <c r="G275" s="13" t="s">
        <v>132</v>
      </c>
      <c r="H275" s="123">
        <v>5230831</v>
      </c>
      <c r="I275" s="123" t="s">
        <v>35</v>
      </c>
      <c r="J275" s="14" t="s">
        <v>71</v>
      </c>
      <c r="K275" s="13">
        <v>240</v>
      </c>
      <c r="L275" s="13">
        <v>30</v>
      </c>
      <c r="M275" s="13">
        <f t="shared" si="245"/>
        <v>7200</v>
      </c>
      <c r="N275" s="20">
        <v>45131</v>
      </c>
      <c r="O275" s="13" t="s">
        <v>589</v>
      </c>
      <c r="P275" s="13" t="s">
        <v>134</v>
      </c>
      <c r="Q275" s="123">
        <v>2194</v>
      </c>
      <c r="R275" s="13" t="s">
        <v>677</v>
      </c>
      <c r="S275" s="31">
        <v>281622800247</v>
      </c>
      <c r="T275" s="20">
        <v>45131</v>
      </c>
      <c r="U275" s="123"/>
      <c r="V275" s="13">
        <v>351</v>
      </c>
      <c r="W275" s="29">
        <v>45131.59375</v>
      </c>
      <c r="X275" s="29">
        <v>45131.621527777781</v>
      </c>
      <c r="Y275" s="30">
        <f t="shared" si="246"/>
        <v>2.7777777781011537E-2</v>
      </c>
      <c r="Z275" s="29">
        <v>45131.600694444445</v>
      </c>
      <c r="AA275" s="29">
        <v>45131.614583333336</v>
      </c>
      <c r="AB275" s="30">
        <f t="shared" si="247"/>
        <v>1.3888888890505768E-2</v>
      </c>
    </row>
    <row r="276" spans="1:28" x14ac:dyDescent="0.25">
      <c r="A276" s="12">
        <v>45108</v>
      </c>
      <c r="B276" s="123" t="s">
        <v>678</v>
      </c>
      <c r="C276" s="20">
        <v>45131</v>
      </c>
      <c r="D276" s="13">
        <v>6087743</v>
      </c>
      <c r="E276" s="13" t="s">
        <v>679</v>
      </c>
      <c r="F276" s="13" t="s">
        <v>680</v>
      </c>
      <c r="G276" s="13" t="s">
        <v>132</v>
      </c>
      <c r="H276" s="17">
        <v>5309040</v>
      </c>
      <c r="I276" s="17" t="s">
        <v>105</v>
      </c>
      <c r="J276" s="13" t="s">
        <v>107</v>
      </c>
      <c r="K276" s="13">
        <v>250</v>
      </c>
      <c r="L276" s="13">
        <v>40</v>
      </c>
      <c r="M276" s="13">
        <f t="shared" si="245"/>
        <v>10000</v>
      </c>
      <c r="N276" s="20">
        <v>45132</v>
      </c>
      <c r="O276" s="13" t="s">
        <v>136</v>
      </c>
      <c r="P276" s="13" t="s">
        <v>144</v>
      </c>
      <c r="Q276" s="13" t="s">
        <v>30</v>
      </c>
      <c r="R276" s="13" t="s">
        <v>681</v>
      </c>
      <c r="S276" s="31">
        <v>261623156888</v>
      </c>
      <c r="T276" s="20">
        <v>45132</v>
      </c>
      <c r="U276" s="123"/>
      <c r="V276" s="13">
        <v>352</v>
      </c>
      <c r="W276" s="29">
        <v>45132.465277777781</v>
      </c>
      <c r="X276" s="29">
        <v>45132.5</v>
      </c>
      <c r="Y276" s="30">
        <f t="shared" si="246"/>
        <v>3.4722222218988463E-2</v>
      </c>
      <c r="Z276" s="29">
        <v>45132.472222222219</v>
      </c>
      <c r="AA276" s="29">
        <v>45132.493055555555</v>
      </c>
      <c r="AB276" s="30">
        <f t="shared" si="247"/>
        <v>2.0833333335758653E-2</v>
      </c>
    </row>
    <row r="277" spans="1:28" x14ac:dyDescent="0.25">
      <c r="A277" s="12">
        <v>45108</v>
      </c>
      <c r="B277" s="123" t="s">
        <v>682</v>
      </c>
      <c r="C277" s="20">
        <v>45131</v>
      </c>
      <c r="D277" s="13">
        <v>6087743</v>
      </c>
      <c r="E277" s="13" t="s">
        <v>679</v>
      </c>
      <c r="F277" s="13" t="s">
        <v>680</v>
      </c>
      <c r="G277" s="13" t="s">
        <v>132</v>
      </c>
      <c r="H277" s="17">
        <v>5309040</v>
      </c>
      <c r="I277" s="17" t="s">
        <v>105</v>
      </c>
      <c r="J277" s="13" t="s">
        <v>107</v>
      </c>
      <c r="K277" s="13">
        <v>250</v>
      </c>
      <c r="L277" s="13">
        <v>40</v>
      </c>
      <c r="M277" s="13">
        <f t="shared" si="245"/>
        <v>10000</v>
      </c>
      <c r="N277" s="20">
        <v>45132</v>
      </c>
      <c r="O277" s="13" t="s">
        <v>136</v>
      </c>
      <c r="P277" s="13" t="s">
        <v>144</v>
      </c>
      <c r="Q277" s="13" t="s">
        <v>30</v>
      </c>
      <c r="R277" s="13" t="s">
        <v>683</v>
      </c>
      <c r="S277" s="31">
        <v>291623281048</v>
      </c>
      <c r="T277" s="20">
        <v>45132</v>
      </c>
      <c r="U277" s="123"/>
      <c r="V277" s="13">
        <v>353</v>
      </c>
      <c r="W277" s="29">
        <v>45132.611111111109</v>
      </c>
      <c r="X277" s="29">
        <v>45132.649305555555</v>
      </c>
      <c r="Y277" s="30">
        <f t="shared" si="246"/>
        <v>3.8194444445252884E-2</v>
      </c>
      <c r="Z277" s="29">
        <v>45132.618055555555</v>
      </c>
      <c r="AA277" s="29">
        <v>45132.642361111109</v>
      </c>
      <c r="AB277" s="30">
        <f t="shared" si="247"/>
        <v>2.4305555554747116E-2</v>
      </c>
    </row>
    <row r="278" spans="1:28" x14ac:dyDescent="0.25">
      <c r="A278" s="12">
        <v>45108</v>
      </c>
      <c r="B278" s="123" t="s">
        <v>684</v>
      </c>
      <c r="C278" s="20">
        <v>45132</v>
      </c>
      <c r="D278" s="13">
        <v>6622739</v>
      </c>
      <c r="E278" s="13" t="s">
        <v>191</v>
      </c>
      <c r="F278" s="13" t="s">
        <v>135</v>
      </c>
      <c r="G278" s="13" t="s">
        <v>192</v>
      </c>
      <c r="H278" s="17">
        <v>5212252</v>
      </c>
      <c r="I278" s="17" t="s">
        <v>23</v>
      </c>
      <c r="J278" s="13" t="s">
        <v>560</v>
      </c>
      <c r="K278" s="13">
        <v>25</v>
      </c>
      <c r="L278" s="13">
        <v>200</v>
      </c>
      <c r="M278" s="13">
        <f t="shared" si="245"/>
        <v>5000</v>
      </c>
      <c r="N278" s="20">
        <v>45132</v>
      </c>
      <c r="O278" s="13" t="s">
        <v>259</v>
      </c>
      <c r="P278" s="13" t="s">
        <v>144</v>
      </c>
      <c r="Q278" s="13" t="s">
        <v>30</v>
      </c>
      <c r="R278" s="13" t="s">
        <v>685</v>
      </c>
      <c r="S278" s="31">
        <v>271623291760</v>
      </c>
      <c r="T278" s="20">
        <v>45132</v>
      </c>
      <c r="U278" s="123"/>
      <c r="V278" s="13">
        <v>354</v>
      </c>
      <c r="W278" s="29">
        <v>45132.583333333336</v>
      </c>
      <c r="X278" s="29">
        <v>45132.697916666664</v>
      </c>
      <c r="Y278" s="30">
        <f t="shared" si="246"/>
        <v>0.11458333332848269</v>
      </c>
      <c r="Z278" s="29">
        <v>45132.666666666664</v>
      </c>
      <c r="AA278" s="29">
        <v>45132.690972222219</v>
      </c>
      <c r="AB278" s="30">
        <f t="shared" si="247"/>
        <v>2.4305555554747116E-2</v>
      </c>
    </row>
    <row r="279" spans="1:28" x14ac:dyDescent="0.25">
      <c r="A279" s="12">
        <v>45108</v>
      </c>
      <c r="B279" s="123" t="s">
        <v>686</v>
      </c>
      <c r="C279" s="20">
        <v>45132</v>
      </c>
      <c r="D279" s="13">
        <v>5329092</v>
      </c>
      <c r="E279" s="13" t="s">
        <v>196</v>
      </c>
      <c r="F279" s="13" t="s">
        <v>197</v>
      </c>
      <c r="G279" s="13" t="s">
        <v>132</v>
      </c>
      <c r="H279" s="123">
        <v>5230831</v>
      </c>
      <c r="I279" s="123" t="s">
        <v>35</v>
      </c>
      <c r="J279" s="14" t="s">
        <v>71</v>
      </c>
      <c r="K279" s="13">
        <v>240</v>
      </c>
      <c r="L279" s="13">
        <v>40</v>
      </c>
      <c r="M279" s="13">
        <f t="shared" si="245"/>
        <v>9600</v>
      </c>
      <c r="N279" s="20">
        <v>45132</v>
      </c>
      <c r="O279" s="13" t="s">
        <v>136</v>
      </c>
      <c r="P279" s="13" t="s">
        <v>144</v>
      </c>
      <c r="Q279" s="13" t="s">
        <v>30</v>
      </c>
      <c r="R279" s="13" t="s">
        <v>265</v>
      </c>
      <c r="S279" s="31">
        <v>221623411219</v>
      </c>
      <c r="T279" s="20">
        <v>45132</v>
      </c>
      <c r="U279" s="123"/>
      <c r="V279" s="13">
        <v>355</v>
      </c>
      <c r="W279" s="29">
        <v>45132.694444444445</v>
      </c>
      <c r="X279" s="29">
        <v>45132.736111111109</v>
      </c>
      <c r="Y279" s="30">
        <f t="shared" si="246"/>
        <v>4.1666666664241347E-2</v>
      </c>
      <c r="Z279" s="29">
        <v>45132.701388888891</v>
      </c>
      <c r="AA279" s="29">
        <v>45132.729166666664</v>
      </c>
      <c r="AB279" s="30">
        <f t="shared" si="247"/>
        <v>2.7777777773735579E-2</v>
      </c>
    </row>
    <row r="280" spans="1:28" x14ac:dyDescent="0.25">
      <c r="A280" s="12">
        <v>45108</v>
      </c>
      <c r="B280" s="123" t="s">
        <v>687</v>
      </c>
      <c r="C280" s="20">
        <v>45131</v>
      </c>
      <c r="D280" s="13">
        <v>5329092</v>
      </c>
      <c r="E280" s="13" t="s">
        <v>679</v>
      </c>
      <c r="F280" s="13" t="s">
        <v>680</v>
      </c>
      <c r="G280" s="13" t="s">
        <v>132</v>
      </c>
      <c r="H280" s="123">
        <v>5230831</v>
      </c>
      <c r="I280" s="123" t="s">
        <v>35</v>
      </c>
      <c r="J280" s="14" t="s">
        <v>71</v>
      </c>
      <c r="K280" s="13">
        <v>240</v>
      </c>
      <c r="L280" s="13">
        <v>20</v>
      </c>
      <c r="M280" s="13">
        <f t="shared" si="245"/>
        <v>4800</v>
      </c>
      <c r="N280" s="20">
        <v>45132</v>
      </c>
      <c r="O280" s="13" t="s">
        <v>259</v>
      </c>
      <c r="P280" s="13" t="s">
        <v>144</v>
      </c>
      <c r="Q280" s="13" t="s">
        <v>30</v>
      </c>
      <c r="R280" s="13" t="s">
        <v>688</v>
      </c>
      <c r="S280" s="31">
        <v>261623380982</v>
      </c>
      <c r="T280" s="20">
        <v>45132</v>
      </c>
      <c r="U280" s="123"/>
      <c r="V280" s="13">
        <v>356</v>
      </c>
      <c r="W280" s="29">
        <v>45132.659722222219</v>
      </c>
      <c r="X280" s="29">
        <v>45132.6875</v>
      </c>
      <c r="Y280" s="30">
        <f t="shared" si="246"/>
        <v>2.7777777781011537E-2</v>
      </c>
      <c r="Z280" s="29">
        <v>45132.666666666664</v>
      </c>
      <c r="AA280" s="29">
        <v>45132.680555555555</v>
      </c>
      <c r="AB280" s="30">
        <f t="shared" si="247"/>
        <v>1.3888888890505768E-2</v>
      </c>
    </row>
    <row r="281" spans="1:28" x14ac:dyDescent="0.25">
      <c r="A281" s="12">
        <v>45108</v>
      </c>
      <c r="B281" s="123" t="s">
        <v>689</v>
      </c>
      <c r="C281" s="20">
        <v>45132</v>
      </c>
      <c r="D281" s="13">
        <v>5806656</v>
      </c>
      <c r="E281" s="13" t="s">
        <v>579</v>
      </c>
      <c r="F281" s="13" t="s">
        <v>215</v>
      </c>
      <c r="G281" s="13" t="s">
        <v>132</v>
      </c>
      <c r="H281" s="123">
        <v>5230831</v>
      </c>
      <c r="I281" s="123" t="s">
        <v>35</v>
      </c>
      <c r="J281" s="14" t="s">
        <v>89</v>
      </c>
      <c r="K281" s="13">
        <v>240</v>
      </c>
      <c r="L281" s="13">
        <v>20</v>
      </c>
      <c r="M281" s="13">
        <f t="shared" si="245"/>
        <v>4800</v>
      </c>
      <c r="N281" s="20">
        <v>45132</v>
      </c>
      <c r="O281" s="13" t="s">
        <v>259</v>
      </c>
      <c r="P281" s="13" t="s">
        <v>134</v>
      </c>
      <c r="Q281" s="123">
        <v>2155</v>
      </c>
      <c r="R281" s="13" t="s">
        <v>690</v>
      </c>
      <c r="S281" s="31">
        <v>281623406635</v>
      </c>
      <c r="T281" s="20">
        <v>45132</v>
      </c>
      <c r="U281" s="123"/>
      <c r="V281" s="13">
        <v>357</v>
      </c>
      <c r="W281" s="29">
        <v>45132.71875</v>
      </c>
      <c r="X281" s="29">
        <v>45132.743055555555</v>
      </c>
      <c r="Y281" s="30">
        <f t="shared" si="246"/>
        <v>2.4305555554747116E-2</v>
      </c>
      <c r="Z281" s="29">
        <v>45132.725694444445</v>
      </c>
      <c r="AA281" s="29">
        <v>45132.743055555555</v>
      </c>
      <c r="AB281" s="30">
        <f t="shared" si="247"/>
        <v>1.7361111109494232E-2</v>
      </c>
    </row>
    <row r="282" spans="1:28" x14ac:dyDescent="0.25">
      <c r="A282" s="12">
        <v>45108</v>
      </c>
      <c r="B282" s="123" t="s">
        <v>691</v>
      </c>
      <c r="C282" s="20">
        <v>45132</v>
      </c>
      <c r="D282" s="13">
        <v>5936674</v>
      </c>
      <c r="E282" s="13" t="s">
        <v>692</v>
      </c>
      <c r="F282" s="13" t="s">
        <v>386</v>
      </c>
      <c r="G282" s="13" t="s">
        <v>192</v>
      </c>
      <c r="H282" s="17">
        <v>5210933</v>
      </c>
      <c r="I282" s="17" t="s">
        <v>21</v>
      </c>
      <c r="J282" s="13" t="s">
        <v>90</v>
      </c>
      <c r="K282" s="13">
        <v>25</v>
      </c>
      <c r="L282" s="13">
        <v>200</v>
      </c>
      <c r="M282" s="13">
        <f t="shared" si="245"/>
        <v>5000</v>
      </c>
      <c r="N282" s="20">
        <v>45133</v>
      </c>
      <c r="O282" s="13" t="s">
        <v>259</v>
      </c>
      <c r="P282" s="13" t="s">
        <v>144</v>
      </c>
      <c r="Q282" s="13" t="s">
        <v>30</v>
      </c>
      <c r="R282" s="13" t="s">
        <v>693</v>
      </c>
      <c r="S282" s="31">
        <v>211623676266</v>
      </c>
      <c r="T282" s="20">
        <v>45133</v>
      </c>
      <c r="U282" s="123"/>
      <c r="V282" s="13">
        <v>358</v>
      </c>
      <c r="W282" s="29">
        <v>45133.434027777781</v>
      </c>
      <c r="X282" s="29">
        <v>45133.461805555555</v>
      </c>
      <c r="Y282" s="30">
        <f t="shared" si="246"/>
        <v>2.7777777773735579E-2</v>
      </c>
      <c r="Z282" s="29">
        <v>45133.440972222219</v>
      </c>
      <c r="AA282" s="29">
        <v>45133.454861111109</v>
      </c>
      <c r="AB282" s="30">
        <f t="shared" si="247"/>
        <v>1.3888888890505768E-2</v>
      </c>
    </row>
    <row r="283" spans="1:28" x14ac:dyDescent="0.25">
      <c r="A283" s="12">
        <v>45108</v>
      </c>
      <c r="B283" s="123" t="s">
        <v>694</v>
      </c>
      <c r="C283" s="20">
        <v>45133</v>
      </c>
      <c r="D283" s="13">
        <v>6238187</v>
      </c>
      <c r="E283" s="13" t="s">
        <v>471</v>
      </c>
      <c r="F283" s="13" t="s">
        <v>472</v>
      </c>
      <c r="G283" s="13" t="s">
        <v>192</v>
      </c>
      <c r="H283" s="17">
        <v>5205497</v>
      </c>
      <c r="I283" s="17" t="str">
        <f>VLOOKUP(H283,[1]MASTER!$A:$B,2,0)</f>
        <v>PVC-WH800-Premium-Bag-25KG</v>
      </c>
      <c r="J283" s="13">
        <v>1230192062</v>
      </c>
      <c r="K283" s="13">
        <v>25</v>
      </c>
      <c r="L283" s="13">
        <v>1020</v>
      </c>
      <c r="M283" s="13">
        <f t="shared" si="245"/>
        <v>25500</v>
      </c>
      <c r="N283" s="20">
        <v>45133</v>
      </c>
      <c r="O283" s="13" t="s">
        <v>30</v>
      </c>
      <c r="P283" s="13" t="s">
        <v>30</v>
      </c>
      <c r="Q283" s="13" t="s">
        <v>30</v>
      </c>
      <c r="R283" s="13" t="s">
        <v>30</v>
      </c>
      <c r="S283" s="31">
        <v>271623958287</v>
      </c>
      <c r="T283" s="20">
        <v>45133</v>
      </c>
      <c r="U283" s="125" t="s">
        <v>695</v>
      </c>
      <c r="V283" s="13">
        <v>359</v>
      </c>
      <c r="W283" s="29" t="s">
        <v>30</v>
      </c>
      <c r="X283" s="123" t="s">
        <v>30</v>
      </c>
      <c r="Y283" s="123" t="s">
        <v>30</v>
      </c>
      <c r="Z283" s="13" t="s">
        <v>30</v>
      </c>
      <c r="AA283" s="13" t="s">
        <v>30</v>
      </c>
      <c r="AB283" s="13" t="s">
        <v>30</v>
      </c>
    </row>
    <row r="284" spans="1:28" x14ac:dyDescent="0.25">
      <c r="A284" s="12">
        <v>45108</v>
      </c>
      <c r="B284" s="123" t="s">
        <v>694</v>
      </c>
      <c r="C284" s="20">
        <v>45133</v>
      </c>
      <c r="D284" s="13">
        <v>6238187</v>
      </c>
      <c r="E284" s="13" t="s">
        <v>471</v>
      </c>
      <c r="F284" s="13" t="s">
        <v>472</v>
      </c>
      <c r="G284" s="13" t="s">
        <v>192</v>
      </c>
      <c r="H284" s="17">
        <v>5205497</v>
      </c>
      <c r="I284" s="17" t="str">
        <f>VLOOKUP(H284,[1]MASTER!$A:$B,2,0)</f>
        <v>PVC-WH800-Premium-Bag-25KG</v>
      </c>
      <c r="J284" s="13">
        <v>1230192762</v>
      </c>
      <c r="K284" s="13">
        <v>25</v>
      </c>
      <c r="L284" s="13">
        <v>60</v>
      </c>
      <c r="M284" s="13">
        <f t="shared" ref="M284:M285" si="248">+L284*K284</f>
        <v>1500</v>
      </c>
      <c r="N284" s="20">
        <v>45133</v>
      </c>
      <c r="O284" s="13" t="s">
        <v>30</v>
      </c>
      <c r="P284" s="13" t="s">
        <v>30</v>
      </c>
      <c r="Q284" s="13" t="s">
        <v>30</v>
      </c>
      <c r="R284" s="13" t="s">
        <v>30</v>
      </c>
      <c r="S284" s="31">
        <v>271623958287</v>
      </c>
      <c r="T284" s="20">
        <v>45133</v>
      </c>
      <c r="U284" s="125"/>
      <c r="V284" s="13">
        <v>359</v>
      </c>
      <c r="W284" s="29" t="s">
        <v>30</v>
      </c>
      <c r="X284" s="123" t="s">
        <v>30</v>
      </c>
      <c r="Y284" s="123" t="s">
        <v>30</v>
      </c>
      <c r="Z284" s="13" t="s">
        <v>30</v>
      </c>
      <c r="AA284" s="13" t="s">
        <v>30</v>
      </c>
      <c r="AB284" s="13" t="s">
        <v>30</v>
      </c>
    </row>
    <row r="285" spans="1:28" x14ac:dyDescent="0.25">
      <c r="A285" s="12">
        <v>45108</v>
      </c>
      <c r="B285" s="123" t="s">
        <v>694</v>
      </c>
      <c r="C285" s="20">
        <v>45133</v>
      </c>
      <c r="D285" s="13">
        <v>6238187</v>
      </c>
      <c r="E285" s="13" t="s">
        <v>471</v>
      </c>
      <c r="F285" s="13" t="s">
        <v>472</v>
      </c>
      <c r="G285" s="13" t="s">
        <v>192</v>
      </c>
      <c r="H285" s="17">
        <v>5205497</v>
      </c>
      <c r="I285" s="17" t="str">
        <f>VLOOKUP(H285,[1]MASTER!$A:$B,2,0)</f>
        <v>PVC-WH800-Premium-Bag-25KG</v>
      </c>
      <c r="J285" s="13">
        <v>1230192062</v>
      </c>
      <c r="K285" s="13">
        <v>25</v>
      </c>
      <c r="L285" s="13">
        <v>120</v>
      </c>
      <c r="M285" s="13">
        <f t="shared" si="248"/>
        <v>3000</v>
      </c>
      <c r="N285" s="20">
        <v>45133</v>
      </c>
      <c r="O285" s="13" t="s">
        <v>30</v>
      </c>
      <c r="P285" s="13" t="s">
        <v>30</v>
      </c>
      <c r="Q285" s="13" t="s">
        <v>30</v>
      </c>
      <c r="R285" s="13" t="s">
        <v>30</v>
      </c>
      <c r="S285" s="31">
        <v>271623958287</v>
      </c>
      <c r="T285" s="20">
        <v>45133</v>
      </c>
      <c r="U285" s="125"/>
      <c r="V285" s="13">
        <v>359</v>
      </c>
      <c r="W285" s="29" t="s">
        <v>30</v>
      </c>
      <c r="X285" s="123" t="s">
        <v>30</v>
      </c>
      <c r="Y285" s="123" t="s">
        <v>30</v>
      </c>
      <c r="Z285" s="13" t="s">
        <v>30</v>
      </c>
      <c r="AA285" s="13" t="s">
        <v>30</v>
      </c>
      <c r="AB285" s="13" t="s">
        <v>30</v>
      </c>
    </row>
    <row r="286" spans="1:28" x14ac:dyDescent="0.25">
      <c r="A286" s="12">
        <v>45108</v>
      </c>
      <c r="B286" s="123" t="s">
        <v>694</v>
      </c>
      <c r="C286" s="20">
        <v>45133</v>
      </c>
      <c r="D286" s="13">
        <v>6238187</v>
      </c>
      <c r="E286" s="13" t="s">
        <v>471</v>
      </c>
      <c r="F286" s="13" t="s">
        <v>472</v>
      </c>
      <c r="G286" s="13" t="s">
        <v>192</v>
      </c>
      <c r="H286" s="17">
        <v>5205497</v>
      </c>
      <c r="I286" s="17" t="str">
        <f>VLOOKUP(H286,[1]MASTER!$A:$B,2,0)</f>
        <v>PVC-WH800-Premium-Bag-25KG</v>
      </c>
      <c r="J286" s="13">
        <v>1230192062</v>
      </c>
      <c r="K286" s="13">
        <v>25</v>
      </c>
      <c r="L286" s="13">
        <v>120</v>
      </c>
      <c r="M286" s="13">
        <f t="shared" ref="M286:M288" si="249">+L286*K286</f>
        <v>3000</v>
      </c>
      <c r="N286" s="20">
        <v>45133</v>
      </c>
      <c r="O286" s="13" t="s">
        <v>30</v>
      </c>
      <c r="P286" s="13" t="s">
        <v>30</v>
      </c>
      <c r="Q286" s="13" t="s">
        <v>30</v>
      </c>
      <c r="R286" s="13" t="s">
        <v>30</v>
      </c>
      <c r="S286" s="31">
        <v>271623958287</v>
      </c>
      <c r="T286" s="20">
        <v>45133</v>
      </c>
      <c r="U286" s="123" t="s">
        <v>696</v>
      </c>
      <c r="V286" s="13">
        <v>359</v>
      </c>
      <c r="W286" s="29" t="s">
        <v>30</v>
      </c>
      <c r="X286" s="123" t="s">
        <v>30</v>
      </c>
      <c r="Y286" s="123" t="s">
        <v>30</v>
      </c>
      <c r="Z286" s="13" t="s">
        <v>30</v>
      </c>
      <c r="AA286" s="13" t="s">
        <v>30</v>
      </c>
      <c r="AB286" s="13" t="s">
        <v>30</v>
      </c>
    </row>
    <row r="287" spans="1:28" x14ac:dyDescent="0.25">
      <c r="A287" s="12">
        <v>45108</v>
      </c>
      <c r="B287" s="123" t="s">
        <v>698</v>
      </c>
      <c r="C287" s="20">
        <v>45133</v>
      </c>
      <c r="D287" s="13">
        <v>6416249</v>
      </c>
      <c r="E287" s="13" t="s">
        <v>395</v>
      </c>
      <c r="F287" s="13" t="s">
        <v>396</v>
      </c>
      <c r="G287" s="13" t="s">
        <v>192</v>
      </c>
      <c r="H287" s="17">
        <v>5210162</v>
      </c>
      <c r="I287" s="17" t="s">
        <v>24</v>
      </c>
      <c r="J287" s="13" t="s">
        <v>376</v>
      </c>
      <c r="K287" s="13">
        <v>25</v>
      </c>
      <c r="L287" s="13">
        <v>160</v>
      </c>
      <c r="M287" s="13">
        <f t="shared" si="249"/>
        <v>4000</v>
      </c>
      <c r="N287" s="20">
        <v>45134</v>
      </c>
      <c r="O287" s="13" t="s">
        <v>699</v>
      </c>
      <c r="P287" s="13" t="s">
        <v>144</v>
      </c>
      <c r="Q287" s="13" t="s">
        <v>30</v>
      </c>
      <c r="R287" s="13" t="s">
        <v>408</v>
      </c>
      <c r="S287" s="13" t="s">
        <v>30</v>
      </c>
      <c r="T287" s="20">
        <v>45134</v>
      </c>
      <c r="U287" s="123"/>
      <c r="V287" s="13">
        <v>360</v>
      </c>
      <c r="W287" s="29">
        <v>45134.583333333336</v>
      </c>
      <c r="X287" s="29">
        <v>45134.607638888891</v>
      </c>
      <c r="Y287" s="30">
        <f t="shared" ref="Y287:Y288" si="250">+X287-W287</f>
        <v>2.4305555554747116E-2</v>
      </c>
      <c r="Z287" s="29">
        <v>45134.590277777781</v>
      </c>
      <c r="AA287" s="29">
        <v>45134.600694444445</v>
      </c>
      <c r="AB287" s="30">
        <f t="shared" ref="AB287:AB288" si="251">+AA287-Z287</f>
        <v>1.0416666664241347E-2</v>
      </c>
    </row>
    <row r="288" spans="1:28" x14ac:dyDescent="0.25">
      <c r="A288" s="12">
        <v>45108</v>
      </c>
      <c r="B288" s="123" t="s">
        <v>700</v>
      </c>
      <c r="C288" s="20">
        <v>45133</v>
      </c>
      <c r="D288" s="13">
        <v>6416249</v>
      </c>
      <c r="E288" s="13" t="s">
        <v>385</v>
      </c>
      <c r="F288" s="13" t="s">
        <v>386</v>
      </c>
      <c r="G288" s="13" t="s">
        <v>192</v>
      </c>
      <c r="H288" s="17">
        <v>5210162</v>
      </c>
      <c r="I288" s="17" t="s">
        <v>24</v>
      </c>
      <c r="J288" s="13" t="s">
        <v>376</v>
      </c>
      <c r="K288" s="13">
        <v>25</v>
      </c>
      <c r="L288" s="13">
        <v>99</v>
      </c>
      <c r="M288" s="13">
        <f t="shared" si="249"/>
        <v>2475</v>
      </c>
      <c r="N288" s="20">
        <v>45134</v>
      </c>
      <c r="O288" s="13" t="s">
        <v>298</v>
      </c>
      <c r="P288" s="13" t="s">
        <v>144</v>
      </c>
      <c r="Q288" s="13" t="s">
        <v>30</v>
      </c>
      <c r="R288" s="13" t="s">
        <v>701</v>
      </c>
      <c r="S288" s="31">
        <v>261624356531</v>
      </c>
      <c r="T288" s="20">
        <v>45134</v>
      </c>
      <c r="U288" s="123"/>
      <c r="V288" s="13">
        <v>361</v>
      </c>
      <c r="W288" s="29">
        <v>45134.659722222219</v>
      </c>
      <c r="X288" s="29">
        <v>45134.704861111109</v>
      </c>
      <c r="Y288" s="30">
        <f t="shared" si="250"/>
        <v>4.5138888890505768E-2</v>
      </c>
      <c r="Z288" s="29">
        <v>45134.673611111109</v>
      </c>
      <c r="AA288" s="29">
        <v>45134.697916666664</v>
      </c>
      <c r="AB288" s="30">
        <f t="shared" si="251"/>
        <v>2.4305555554747116E-2</v>
      </c>
    </row>
    <row r="289" spans="1:28" x14ac:dyDescent="0.25">
      <c r="A289" s="12">
        <v>45108</v>
      </c>
      <c r="B289" s="123" t="s">
        <v>700</v>
      </c>
      <c r="C289" s="20">
        <v>45133</v>
      </c>
      <c r="D289" s="13">
        <v>6335852</v>
      </c>
      <c r="E289" s="13" t="s">
        <v>385</v>
      </c>
      <c r="F289" s="13" t="s">
        <v>386</v>
      </c>
      <c r="G289" s="13" t="s">
        <v>192</v>
      </c>
      <c r="H289" s="17">
        <v>5210162</v>
      </c>
      <c r="I289" s="17" t="s">
        <v>24</v>
      </c>
      <c r="J289" s="13" t="s">
        <v>376</v>
      </c>
      <c r="K289" s="13">
        <v>25</v>
      </c>
      <c r="L289" s="13">
        <v>141</v>
      </c>
      <c r="M289" s="13">
        <f t="shared" ref="M289:M291" si="252">+L289*K289</f>
        <v>3525</v>
      </c>
      <c r="N289" s="20">
        <v>45134</v>
      </c>
      <c r="O289" s="13" t="s">
        <v>298</v>
      </c>
      <c r="P289" s="13" t="s">
        <v>144</v>
      </c>
      <c r="Q289" s="13" t="s">
        <v>30</v>
      </c>
      <c r="R289" s="13" t="s">
        <v>701</v>
      </c>
      <c r="S289" s="31">
        <v>261624356531</v>
      </c>
      <c r="T289" s="20">
        <v>45134</v>
      </c>
      <c r="U289" s="123"/>
      <c r="V289" s="13">
        <v>361</v>
      </c>
      <c r="W289" s="29">
        <v>45134.659722222219</v>
      </c>
      <c r="X289" s="29">
        <v>45134.704861111109</v>
      </c>
      <c r="Y289" s="30">
        <f t="shared" ref="Y289:Y291" si="253">+X289-W289</f>
        <v>4.5138888890505768E-2</v>
      </c>
      <c r="Z289" s="29">
        <v>45134.673611111109</v>
      </c>
      <c r="AA289" s="29">
        <v>45134.697916666664</v>
      </c>
      <c r="AB289" s="30">
        <f t="shared" ref="AB289:AB291" si="254">+AA289-Z289</f>
        <v>2.4305555554747116E-2</v>
      </c>
    </row>
    <row r="290" spans="1:28" x14ac:dyDescent="0.25">
      <c r="A290" s="12">
        <v>45108</v>
      </c>
      <c r="B290" s="123" t="s">
        <v>705</v>
      </c>
      <c r="C290" s="20">
        <v>45135</v>
      </c>
      <c r="D290" s="13">
        <v>5806656</v>
      </c>
      <c r="E290" s="13" t="s">
        <v>196</v>
      </c>
      <c r="F290" s="13" t="s">
        <v>197</v>
      </c>
      <c r="G290" s="13" t="s">
        <v>132</v>
      </c>
      <c r="H290" s="123">
        <v>5230831</v>
      </c>
      <c r="I290" s="123" t="s">
        <v>35</v>
      </c>
      <c r="J290" s="14" t="s">
        <v>89</v>
      </c>
      <c r="K290" s="13">
        <v>240</v>
      </c>
      <c r="L290" s="13">
        <v>40</v>
      </c>
      <c r="M290" s="13">
        <f t="shared" si="252"/>
        <v>9600</v>
      </c>
      <c r="N290" s="20">
        <v>45135</v>
      </c>
      <c r="O290" s="13" t="s">
        <v>136</v>
      </c>
      <c r="P290" s="13" t="s">
        <v>144</v>
      </c>
      <c r="Q290" s="13" t="s">
        <v>30</v>
      </c>
      <c r="R290" s="13" t="s">
        <v>265</v>
      </c>
      <c r="S290" s="31">
        <v>211624808657</v>
      </c>
      <c r="T290" s="20">
        <v>45135</v>
      </c>
      <c r="U290" s="123"/>
      <c r="V290" s="13">
        <v>362</v>
      </c>
      <c r="W290" s="29">
        <v>45135.618055555555</v>
      </c>
      <c r="X290" s="29">
        <v>45135.652777777781</v>
      </c>
      <c r="Y290" s="30">
        <f t="shared" si="253"/>
        <v>3.4722222226264421E-2</v>
      </c>
      <c r="Z290" s="29">
        <v>45135.628472222219</v>
      </c>
      <c r="AA290" s="29">
        <v>45135.642361111109</v>
      </c>
      <c r="AB290" s="30">
        <f t="shared" si="254"/>
        <v>1.3888888890505768E-2</v>
      </c>
    </row>
    <row r="291" spans="1:28" x14ac:dyDescent="0.25">
      <c r="A291" s="12">
        <v>45108</v>
      </c>
      <c r="B291" s="123" t="s">
        <v>706</v>
      </c>
      <c r="C291" s="20">
        <v>45135</v>
      </c>
      <c r="D291" s="13">
        <v>6622739</v>
      </c>
      <c r="E291" s="13" t="s">
        <v>420</v>
      </c>
      <c r="F291" s="13" t="s">
        <v>423</v>
      </c>
      <c r="G291" s="13" t="s">
        <v>192</v>
      </c>
      <c r="H291" s="17">
        <v>5212252</v>
      </c>
      <c r="I291" s="17" t="s">
        <v>23</v>
      </c>
      <c r="J291" s="13" t="s">
        <v>560</v>
      </c>
      <c r="K291" s="13">
        <v>25</v>
      </c>
      <c r="L291" s="13">
        <v>113</v>
      </c>
      <c r="M291" s="13">
        <f t="shared" si="252"/>
        <v>2825</v>
      </c>
      <c r="N291" s="20">
        <v>45135</v>
      </c>
      <c r="O291" s="13" t="s">
        <v>399</v>
      </c>
      <c r="P291" s="13" t="s">
        <v>134</v>
      </c>
      <c r="Q291" s="123">
        <v>2195</v>
      </c>
      <c r="R291" s="13" t="s">
        <v>707</v>
      </c>
      <c r="S291" s="31">
        <v>251624799382</v>
      </c>
      <c r="T291" s="20">
        <v>45135</v>
      </c>
      <c r="U291" s="123"/>
      <c r="V291" s="13">
        <v>363</v>
      </c>
      <c r="W291" s="29">
        <v>45135.416666666664</v>
      </c>
      <c r="X291" s="29">
        <v>45135.5625</v>
      </c>
      <c r="Y291" s="30">
        <f t="shared" si="253"/>
        <v>0.14583333333575865</v>
      </c>
      <c r="Z291" s="29">
        <v>45135.423611111109</v>
      </c>
      <c r="AA291" s="29">
        <v>45135.548611111109</v>
      </c>
      <c r="AB291" s="30">
        <f t="shared" si="254"/>
        <v>0.125</v>
      </c>
    </row>
    <row r="292" spans="1:28" x14ac:dyDescent="0.25">
      <c r="A292" s="12">
        <v>45108</v>
      </c>
      <c r="B292" s="123" t="s">
        <v>706</v>
      </c>
      <c r="C292" s="20">
        <v>45135</v>
      </c>
      <c r="D292" s="13">
        <v>6624548</v>
      </c>
      <c r="E292" s="13" t="s">
        <v>420</v>
      </c>
      <c r="F292" s="13" t="s">
        <v>423</v>
      </c>
      <c r="G292" s="13" t="s">
        <v>192</v>
      </c>
      <c r="H292" s="17">
        <v>5212252</v>
      </c>
      <c r="I292" s="17" t="s">
        <v>23</v>
      </c>
      <c r="J292" s="13" t="s">
        <v>601</v>
      </c>
      <c r="K292" s="13">
        <v>25</v>
      </c>
      <c r="L292" s="13">
        <f>1200-113</f>
        <v>1087</v>
      </c>
      <c r="M292" s="13">
        <f t="shared" ref="M292:M293" si="255">+L292*K292</f>
        <v>27175</v>
      </c>
      <c r="N292" s="20">
        <v>45135</v>
      </c>
      <c r="O292" s="13" t="s">
        <v>399</v>
      </c>
      <c r="P292" s="13" t="s">
        <v>134</v>
      </c>
      <c r="Q292" s="123">
        <v>2195</v>
      </c>
      <c r="R292" s="13" t="s">
        <v>707</v>
      </c>
      <c r="S292" s="31">
        <v>251624799382</v>
      </c>
      <c r="T292" s="20">
        <v>45135</v>
      </c>
      <c r="U292" s="123"/>
      <c r="V292" s="13">
        <v>363</v>
      </c>
      <c r="W292" s="29">
        <v>45135.416666666664</v>
      </c>
      <c r="X292" s="29">
        <v>45135.5625</v>
      </c>
      <c r="Y292" s="30">
        <f t="shared" ref="Y292:Y293" si="256">+X292-W292</f>
        <v>0.14583333333575865</v>
      </c>
      <c r="Z292" s="29">
        <v>45135.423611111109</v>
      </c>
      <c r="AA292" s="29">
        <v>45135.548611111109</v>
      </c>
      <c r="AB292" s="30">
        <f t="shared" ref="AB292:AB293" si="257">+AA292-Z292</f>
        <v>0.125</v>
      </c>
    </row>
    <row r="293" spans="1:28" x14ac:dyDescent="0.25">
      <c r="A293" s="12">
        <v>45108</v>
      </c>
      <c r="B293" s="123" t="s">
        <v>718</v>
      </c>
      <c r="C293" s="20">
        <v>45134</v>
      </c>
      <c r="D293" s="13">
        <v>6624548</v>
      </c>
      <c r="E293" s="13" t="s">
        <v>191</v>
      </c>
      <c r="F293" s="13" t="s">
        <v>135</v>
      </c>
      <c r="G293" s="13" t="s">
        <v>192</v>
      </c>
      <c r="H293" s="17">
        <v>5212252</v>
      </c>
      <c r="I293" s="17" t="s">
        <v>23</v>
      </c>
      <c r="J293" s="13" t="s">
        <v>601</v>
      </c>
      <c r="K293" s="13">
        <v>25</v>
      </c>
      <c r="L293" s="13">
        <v>74</v>
      </c>
      <c r="M293" s="13">
        <f t="shared" si="255"/>
        <v>1850</v>
      </c>
      <c r="N293" s="20">
        <v>45136</v>
      </c>
      <c r="O293" s="13" t="s">
        <v>719</v>
      </c>
      <c r="P293" s="13" t="s">
        <v>144</v>
      </c>
      <c r="Q293" s="13" t="s">
        <v>30</v>
      </c>
      <c r="R293" s="13" t="s">
        <v>180</v>
      </c>
      <c r="S293" s="31">
        <v>211625160150</v>
      </c>
      <c r="T293" s="20">
        <v>45136</v>
      </c>
      <c r="U293" s="123"/>
      <c r="V293" s="13">
        <v>364</v>
      </c>
      <c r="W293" s="29">
        <v>45136.454861111109</v>
      </c>
      <c r="X293" s="29">
        <v>45136.489583333336</v>
      </c>
      <c r="Y293" s="30">
        <f t="shared" si="256"/>
        <v>3.4722222226264421E-2</v>
      </c>
      <c r="Z293" s="29">
        <v>45136.461805555555</v>
      </c>
      <c r="AA293" s="29">
        <v>45136.482638888891</v>
      </c>
      <c r="AB293" s="30">
        <f t="shared" si="257"/>
        <v>2.0833333335758653E-2</v>
      </c>
    </row>
    <row r="294" spans="1:28" x14ac:dyDescent="0.25">
      <c r="A294" s="12">
        <v>45108</v>
      </c>
      <c r="B294" s="123" t="s">
        <v>718</v>
      </c>
      <c r="C294" s="20">
        <v>45134</v>
      </c>
      <c r="D294" s="13">
        <v>5936674</v>
      </c>
      <c r="E294" s="13" t="s">
        <v>191</v>
      </c>
      <c r="F294" s="13" t="s">
        <v>135</v>
      </c>
      <c r="G294" s="13" t="s">
        <v>192</v>
      </c>
      <c r="H294" s="17">
        <v>5212259</v>
      </c>
      <c r="I294" s="17" t="s">
        <v>26</v>
      </c>
      <c r="J294" s="13" t="s">
        <v>102</v>
      </c>
      <c r="K294" s="13">
        <v>25</v>
      </c>
      <c r="L294" s="13">
        <v>40</v>
      </c>
      <c r="M294" s="13">
        <f t="shared" ref="M294" si="258">+L294*K294</f>
        <v>1000</v>
      </c>
      <c r="N294" s="20">
        <v>45136</v>
      </c>
      <c r="O294" s="13" t="s">
        <v>719</v>
      </c>
      <c r="P294" s="13" t="s">
        <v>144</v>
      </c>
      <c r="Q294" s="13" t="s">
        <v>30</v>
      </c>
      <c r="R294" s="13" t="s">
        <v>180</v>
      </c>
      <c r="S294" s="31">
        <v>211625160150</v>
      </c>
      <c r="T294" s="20">
        <v>45136</v>
      </c>
      <c r="U294" s="123"/>
      <c r="V294" s="13">
        <v>364</v>
      </c>
      <c r="W294" s="29">
        <v>45136.454861111109</v>
      </c>
      <c r="X294" s="29">
        <v>45136.489583333336</v>
      </c>
      <c r="Y294" s="30">
        <f t="shared" ref="Y294" si="259">+X294-W294</f>
        <v>3.4722222226264421E-2</v>
      </c>
      <c r="Z294" s="29">
        <v>45136.461805555555</v>
      </c>
      <c r="AA294" s="29">
        <v>45136.482638888891</v>
      </c>
      <c r="AB294" s="30">
        <f t="shared" ref="AB294" si="260">+AA294-Z294</f>
        <v>2.0833333335758653E-2</v>
      </c>
    </row>
    <row r="295" spans="1:28" x14ac:dyDescent="0.25">
      <c r="A295" s="12">
        <v>45108</v>
      </c>
      <c r="B295" s="123" t="s">
        <v>718</v>
      </c>
      <c r="C295" s="20">
        <v>45134</v>
      </c>
      <c r="D295" s="13">
        <v>4605823</v>
      </c>
      <c r="E295" s="13" t="s">
        <v>191</v>
      </c>
      <c r="F295" s="13" t="s">
        <v>135</v>
      </c>
      <c r="G295" s="13" t="s">
        <v>192</v>
      </c>
      <c r="H295" s="17">
        <v>5210451</v>
      </c>
      <c r="I295" s="17" t="s">
        <v>29</v>
      </c>
      <c r="J295" s="13" t="s">
        <v>48</v>
      </c>
      <c r="K295" s="13">
        <v>25</v>
      </c>
      <c r="L295" s="13">
        <v>40</v>
      </c>
      <c r="M295" s="13">
        <f t="shared" ref="M295:M313" si="261">+L295*K295</f>
        <v>1000</v>
      </c>
      <c r="N295" s="20">
        <v>45136</v>
      </c>
      <c r="O295" s="13" t="s">
        <v>719</v>
      </c>
      <c r="P295" s="13" t="s">
        <v>144</v>
      </c>
      <c r="Q295" s="13" t="s">
        <v>30</v>
      </c>
      <c r="R295" s="13" t="s">
        <v>180</v>
      </c>
      <c r="S295" s="31">
        <v>211625160150</v>
      </c>
      <c r="T295" s="20">
        <v>45136</v>
      </c>
      <c r="U295" s="123"/>
      <c r="V295" s="13">
        <v>364</v>
      </c>
      <c r="W295" s="29">
        <v>45136.454861111109</v>
      </c>
      <c r="X295" s="29">
        <v>45136.489583333336</v>
      </c>
      <c r="Y295" s="30">
        <f t="shared" ref="Y295" si="262">+X295-W295</f>
        <v>3.4722222226264421E-2</v>
      </c>
      <c r="Z295" s="29">
        <v>45136.461805555555</v>
      </c>
      <c r="AA295" s="29">
        <v>45136.482638888891</v>
      </c>
      <c r="AB295" s="30">
        <f t="shared" ref="AB295" si="263">+AA295-Z295</f>
        <v>2.0833333335758653E-2</v>
      </c>
    </row>
    <row r="296" spans="1:28" x14ac:dyDescent="0.25">
      <c r="A296" s="12">
        <v>45108</v>
      </c>
      <c r="B296" s="123" t="s">
        <v>720</v>
      </c>
      <c r="C296" s="20">
        <v>45135</v>
      </c>
      <c r="D296" s="13">
        <v>5936674</v>
      </c>
      <c r="E296" s="13" t="s">
        <v>191</v>
      </c>
      <c r="F296" s="13" t="s">
        <v>135</v>
      </c>
      <c r="G296" s="13" t="s">
        <v>192</v>
      </c>
      <c r="H296" s="17">
        <v>5212259</v>
      </c>
      <c r="I296" s="17" t="s">
        <v>26</v>
      </c>
      <c r="J296" s="13" t="s">
        <v>102</v>
      </c>
      <c r="K296" s="13">
        <v>25</v>
      </c>
      <c r="L296" s="13">
        <v>80</v>
      </c>
      <c r="M296" s="13">
        <f t="shared" si="261"/>
        <v>2000</v>
      </c>
      <c r="N296" s="20">
        <v>45136</v>
      </c>
      <c r="O296" s="13" t="s">
        <v>719</v>
      </c>
      <c r="P296" s="13" t="s">
        <v>144</v>
      </c>
      <c r="Q296" s="13" t="s">
        <v>30</v>
      </c>
      <c r="R296" s="13" t="s">
        <v>180</v>
      </c>
      <c r="S296" s="31">
        <v>291625157411</v>
      </c>
      <c r="T296" s="20">
        <v>45136</v>
      </c>
      <c r="U296" s="123"/>
      <c r="V296" s="13">
        <v>364</v>
      </c>
      <c r="W296" s="29">
        <v>45136.454861111109</v>
      </c>
      <c r="X296" s="29">
        <v>45136.489583333336</v>
      </c>
      <c r="Y296" s="30">
        <f t="shared" ref="Y296:Y299" si="264">+X296-W296</f>
        <v>3.4722222226264421E-2</v>
      </c>
      <c r="Z296" s="29">
        <v>45136.461805555555</v>
      </c>
      <c r="AA296" s="29">
        <v>45136.482638888891</v>
      </c>
      <c r="AB296" s="30">
        <f t="shared" ref="AB296:AB299" si="265">+AA296-Z296</f>
        <v>2.0833333335758653E-2</v>
      </c>
    </row>
    <row r="297" spans="1:28" x14ac:dyDescent="0.25">
      <c r="A297" s="12">
        <v>45108</v>
      </c>
      <c r="B297" s="123" t="s">
        <v>720</v>
      </c>
      <c r="C297" s="20">
        <v>45135</v>
      </c>
      <c r="D297" s="13">
        <v>6756899</v>
      </c>
      <c r="E297" s="13" t="s">
        <v>191</v>
      </c>
      <c r="F297" s="13" t="s">
        <v>135</v>
      </c>
      <c r="G297" s="13" t="s">
        <v>192</v>
      </c>
      <c r="H297" s="17">
        <v>5210162</v>
      </c>
      <c r="I297" s="17" t="s">
        <v>24</v>
      </c>
      <c r="J297" s="13" t="s">
        <v>575</v>
      </c>
      <c r="K297" s="13">
        <v>25</v>
      </c>
      <c r="L297" s="13">
        <v>40</v>
      </c>
      <c r="M297" s="13">
        <f t="shared" si="261"/>
        <v>1000</v>
      </c>
      <c r="N297" s="20">
        <v>45136</v>
      </c>
      <c r="O297" s="13" t="s">
        <v>719</v>
      </c>
      <c r="P297" s="13" t="s">
        <v>144</v>
      </c>
      <c r="Q297" s="13" t="s">
        <v>30</v>
      </c>
      <c r="R297" s="13" t="s">
        <v>180</v>
      </c>
      <c r="S297" s="31">
        <v>291625157411</v>
      </c>
      <c r="T297" s="20">
        <v>45136</v>
      </c>
      <c r="U297" s="123"/>
      <c r="V297" s="13">
        <v>364</v>
      </c>
      <c r="W297" s="29">
        <v>45136.454861111109</v>
      </c>
      <c r="X297" s="29">
        <v>45136.489583333336</v>
      </c>
      <c r="Y297" s="30">
        <f t="shared" si="264"/>
        <v>3.4722222226264421E-2</v>
      </c>
      <c r="Z297" s="29">
        <v>45136.461805555555</v>
      </c>
      <c r="AA297" s="29">
        <v>45136.482638888891</v>
      </c>
      <c r="AB297" s="30">
        <f t="shared" si="265"/>
        <v>2.0833333335758653E-2</v>
      </c>
    </row>
    <row r="298" spans="1:28" x14ac:dyDescent="0.25">
      <c r="A298" s="12">
        <v>45108</v>
      </c>
      <c r="B298" s="123" t="s">
        <v>721</v>
      </c>
      <c r="C298" s="20">
        <v>45133</v>
      </c>
      <c r="D298" s="13">
        <v>6975150</v>
      </c>
      <c r="E298" s="13" t="s">
        <v>420</v>
      </c>
      <c r="F298" s="13" t="s">
        <v>423</v>
      </c>
      <c r="G298" s="13" t="s">
        <v>192</v>
      </c>
      <c r="H298" s="17">
        <v>5212252</v>
      </c>
      <c r="I298" s="17" t="s">
        <v>23</v>
      </c>
      <c r="J298" s="13" t="s">
        <v>709</v>
      </c>
      <c r="K298" s="13">
        <v>25</v>
      </c>
      <c r="L298" s="13">
        <v>1200</v>
      </c>
      <c r="M298" s="13">
        <f t="shared" si="261"/>
        <v>30000</v>
      </c>
      <c r="N298" s="20">
        <v>45136</v>
      </c>
      <c r="O298" s="13" t="s">
        <v>399</v>
      </c>
      <c r="P298" s="13" t="s">
        <v>134</v>
      </c>
      <c r="Q298" s="123">
        <v>2196</v>
      </c>
      <c r="R298" s="13" t="s">
        <v>722</v>
      </c>
      <c r="S298" s="31">
        <v>211625185070</v>
      </c>
      <c r="T298" s="20">
        <v>45136</v>
      </c>
      <c r="U298" s="123"/>
      <c r="V298" s="13">
        <v>365</v>
      </c>
      <c r="W298" s="29">
        <v>45136.395833333336</v>
      </c>
      <c r="X298" s="29">
        <v>45136.541666666664</v>
      </c>
      <c r="Y298" s="30">
        <f t="shared" si="264"/>
        <v>0.14583333332848269</v>
      </c>
      <c r="Z298" s="29">
        <v>45136.423611111109</v>
      </c>
      <c r="AA298" s="29">
        <v>45136.538194444445</v>
      </c>
      <c r="AB298" s="30">
        <f t="shared" si="265"/>
        <v>0.11458333333575865</v>
      </c>
    </row>
    <row r="299" spans="1:28" x14ac:dyDescent="0.25">
      <c r="A299" s="12">
        <v>45108</v>
      </c>
      <c r="B299" s="123" t="s">
        <v>723</v>
      </c>
      <c r="C299" s="20">
        <v>45134</v>
      </c>
      <c r="D299" s="13">
        <v>5852098</v>
      </c>
      <c r="E299" s="13" t="s">
        <v>724</v>
      </c>
      <c r="F299" s="13" t="s">
        <v>725</v>
      </c>
      <c r="G299" s="13" t="s">
        <v>132</v>
      </c>
      <c r="H299" s="17">
        <v>5200193</v>
      </c>
      <c r="I299" s="123" t="s">
        <v>41</v>
      </c>
      <c r="J299" s="123">
        <v>1223005101</v>
      </c>
      <c r="K299" s="13">
        <v>250</v>
      </c>
      <c r="L299" s="13">
        <v>4</v>
      </c>
      <c r="M299" s="13">
        <f t="shared" si="261"/>
        <v>1000</v>
      </c>
      <c r="N299" s="20">
        <v>45136</v>
      </c>
      <c r="O299" s="13" t="s">
        <v>186</v>
      </c>
      <c r="P299" s="13" t="s">
        <v>187</v>
      </c>
      <c r="Q299" s="13" t="s">
        <v>30</v>
      </c>
      <c r="R299" s="13" t="s">
        <v>408</v>
      </c>
      <c r="S299" s="31">
        <v>201625173001</v>
      </c>
      <c r="T299" s="20">
        <v>45136</v>
      </c>
      <c r="U299" s="123"/>
      <c r="V299" s="13">
        <v>366</v>
      </c>
      <c r="W299" s="29">
        <v>45136.597222222219</v>
      </c>
      <c r="X299" s="29">
        <v>45136.618055555555</v>
      </c>
      <c r="Y299" s="30">
        <f t="shared" si="264"/>
        <v>2.0833333335758653E-2</v>
      </c>
      <c r="Z299" s="29">
        <v>45136.604166666664</v>
      </c>
      <c r="AA299" s="29">
        <v>45136.611111111109</v>
      </c>
      <c r="AB299" s="30">
        <f t="shared" si="265"/>
        <v>6.9444444452528842E-3</v>
      </c>
    </row>
    <row r="300" spans="1:28" x14ac:dyDescent="0.25">
      <c r="A300" s="12">
        <v>45108</v>
      </c>
      <c r="B300" s="123" t="s">
        <v>726</v>
      </c>
      <c r="C300" s="20">
        <v>45134</v>
      </c>
      <c r="D300" s="13">
        <v>6756899</v>
      </c>
      <c r="E300" s="13" t="s">
        <v>727</v>
      </c>
      <c r="F300" s="13" t="s">
        <v>728</v>
      </c>
      <c r="G300" s="13" t="s">
        <v>192</v>
      </c>
      <c r="H300" s="17">
        <v>5210162</v>
      </c>
      <c r="I300" s="17" t="s">
        <v>24</v>
      </c>
      <c r="J300" s="13" t="s">
        <v>575</v>
      </c>
      <c r="K300" s="13">
        <v>25</v>
      </c>
      <c r="L300" s="13">
        <v>4</v>
      </c>
      <c r="M300" s="13">
        <f t="shared" si="261"/>
        <v>100</v>
      </c>
      <c r="N300" s="20">
        <v>45136</v>
      </c>
      <c r="O300" s="13" t="s">
        <v>186</v>
      </c>
      <c r="P300" s="13" t="s">
        <v>187</v>
      </c>
      <c r="Q300" s="13" t="s">
        <v>30</v>
      </c>
      <c r="R300" s="13" t="s">
        <v>408</v>
      </c>
      <c r="S300" s="31">
        <v>231625172416</v>
      </c>
      <c r="T300" s="20">
        <v>45136</v>
      </c>
      <c r="U300" s="123"/>
      <c r="V300" s="13">
        <v>366</v>
      </c>
      <c r="W300" s="29">
        <v>45136.597222222219</v>
      </c>
      <c r="X300" s="29">
        <v>45136.618055555555</v>
      </c>
      <c r="Y300" s="30">
        <f t="shared" ref="Y300:Y301" si="266">+X300-W300</f>
        <v>2.0833333335758653E-2</v>
      </c>
      <c r="Z300" s="29">
        <v>45136.604166666664</v>
      </c>
      <c r="AA300" s="29">
        <v>45136.611111111109</v>
      </c>
      <c r="AB300" s="30">
        <f t="shared" ref="AB300:AB301" si="267">+AA300-Z300</f>
        <v>6.9444444452528842E-3</v>
      </c>
    </row>
    <row r="301" spans="1:28" x14ac:dyDescent="0.25">
      <c r="A301" s="12">
        <v>45108</v>
      </c>
      <c r="B301" s="123" t="s">
        <v>734</v>
      </c>
      <c r="C301" s="20">
        <v>45136</v>
      </c>
      <c r="D301" s="13">
        <v>6624548</v>
      </c>
      <c r="E301" s="13" t="s">
        <v>191</v>
      </c>
      <c r="F301" s="13" t="s">
        <v>135</v>
      </c>
      <c r="G301" s="13" t="s">
        <v>192</v>
      </c>
      <c r="H301" s="17">
        <v>5212252</v>
      </c>
      <c r="I301" s="17" t="s">
        <v>23</v>
      </c>
      <c r="J301" s="13" t="s">
        <v>560</v>
      </c>
      <c r="K301" s="13">
        <v>25</v>
      </c>
      <c r="L301" s="13">
        <v>520</v>
      </c>
      <c r="M301" s="13">
        <f t="shared" si="261"/>
        <v>13000</v>
      </c>
      <c r="N301" s="20">
        <v>45138</v>
      </c>
      <c r="O301" s="13" t="s">
        <v>399</v>
      </c>
      <c r="P301" s="13" t="s">
        <v>144</v>
      </c>
      <c r="Q301" s="13" t="s">
        <v>30</v>
      </c>
      <c r="R301" s="13" t="s">
        <v>735</v>
      </c>
      <c r="S301" s="31">
        <v>201625934198</v>
      </c>
      <c r="T301" s="20">
        <v>45138</v>
      </c>
      <c r="U301" s="123"/>
      <c r="V301" s="13">
        <v>367</v>
      </c>
      <c r="W301" s="29">
        <v>45137.541666666664</v>
      </c>
      <c r="X301" s="29">
        <v>45138.479166666664</v>
      </c>
      <c r="Y301" s="30">
        <f t="shared" si="266"/>
        <v>0.9375</v>
      </c>
      <c r="Z301" s="29">
        <v>45137.604166666664</v>
      </c>
      <c r="AA301" s="29">
        <v>45137.708333333336</v>
      </c>
      <c r="AB301" s="30">
        <f t="shared" si="267"/>
        <v>0.10416666667151731</v>
      </c>
    </row>
    <row r="302" spans="1:28" x14ac:dyDescent="0.25">
      <c r="A302" s="12">
        <v>45108</v>
      </c>
      <c r="B302" s="123" t="s">
        <v>734</v>
      </c>
      <c r="C302" s="20">
        <v>45136</v>
      </c>
      <c r="D302" s="13">
        <v>5566306</v>
      </c>
      <c r="E302" s="13" t="s">
        <v>191</v>
      </c>
      <c r="F302" s="13" t="s">
        <v>135</v>
      </c>
      <c r="G302" s="13" t="s">
        <v>192</v>
      </c>
      <c r="H302" s="17">
        <v>5211014</v>
      </c>
      <c r="I302" s="17" t="s">
        <v>38</v>
      </c>
      <c r="J302" s="14" t="s">
        <v>72</v>
      </c>
      <c r="K302" s="13">
        <v>25</v>
      </c>
      <c r="L302" s="13">
        <v>480</v>
      </c>
      <c r="M302" s="13">
        <f t="shared" si="261"/>
        <v>12000</v>
      </c>
      <c r="N302" s="20">
        <v>45138</v>
      </c>
      <c r="O302" s="13" t="s">
        <v>399</v>
      </c>
      <c r="P302" s="13" t="s">
        <v>144</v>
      </c>
      <c r="Q302" s="13" t="s">
        <v>30</v>
      </c>
      <c r="R302" s="13" t="s">
        <v>735</v>
      </c>
      <c r="S302" s="31">
        <v>201625934198</v>
      </c>
      <c r="T302" s="20">
        <v>45138</v>
      </c>
      <c r="U302" s="123"/>
      <c r="V302" s="13">
        <v>367</v>
      </c>
      <c r="W302" s="29">
        <v>45137.541666666664</v>
      </c>
      <c r="X302" s="29">
        <v>45138.479166666664</v>
      </c>
      <c r="Y302" s="30">
        <f t="shared" ref="Y302:Y313" si="268">+X302-W302</f>
        <v>0.9375</v>
      </c>
      <c r="Z302" s="29">
        <v>45137.604166666664</v>
      </c>
      <c r="AA302" s="29">
        <v>45137.708333333336</v>
      </c>
      <c r="AB302" s="30">
        <f t="shared" ref="AB302:AB313" si="269">+AA302-Z302</f>
        <v>0.10416666667151731</v>
      </c>
    </row>
    <row r="303" spans="1:28" x14ac:dyDescent="0.25">
      <c r="A303" s="12">
        <v>45108</v>
      </c>
      <c r="B303" s="123" t="s">
        <v>734</v>
      </c>
      <c r="C303" s="20">
        <v>45136</v>
      </c>
      <c r="D303" s="13">
        <v>6756899</v>
      </c>
      <c r="E303" s="13" t="s">
        <v>191</v>
      </c>
      <c r="F303" s="13" t="s">
        <v>135</v>
      </c>
      <c r="G303" s="13" t="s">
        <v>192</v>
      </c>
      <c r="H303" s="17">
        <v>5210162</v>
      </c>
      <c r="I303" s="17" t="s">
        <v>24</v>
      </c>
      <c r="J303" s="13" t="s">
        <v>575</v>
      </c>
      <c r="K303" s="13">
        <v>25</v>
      </c>
      <c r="L303" s="13">
        <v>200</v>
      </c>
      <c r="M303" s="13">
        <f t="shared" si="261"/>
        <v>5000</v>
      </c>
      <c r="N303" s="20">
        <v>45138</v>
      </c>
      <c r="O303" s="13" t="s">
        <v>399</v>
      </c>
      <c r="P303" s="13" t="s">
        <v>144</v>
      </c>
      <c r="Q303" s="13" t="s">
        <v>30</v>
      </c>
      <c r="R303" s="13" t="s">
        <v>735</v>
      </c>
      <c r="S303" s="31">
        <v>201625934198</v>
      </c>
      <c r="T303" s="20">
        <v>45138</v>
      </c>
      <c r="U303" s="123"/>
      <c r="V303" s="13">
        <v>367</v>
      </c>
      <c r="W303" s="29">
        <v>45137.541666666664</v>
      </c>
      <c r="X303" s="29">
        <v>45138.479166666664</v>
      </c>
      <c r="Y303" s="30">
        <f t="shared" si="268"/>
        <v>0.9375</v>
      </c>
      <c r="Z303" s="29">
        <v>45137.604166666664</v>
      </c>
      <c r="AA303" s="29">
        <v>45137.708333333336</v>
      </c>
      <c r="AB303" s="30">
        <f t="shared" si="269"/>
        <v>0.10416666667151731</v>
      </c>
    </row>
    <row r="304" spans="1:28" x14ac:dyDescent="0.25">
      <c r="A304" s="12">
        <v>45108</v>
      </c>
      <c r="B304" s="123" t="s">
        <v>726</v>
      </c>
      <c r="C304" s="20">
        <v>45138</v>
      </c>
      <c r="D304" s="13">
        <v>6879599</v>
      </c>
      <c r="E304" s="13" t="s">
        <v>191</v>
      </c>
      <c r="F304" s="13" t="s">
        <v>135</v>
      </c>
      <c r="G304" s="13" t="s">
        <v>192</v>
      </c>
      <c r="H304" s="17">
        <v>5211013</v>
      </c>
      <c r="I304" s="17" t="s">
        <v>27</v>
      </c>
      <c r="J304" s="123" t="s">
        <v>714</v>
      </c>
      <c r="K304" s="13">
        <v>25</v>
      </c>
      <c r="L304" s="13">
        <v>400</v>
      </c>
      <c r="M304" s="13">
        <f t="shared" si="261"/>
        <v>10000</v>
      </c>
      <c r="N304" s="20">
        <v>45138</v>
      </c>
      <c r="O304" s="13" t="s">
        <v>136</v>
      </c>
      <c r="P304" s="13" t="s">
        <v>144</v>
      </c>
      <c r="Q304" s="13" t="s">
        <v>30</v>
      </c>
      <c r="R304" s="13" t="s">
        <v>736</v>
      </c>
      <c r="S304" s="31">
        <v>281626095683</v>
      </c>
      <c r="T304" s="20">
        <v>45138</v>
      </c>
      <c r="U304" s="123"/>
      <c r="V304" s="13">
        <v>368</v>
      </c>
      <c r="W304" s="29">
        <v>45138.5</v>
      </c>
      <c r="X304" s="29">
        <v>45138.645833333336</v>
      </c>
      <c r="Y304" s="30">
        <f t="shared" si="268"/>
        <v>0.14583333333575865</v>
      </c>
      <c r="Z304" s="29">
        <v>45138.614583333336</v>
      </c>
      <c r="AA304" s="29">
        <v>45138.638888888891</v>
      </c>
      <c r="AB304" s="30">
        <f t="shared" si="269"/>
        <v>2.4305555554747116E-2</v>
      </c>
    </row>
    <row r="305" spans="1:28" x14ac:dyDescent="0.25">
      <c r="A305" s="12">
        <v>45108</v>
      </c>
      <c r="B305" s="123" t="s">
        <v>737</v>
      </c>
      <c r="C305" s="20">
        <v>45138</v>
      </c>
      <c r="D305" s="13">
        <v>5806656</v>
      </c>
      <c r="E305" s="13" t="s">
        <v>175</v>
      </c>
      <c r="F305" s="13" t="s">
        <v>135</v>
      </c>
      <c r="G305" s="13" t="s">
        <v>132</v>
      </c>
      <c r="H305" s="123">
        <v>5230831</v>
      </c>
      <c r="I305" s="123" t="s">
        <v>35</v>
      </c>
      <c r="J305" s="14" t="s">
        <v>89</v>
      </c>
      <c r="K305" s="13">
        <v>240</v>
      </c>
      <c r="L305" s="13">
        <v>10</v>
      </c>
      <c r="M305" s="13">
        <f t="shared" si="261"/>
        <v>2400</v>
      </c>
      <c r="N305" s="20">
        <v>45138</v>
      </c>
      <c r="O305" s="13" t="s">
        <v>232</v>
      </c>
      <c r="P305" s="13" t="s">
        <v>144</v>
      </c>
      <c r="Q305" s="13" t="s">
        <v>30</v>
      </c>
      <c r="R305" s="13" t="s">
        <v>182</v>
      </c>
      <c r="S305" s="31">
        <v>241626097856</v>
      </c>
      <c r="T305" s="20">
        <v>45138</v>
      </c>
      <c r="U305" s="123"/>
      <c r="V305" s="13">
        <v>369</v>
      </c>
      <c r="W305" s="29">
        <v>45138.638888888891</v>
      </c>
      <c r="X305" s="29">
        <v>45138.65625</v>
      </c>
      <c r="Y305" s="30">
        <f t="shared" si="268"/>
        <v>1.7361111109494232E-2</v>
      </c>
      <c r="Z305" s="29">
        <v>45138.645833333336</v>
      </c>
      <c r="AA305" s="29">
        <v>45138.652777777781</v>
      </c>
      <c r="AB305" s="30">
        <f t="shared" si="269"/>
        <v>6.9444444452528842E-3</v>
      </c>
    </row>
    <row r="306" spans="1:28" x14ac:dyDescent="0.25">
      <c r="A306" s="12">
        <v>45108</v>
      </c>
      <c r="B306" s="123" t="s">
        <v>738</v>
      </c>
      <c r="C306" s="20">
        <v>45138</v>
      </c>
      <c r="D306" s="13">
        <v>6624548</v>
      </c>
      <c r="E306" s="13" t="s">
        <v>191</v>
      </c>
      <c r="F306" s="13" t="s">
        <v>135</v>
      </c>
      <c r="G306" s="13" t="s">
        <v>192</v>
      </c>
      <c r="H306" s="17">
        <v>5212252</v>
      </c>
      <c r="I306" s="17" t="s">
        <v>23</v>
      </c>
      <c r="J306" s="13" t="s">
        <v>601</v>
      </c>
      <c r="K306" s="13">
        <v>25</v>
      </c>
      <c r="L306" s="13">
        <v>334</v>
      </c>
      <c r="M306" s="13">
        <f t="shared" si="261"/>
        <v>8350</v>
      </c>
      <c r="N306" s="20">
        <v>45138</v>
      </c>
      <c r="O306" s="13" t="s">
        <v>739</v>
      </c>
      <c r="P306" s="13" t="s">
        <v>144</v>
      </c>
      <c r="Q306" s="13" t="s">
        <v>30</v>
      </c>
      <c r="R306" s="13" t="s">
        <v>740</v>
      </c>
      <c r="S306" s="31">
        <v>251626105392</v>
      </c>
      <c r="T306" s="20">
        <v>45138</v>
      </c>
      <c r="U306" s="123"/>
      <c r="V306" s="13">
        <v>370</v>
      </c>
      <c r="W306" s="29">
        <v>45138.520833333336</v>
      </c>
      <c r="X306" s="29">
        <v>45138.729166666664</v>
      </c>
      <c r="Y306" s="30">
        <f t="shared" si="268"/>
        <v>0.20833333332848269</v>
      </c>
      <c r="Z306" s="29">
        <v>45138.708333333336</v>
      </c>
      <c r="AA306" s="29">
        <v>45138.729166666664</v>
      </c>
      <c r="AB306" s="30">
        <f t="shared" si="269"/>
        <v>2.0833333328482695E-2</v>
      </c>
    </row>
    <row r="307" spans="1:28" x14ac:dyDescent="0.25">
      <c r="A307" s="12">
        <v>45108</v>
      </c>
      <c r="B307" s="123" t="s">
        <v>738</v>
      </c>
      <c r="C307" s="20">
        <v>45138</v>
      </c>
      <c r="D307" s="13">
        <v>6624548</v>
      </c>
      <c r="E307" s="13" t="s">
        <v>191</v>
      </c>
      <c r="F307" s="13" t="s">
        <v>135</v>
      </c>
      <c r="G307" s="13" t="s">
        <v>192</v>
      </c>
      <c r="H307" s="17">
        <v>5212252</v>
      </c>
      <c r="I307" s="17" t="s">
        <v>23</v>
      </c>
      <c r="J307" s="13" t="s">
        <v>560</v>
      </c>
      <c r="K307" s="13">
        <v>25</v>
      </c>
      <c r="L307" s="13">
        <v>65</v>
      </c>
      <c r="M307" s="13">
        <f t="shared" ref="M307:M309" si="270">+L307*K307</f>
        <v>1625</v>
      </c>
      <c r="N307" s="20">
        <v>45138</v>
      </c>
      <c r="O307" s="13" t="s">
        <v>739</v>
      </c>
      <c r="P307" s="13" t="s">
        <v>144</v>
      </c>
      <c r="Q307" s="13" t="s">
        <v>30</v>
      </c>
      <c r="R307" s="13" t="s">
        <v>740</v>
      </c>
      <c r="S307" s="31">
        <v>251626105392</v>
      </c>
      <c r="T307" s="20">
        <v>45138</v>
      </c>
      <c r="U307" s="123"/>
      <c r="V307" s="13">
        <v>370</v>
      </c>
      <c r="W307" s="29">
        <v>45138.520833333336</v>
      </c>
      <c r="X307" s="29">
        <v>45138.729166666664</v>
      </c>
      <c r="Y307" s="30">
        <f t="shared" ref="Y307:Y309" si="271">+X307-W307</f>
        <v>0.20833333332848269</v>
      </c>
      <c r="Z307" s="29">
        <v>45138.708333333336</v>
      </c>
      <c r="AA307" s="29">
        <v>45138.729166666664</v>
      </c>
      <c r="AB307" s="30">
        <f t="shared" ref="AB307:AB309" si="272">+AA307-Z307</f>
        <v>2.0833333328482695E-2</v>
      </c>
    </row>
    <row r="308" spans="1:28" x14ac:dyDescent="0.25">
      <c r="A308" s="12">
        <v>45108</v>
      </c>
      <c r="B308" s="123" t="s">
        <v>738</v>
      </c>
      <c r="C308" s="20">
        <v>45138</v>
      </c>
      <c r="D308" s="13">
        <v>6975150</v>
      </c>
      <c r="E308" s="13" t="s">
        <v>191</v>
      </c>
      <c r="F308" s="13" t="s">
        <v>135</v>
      </c>
      <c r="G308" s="13" t="s">
        <v>192</v>
      </c>
      <c r="H308" s="17">
        <v>5212252</v>
      </c>
      <c r="I308" s="17" t="s">
        <v>23</v>
      </c>
      <c r="J308" s="13" t="s">
        <v>709</v>
      </c>
      <c r="K308" s="13">
        <v>25</v>
      </c>
      <c r="L308" s="13">
        <v>61</v>
      </c>
      <c r="M308" s="13">
        <f t="shared" si="270"/>
        <v>1525</v>
      </c>
      <c r="N308" s="20">
        <v>45138</v>
      </c>
      <c r="O308" s="13" t="s">
        <v>739</v>
      </c>
      <c r="P308" s="13" t="s">
        <v>144</v>
      </c>
      <c r="Q308" s="13" t="s">
        <v>30</v>
      </c>
      <c r="R308" s="13" t="s">
        <v>740</v>
      </c>
      <c r="S308" s="31">
        <v>251626105392</v>
      </c>
      <c r="T308" s="20">
        <v>45138</v>
      </c>
      <c r="U308" s="123"/>
      <c r="V308" s="13">
        <v>370</v>
      </c>
      <c r="W308" s="29">
        <v>45138.520833333336</v>
      </c>
      <c r="X308" s="29">
        <v>45138.729166666664</v>
      </c>
      <c r="Y308" s="30">
        <f t="shared" si="271"/>
        <v>0.20833333332848269</v>
      </c>
      <c r="Z308" s="29">
        <v>45138.708333333336</v>
      </c>
      <c r="AA308" s="29">
        <v>45138.729166666664</v>
      </c>
      <c r="AB308" s="30">
        <f t="shared" si="272"/>
        <v>2.0833333328482695E-2</v>
      </c>
    </row>
    <row r="309" spans="1:28" x14ac:dyDescent="0.25">
      <c r="A309" s="12">
        <v>45108</v>
      </c>
      <c r="B309" s="123" t="s">
        <v>738</v>
      </c>
      <c r="C309" s="20">
        <v>45138</v>
      </c>
      <c r="D309" s="13">
        <v>6975150</v>
      </c>
      <c r="E309" s="13" t="s">
        <v>191</v>
      </c>
      <c r="F309" s="13" t="s">
        <v>135</v>
      </c>
      <c r="G309" s="13" t="s">
        <v>192</v>
      </c>
      <c r="H309" s="17">
        <v>5212252</v>
      </c>
      <c r="I309" s="17" t="s">
        <v>23</v>
      </c>
      <c r="J309" s="13" t="s">
        <v>560</v>
      </c>
      <c r="K309" s="13">
        <v>25</v>
      </c>
      <c r="L309" s="13">
        <v>140</v>
      </c>
      <c r="M309" s="13">
        <f t="shared" si="270"/>
        <v>3500</v>
      </c>
      <c r="N309" s="20">
        <v>45138</v>
      </c>
      <c r="O309" s="13" t="s">
        <v>739</v>
      </c>
      <c r="P309" s="13" t="s">
        <v>144</v>
      </c>
      <c r="Q309" s="13" t="s">
        <v>30</v>
      </c>
      <c r="R309" s="13" t="s">
        <v>740</v>
      </c>
      <c r="S309" s="31">
        <v>251626105392</v>
      </c>
      <c r="T309" s="20">
        <v>45138</v>
      </c>
      <c r="U309" s="123"/>
      <c r="V309" s="13">
        <v>370</v>
      </c>
      <c r="W309" s="29">
        <v>45138.520833333336</v>
      </c>
      <c r="X309" s="29">
        <v>45138.729166666664</v>
      </c>
      <c r="Y309" s="30">
        <f t="shared" si="271"/>
        <v>0.20833333332848269</v>
      </c>
      <c r="Z309" s="29">
        <v>45138.708333333336</v>
      </c>
      <c r="AA309" s="29">
        <v>45138.729166666664</v>
      </c>
      <c r="AB309" s="30">
        <f t="shared" si="272"/>
        <v>2.0833333328482695E-2</v>
      </c>
    </row>
    <row r="310" spans="1:28" x14ac:dyDescent="0.25">
      <c r="A310" s="12">
        <v>45108</v>
      </c>
      <c r="B310" s="123" t="s">
        <v>741</v>
      </c>
      <c r="C310" s="20">
        <v>45138</v>
      </c>
      <c r="D310" s="13">
        <v>5806656</v>
      </c>
      <c r="E310" s="13" t="s">
        <v>175</v>
      </c>
      <c r="F310" s="13" t="s">
        <v>135</v>
      </c>
      <c r="G310" s="13" t="s">
        <v>132</v>
      </c>
      <c r="H310" s="123">
        <v>5230831</v>
      </c>
      <c r="I310" s="123" t="s">
        <v>35</v>
      </c>
      <c r="J310" s="14" t="s">
        <v>89</v>
      </c>
      <c r="K310" s="13">
        <v>240</v>
      </c>
      <c r="L310" s="13">
        <v>35</v>
      </c>
      <c r="M310" s="13">
        <f t="shared" si="261"/>
        <v>8400</v>
      </c>
      <c r="N310" s="20">
        <v>45138</v>
      </c>
      <c r="O310" s="13" t="s">
        <v>177</v>
      </c>
      <c r="P310" s="13" t="s">
        <v>144</v>
      </c>
      <c r="Q310" s="13" t="s">
        <v>30</v>
      </c>
      <c r="R310" s="13" t="s">
        <v>180</v>
      </c>
      <c r="S310" s="31">
        <v>241626226760</v>
      </c>
      <c r="T310" s="20">
        <v>45138</v>
      </c>
      <c r="U310" s="123"/>
      <c r="V310" s="13">
        <v>371</v>
      </c>
      <c r="W310" s="29">
        <v>45138.736111111109</v>
      </c>
      <c r="X310" s="29">
        <v>45138.763888888891</v>
      </c>
      <c r="Y310" s="30">
        <f t="shared" si="268"/>
        <v>2.7777777781011537E-2</v>
      </c>
      <c r="Z310" s="29">
        <v>45138.743055555555</v>
      </c>
      <c r="AA310" s="29">
        <v>45138.756944444445</v>
      </c>
      <c r="AB310" s="30">
        <f t="shared" si="269"/>
        <v>1.3888888890505768E-2</v>
      </c>
    </row>
    <row r="311" spans="1:28" x14ac:dyDescent="0.25">
      <c r="A311" s="12">
        <v>45139</v>
      </c>
      <c r="B311" s="123" t="s">
        <v>742</v>
      </c>
      <c r="C311" s="20">
        <v>45135</v>
      </c>
      <c r="D311" s="13">
        <v>6879599</v>
      </c>
      <c r="E311" s="13" t="s">
        <v>673</v>
      </c>
      <c r="F311" s="13" t="s">
        <v>524</v>
      </c>
      <c r="G311" s="13" t="s">
        <v>192</v>
      </c>
      <c r="H311" s="17">
        <v>5211013</v>
      </c>
      <c r="I311" s="17" t="s">
        <v>27</v>
      </c>
      <c r="J311" s="123" t="s">
        <v>714</v>
      </c>
      <c r="K311" s="13">
        <v>25</v>
      </c>
      <c r="L311" s="13">
        <v>240</v>
      </c>
      <c r="M311" s="13">
        <f t="shared" si="261"/>
        <v>6000</v>
      </c>
      <c r="N311" s="20">
        <v>45139</v>
      </c>
      <c r="O311" s="13" t="s">
        <v>298</v>
      </c>
      <c r="P311" s="13" t="s">
        <v>134</v>
      </c>
      <c r="Q311" s="123">
        <v>2197</v>
      </c>
      <c r="R311" s="13" t="s">
        <v>743</v>
      </c>
      <c r="S311" s="31">
        <v>221626672842</v>
      </c>
      <c r="T311" s="20">
        <v>45139</v>
      </c>
      <c r="U311" s="123"/>
      <c r="V311" s="13">
        <v>372</v>
      </c>
      <c r="W311" s="29">
        <v>45139.625</v>
      </c>
      <c r="X311" s="29">
        <v>45139.65625</v>
      </c>
      <c r="Y311" s="30">
        <f t="shared" si="268"/>
        <v>3.125E-2</v>
      </c>
      <c r="Z311" s="29">
        <v>45139.631944444445</v>
      </c>
      <c r="AA311" s="29">
        <v>45139.652777777781</v>
      </c>
      <c r="AB311" s="30">
        <f t="shared" si="269"/>
        <v>2.0833333335758653E-2</v>
      </c>
    </row>
    <row r="312" spans="1:28" x14ac:dyDescent="0.25">
      <c r="A312" s="12">
        <v>45139</v>
      </c>
      <c r="B312" s="123" t="s">
        <v>744</v>
      </c>
      <c r="C312" s="20">
        <v>45138</v>
      </c>
      <c r="D312" s="13">
        <v>5806656</v>
      </c>
      <c r="E312" s="13" t="s">
        <v>175</v>
      </c>
      <c r="F312" s="13" t="s">
        <v>135</v>
      </c>
      <c r="G312" s="13" t="s">
        <v>132</v>
      </c>
      <c r="H312" s="123">
        <v>5230831</v>
      </c>
      <c r="I312" s="123" t="s">
        <v>35</v>
      </c>
      <c r="J312" s="14" t="s">
        <v>89</v>
      </c>
      <c r="K312" s="13">
        <v>240</v>
      </c>
      <c r="L312" s="13">
        <v>35</v>
      </c>
      <c r="M312" s="13">
        <f t="shared" si="261"/>
        <v>8400</v>
      </c>
      <c r="N312" s="20">
        <v>45139</v>
      </c>
      <c r="O312" s="13" t="s">
        <v>177</v>
      </c>
      <c r="P312" s="13" t="s">
        <v>144</v>
      </c>
      <c r="Q312" s="13" t="s">
        <v>30</v>
      </c>
      <c r="R312" s="13" t="s">
        <v>180</v>
      </c>
      <c r="S312" s="31">
        <v>201626775327</v>
      </c>
      <c r="T312" s="20">
        <v>45139</v>
      </c>
      <c r="U312" s="123"/>
      <c r="V312" s="13">
        <v>373</v>
      </c>
      <c r="W312" s="29">
        <v>45139.736111111109</v>
      </c>
      <c r="X312" s="29">
        <v>45139.770833333336</v>
      </c>
      <c r="Y312" s="30">
        <f t="shared" si="268"/>
        <v>3.4722222226264421E-2</v>
      </c>
      <c r="Z312" s="29">
        <v>45139.75</v>
      </c>
      <c r="AA312" s="29">
        <v>45139.767361111109</v>
      </c>
      <c r="AB312" s="30">
        <f t="shared" si="269"/>
        <v>1.7361111109494232E-2</v>
      </c>
    </row>
    <row r="313" spans="1:28" x14ac:dyDescent="0.25">
      <c r="A313" s="12">
        <v>45139</v>
      </c>
      <c r="B313" s="123" t="s">
        <v>749</v>
      </c>
      <c r="C313" s="20">
        <v>45138</v>
      </c>
      <c r="D313" s="13">
        <v>6975150</v>
      </c>
      <c r="E313" s="13" t="s">
        <v>191</v>
      </c>
      <c r="F313" s="13" t="s">
        <v>135</v>
      </c>
      <c r="G313" s="13" t="s">
        <v>192</v>
      </c>
      <c r="H313" s="17">
        <v>5212252</v>
      </c>
      <c r="I313" s="17" t="s">
        <v>23</v>
      </c>
      <c r="J313" s="13" t="s">
        <v>560</v>
      </c>
      <c r="K313" s="13">
        <v>25</v>
      </c>
      <c r="L313" s="13">
        <v>168</v>
      </c>
      <c r="M313" s="13">
        <f t="shared" si="261"/>
        <v>4200</v>
      </c>
      <c r="N313" s="20">
        <v>45140</v>
      </c>
      <c r="O313" s="13" t="s">
        <v>204</v>
      </c>
      <c r="P313" s="13" t="s">
        <v>144</v>
      </c>
      <c r="Q313" s="13" t="s">
        <v>30</v>
      </c>
      <c r="R313" s="13" t="s">
        <v>750</v>
      </c>
      <c r="S313" s="31">
        <v>251627129586</v>
      </c>
      <c r="T313" s="20">
        <v>45140</v>
      </c>
      <c r="U313" s="123"/>
      <c r="V313" s="13">
        <v>374</v>
      </c>
      <c r="W313" s="29">
        <v>45140.395833333336</v>
      </c>
      <c r="X313" s="29">
        <v>45140.541666666664</v>
      </c>
      <c r="Y313" s="30">
        <f t="shared" si="268"/>
        <v>0.14583333332848269</v>
      </c>
      <c r="Z313" s="29">
        <v>45140.416666666664</v>
      </c>
      <c r="AA313" s="29">
        <v>45140.548611111109</v>
      </c>
      <c r="AB313" s="30">
        <f t="shared" si="269"/>
        <v>0.13194444444525288</v>
      </c>
    </row>
    <row r="314" spans="1:28" x14ac:dyDescent="0.25">
      <c r="A314" s="12">
        <v>45139</v>
      </c>
      <c r="B314" s="123" t="s">
        <v>749</v>
      </c>
      <c r="C314" s="20">
        <v>45138</v>
      </c>
      <c r="D314" s="13">
        <v>6975150</v>
      </c>
      <c r="E314" s="13" t="s">
        <v>191</v>
      </c>
      <c r="F314" s="13" t="s">
        <v>135</v>
      </c>
      <c r="G314" s="13" t="s">
        <v>192</v>
      </c>
      <c r="H314" s="17">
        <v>5212252</v>
      </c>
      <c r="I314" s="17" t="s">
        <v>23</v>
      </c>
      <c r="J314" s="13" t="s">
        <v>413</v>
      </c>
      <c r="K314" s="13">
        <v>25</v>
      </c>
      <c r="L314" s="13">
        <v>511</v>
      </c>
      <c r="M314" s="13">
        <f t="shared" ref="M314:M315" si="273">+L314*K314</f>
        <v>12775</v>
      </c>
      <c r="N314" s="20">
        <v>45140</v>
      </c>
      <c r="O314" s="13" t="s">
        <v>204</v>
      </c>
      <c r="P314" s="13" t="s">
        <v>144</v>
      </c>
      <c r="Q314" s="13" t="s">
        <v>30</v>
      </c>
      <c r="R314" s="13" t="s">
        <v>750</v>
      </c>
      <c r="S314" s="31">
        <v>251627129586</v>
      </c>
      <c r="T314" s="20">
        <v>45140</v>
      </c>
      <c r="U314" s="123"/>
      <c r="V314" s="13">
        <v>374</v>
      </c>
      <c r="W314" s="29">
        <v>45140.395833333336</v>
      </c>
      <c r="X314" s="29">
        <v>45140.541666666664</v>
      </c>
      <c r="Y314" s="30">
        <f t="shared" ref="Y314:Y315" si="274">+X314-W314</f>
        <v>0.14583333332848269</v>
      </c>
      <c r="Z314" s="29">
        <v>45140.416666666664</v>
      </c>
      <c r="AA314" s="29">
        <v>45140.548611111109</v>
      </c>
      <c r="AB314" s="30">
        <f t="shared" ref="AB314:AB315" si="275">+AA314-Z314</f>
        <v>0.13194444444525288</v>
      </c>
    </row>
    <row r="315" spans="1:28" x14ac:dyDescent="0.25">
      <c r="A315" s="12">
        <v>45139</v>
      </c>
      <c r="B315" s="123" t="s">
        <v>749</v>
      </c>
      <c r="C315" s="20">
        <v>45138</v>
      </c>
      <c r="D315" s="13">
        <v>6874989</v>
      </c>
      <c r="E315" s="13" t="s">
        <v>191</v>
      </c>
      <c r="F315" s="13" t="s">
        <v>135</v>
      </c>
      <c r="G315" s="13" t="s">
        <v>192</v>
      </c>
      <c r="H315" s="17">
        <v>5212252</v>
      </c>
      <c r="I315" s="17" t="s">
        <v>23</v>
      </c>
      <c r="J315" s="13" t="s">
        <v>729</v>
      </c>
      <c r="K315" s="13">
        <v>25</v>
      </c>
      <c r="L315" s="13">
        <v>521</v>
      </c>
      <c r="M315" s="13">
        <f t="shared" si="273"/>
        <v>13025</v>
      </c>
      <c r="N315" s="20">
        <v>45140</v>
      </c>
      <c r="O315" s="13" t="s">
        <v>204</v>
      </c>
      <c r="P315" s="13" t="s">
        <v>144</v>
      </c>
      <c r="Q315" s="13" t="s">
        <v>30</v>
      </c>
      <c r="R315" s="13" t="s">
        <v>750</v>
      </c>
      <c r="S315" s="31">
        <v>251627129586</v>
      </c>
      <c r="T315" s="20">
        <v>45140</v>
      </c>
      <c r="U315" s="123"/>
      <c r="V315" s="13">
        <v>374</v>
      </c>
      <c r="W315" s="29">
        <v>45140.395833333336</v>
      </c>
      <c r="X315" s="29">
        <v>45140.541666666664</v>
      </c>
      <c r="Y315" s="30">
        <f t="shared" si="274"/>
        <v>0.14583333332848269</v>
      </c>
      <c r="Z315" s="29">
        <v>45140.416666666664</v>
      </c>
      <c r="AA315" s="29">
        <v>45140.548611111109</v>
      </c>
      <c r="AB315" s="30">
        <f t="shared" si="275"/>
        <v>0.13194444444525288</v>
      </c>
    </row>
    <row r="316" spans="1:28" x14ac:dyDescent="0.25">
      <c r="A316" s="12">
        <v>45139</v>
      </c>
      <c r="B316" s="123" t="s">
        <v>749</v>
      </c>
      <c r="C316" s="20">
        <v>45138</v>
      </c>
      <c r="D316" s="13">
        <v>6335482</v>
      </c>
      <c r="E316" s="13" t="s">
        <v>191</v>
      </c>
      <c r="F316" s="13" t="s">
        <v>135</v>
      </c>
      <c r="G316" s="13" t="s">
        <v>192</v>
      </c>
      <c r="H316" s="17">
        <v>5212259</v>
      </c>
      <c r="I316" s="17" t="s">
        <v>26</v>
      </c>
      <c r="J316" s="13" t="s">
        <v>447</v>
      </c>
      <c r="K316" s="13">
        <v>25</v>
      </c>
      <c r="L316" s="13">
        <v>160</v>
      </c>
      <c r="M316" s="13">
        <f t="shared" ref="M316:M325" si="276">+L316*K316</f>
        <v>4000</v>
      </c>
      <c r="N316" s="20">
        <v>45140</v>
      </c>
      <c r="O316" s="13" t="s">
        <v>204</v>
      </c>
      <c r="P316" s="13" t="s">
        <v>144</v>
      </c>
      <c r="Q316" s="13" t="s">
        <v>30</v>
      </c>
      <c r="R316" s="13" t="s">
        <v>750</v>
      </c>
      <c r="S316" s="31">
        <v>251627129586</v>
      </c>
      <c r="T316" s="20">
        <v>45140</v>
      </c>
      <c r="U316" s="123"/>
      <c r="V316" s="13">
        <v>374</v>
      </c>
      <c r="W316" s="29">
        <v>45140.395833333336</v>
      </c>
      <c r="X316" s="29">
        <v>45140.541666666664</v>
      </c>
      <c r="Y316" s="30">
        <f t="shared" ref="Y316:Y325" si="277">+X316-W316</f>
        <v>0.14583333332848269</v>
      </c>
      <c r="Z316" s="29">
        <v>45140.416666666664</v>
      </c>
      <c r="AA316" s="29">
        <v>45140.548611111109</v>
      </c>
      <c r="AB316" s="30">
        <f t="shared" ref="AB316:AB325" si="278">+AA316-Z316</f>
        <v>0.13194444444525288</v>
      </c>
    </row>
    <row r="317" spans="1:28" x14ac:dyDescent="0.25">
      <c r="A317" s="12">
        <v>45139</v>
      </c>
      <c r="B317" s="123" t="s">
        <v>749</v>
      </c>
      <c r="C317" s="20">
        <v>45138</v>
      </c>
      <c r="D317" s="13">
        <v>6756899</v>
      </c>
      <c r="E317" s="13" t="s">
        <v>191</v>
      </c>
      <c r="F317" s="13" t="s">
        <v>135</v>
      </c>
      <c r="G317" s="13" t="s">
        <v>192</v>
      </c>
      <c r="H317" s="17">
        <v>5210162</v>
      </c>
      <c r="I317" s="17" t="s">
        <v>24</v>
      </c>
      <c r="J317" s="13" t="s">
        <v>575</v>
      </c>
      <c r="K317" s="13">
        <v>25</v>
      </c>
      <c r="L317" s="13">
        <v>40</v>
      </c>
      <c r="M317" s="13">
        <f t="shared" si="276"/>
        <v>1000</v>
      </c>
      <c r="N317" s="20">
        <v>45140</v>
      </c>
      <c r="O317" s="13" t="s">
        <v>204</v>
      </c>
      <c r="P317" s="13" t="s">
        <v>144</v>
      </c>
      <c r="Q317" s="13" t="s">
        <v>30</v>
      </c>
      <c r="R317" s="13" t="s">
        <v>750</v>
      </c>
      <c r="S317" s="31">
        <v>251627129586</v>
      </c>
      <c r="T317" s="20">
        <v>45140</v>
      </c>
      <c r="U317" s="123"/>
      <c r="V317" s="13">
        <v>374</v>
      </c>
      <c r="W317" s="29">
        <v>45140.395833333336</v>
      </c>
      <c r="X317" s="29">
        <v>45140.541666666664</v>
      </c>
      <c r="Y317" s="30">
        <f t="shared" si="277"/>
        <v>0.14583333332848269</v>
      </c>
      <c r="Z317" s="29">
        <v>45140.416666666664</v>
      </c>
      <c r="AA317" s="29">
        <v>45140.548611111109</v>
      </c>
      <c r="AB317" s="30">
        <f t="shared" si="278"/>
        <v>0.13194444444525288</v>
      </c>
    </row>
    <row r="318" spans="1:28" x14ac:dyDescent="0.25">
      <c r="A318" s="12">
        <v>45139</v>
      </c>
      <c r="B318" s="123" t="s">
        <v>751</v>
      </c>
      <c r="C318" s="20">
        <v>45140</v>
      </c>
      <c r="D318" s="13">
        <v>4605823</v>
      </c>
      <c r="E318" s="13" t="s">
        <v>191</v>
      </c>
      <c r="F318" s="13" t="s">
        <v>135</v>
      </c>
      <c r="G318" s="13" t="s">
        <v>192</v>
      </c>
      <c r="H318" s="17">
        <v>5210451</v>
      </c>
      <c r="I318" s="17" t="s">
        <v>29</v>
      </c>
      <c r="J318" s="13" t="s">
        <v>48</v>
      </c>
      <c r="K318" s="13">
        <v>25</v>
      </c>
      <c r="L318" s="13">
        <v>100</v>
      </c>
      <c r="M318" s="13">
        <f t="shared" si="276"/>
        <v>2500</v>
      </c>
      <c r="N318" s="20">
        <v>45141</v>
      </c>
      <c r="O318" s="13" t="s">
        <v>232</v>
      </c>
      <c r="P318" s="13" t="s">
        <v>144</v>
      </c>
      <c r="Q318" s="13" t="s">
        <v>30</v>
      </c>
      <c r="R318" s="13" t="s">
        <v>752</v>
      </c>
      <c r="S318" s="31">
        <v>261627509921</v>
      </c>
      <c r="T318" s="20">
        <v>45141</v>
      </c>
      <c r="U318" s="123"/>
      <c r="V318" s="13">
        <v>375</v>
      </c>
      <c r="W318" s="29">
        <v>45141.395833333336</v>
      </c>
      <c r="X318" s="29">
        <v>45141.430555555555</v>
      </c>
      <c r="Y318" s="30">
        <f t="shared" si="277"/>
        <v>3.4722222218988463E-2</v>
      </c>
      <c r="Z318" s="29">
        <v>45141.402777777781</v>
      </c>
      <c r="AA318" s="29">
        <v>45141.423611111109</v>
      </c>
      <c r="AB318" s="30">
        <f t="shared" si="278"/>
        <v>2.0833333328482695E-2</v>
      </c>
    </row>
    <row r="319" spans="1:28" x14ac:dyDescent="0.25">
      <c r="A319" s="12">
        <v>45139</v>
      </c>
      <c r="B319" s="123" t="s">
        <v>753</v>
      </c>
      <c r="C319" s="20">
        <v>45140</v>
      </c>
      <c r="D319" s="13">
        <v>5806656</v>
      </c>
      <c r="E319" s="13" t="s">
        <v>679</v>
      </c>
      <c r="F319" s="13" t="s">
        <v>680</v>
      </c>
      <c r="G319" s="13" t="s">
        <v>132</v>
      </c>
      <c r="H319" s="123">
        <v>5230831</v>
      </c>
      <c r="I319" s="123" t="s">
        <v>35</v>
      </c>
      <c r="J319" s="14" t="s">
        <v>89</v>
      </c>
      <c r="K319" s="13">
        <v>240</v>
      </c>
      <c r="L319" s="13">
        <v>20</v>
      </c>
      <c r="M319" s="13">
        <f t="shared" si="276"/>
        <v>4800</v>
      </c>
      <c r="N319" s="20">
        <v>45141</v>
      </c>
      <c r="O319" s="13" t="s">
        <v>298</v>
      </c>
      <c r="P319" s="13" t="s">
        <v>144</v>
      </c>
      <c r="Q319" s="13" t="s">
        <v>30</v>
      </c>
      <c r="R319" s="13" t="s">
        <v>754</v>
      </c>
      <c r="S319" s="31">
        <v>221627523031</v>
      </c>
      <c r="T319" s="20">
        <v>45141</v>
      </c>
      <c r="U319" s="123"/>
      <c r="V319" s="13">
        <v>376</v>
      </c>
      <c r="W319" s="29">
        <v>45141.513888888891</v>
      </c>
      <c r="X319" s="29">
        <v>45141.538194444445</v>
      </c>
      <c r="Y319" s="30">
        <f t="shared" si="277"/>
        <v>2.4305555554747116E-2</v>
      </c>
      <c r="Z319" s="29">
        <v>45141.527777777781</v>
      </c>
      <c r="AA319" s="29">
        <v>45141.538194444445</v>
      </c>
      <c r="AB319" s="30">
        <f t="shared" si="278"/>
        <v>1.0416666664241347E-2</v>
      </c>
    </row>
    <row r="320" spans="1:28" x14ac:dyDescent="0.25">
      <c r="A320" s="12">
        <v>45139</v>
      </c>
      <c r="B320" s="123" t="s">
        <v>755</v>
      </c>
      <c r="C320" s="20">
        <v>45141</v>
      </c>
      <c r="D320" s="13">
        <v>5806656</v>
      </c>
      <c r="E320" s="13" t="s">
        <v>196</v>
      </c>
      <c r="F320" s="13" t="s">
        <v>197</v>
      </c>
      <c r="G320" s="13" t="s">
        <v>132</v>
      </c>
      <c r="H320" s="123">
        <v>5230831</v>
      </c>
      <c r="I320" s="123" t="s">
        <v>35</v>
      </c>
      <c r="J320" s="14" t="s">
        <v>89</v>
      </c>
      <c r="K320" s="13">
        <v>240</v>
      </c>
      <c r="L320" s="13">
        <v>40</v>
      </c>
      <c r="M320" s="13">
        <f t="shared" si="276"/>
        <v>9600</v>
      </c>
      <c r="N320" s="20">
        <v>45141</v>
      </c>
      <c r="O320" s="13" t="s">
        <v>136</v>
      </c>
      <c r="P320" s="13" t="s">
        <v>144</v>
      </c>
      <c r="Q320" s="13" t="s">
        <v>30</v>
      </c>
      <c r="R320" s="13" t="s">
        <v>265</v>
      </c>
      <c r="S320" s="31">
        <v>211627526602</v>
      </c>
      <c r="T320" s="20">
        <v>45141</v>
      </c>
      <c r="U320" s="123"/>
      <c r="V320" s="13">
        <v>377</v>
      </c>
      <c r="W320" s="29">
        <v>45141.534722222219</v>
      </c>
      <c r="X320" s="29">
        <v>45141.5625</v>
      </c>
      <c r="Y320" s="30">
        <f t="shared" si="277"/>
        <v>2.7777777781011537E-2</v>
      </c>
      <c r="Z320" s="29">
        <v>45141.541666666664</v>
      </c>
      <c r="AA320" s="29">
        <v>45141.559027777781</v>
      </c>
      <c r="AB320" s="30">
        <f t="shared" si="278"/>
        <v>1.7361111116770189E-2</v>
      </c>
    </row>
    <row r="321" spans="1:28" x14ac:dyDescent="0.25">
      <c r="A321" s="12">
        <v>45139</v>
      </c>
      <c r="B321" s="123" t="s">
        <v>759</v>
      </c>
      <c r="C321" s="20">
        <v>45142</v>
      </c>
      <c r="D321" s="13">
        <v>5806656</v>
      </c>
      <c r="E321" s="13" t="s">
        <v>679</v>
      </c>
      <c r="F321" s="13" t="s">
        <v>135</v>
      </c>
      <c r="G321" s="13" t="s">
        <v>132</v>
      </c>
      <c r="H321" s="123">
        <v>5230831</v>
      </c>
      <c r="I321" s="123" t="s">
        <v>35</v>
      </c>
      <c r="J321" s="14" t="s">
        <v>89</v>
      </c>
      <c r="K321" s="13">
        <v>240</v>
      </c>
      <c r="L321" s="13">
        <v>20</v>
      </c>
      <c r="M321" s="13">
        <f t="shared" si="276"/>
        <v>4800</v>
      </c>
      <c r="N321" s="20">
        <v>45142</v>
      </c>
      <c r="O321" s="13" t="s">
        <v>298</v>
      </c>
      <c r="P321" s="13" t="s">
        <v>144</v>
      </c>
      <c r="Q321" s="13" t="s">
        <v>30</v>
      </c>
      <c r="R321" s="13" t="s">
        <v>760</v>
      </c>
      <c r="S321" s="31">
        <v>221628141999</v>
      </c>
      <c r="T321" s="20">
        <v>45142</v>
      </c>
      <c r="U321" s="123"/>
      <c r="V321" s="13">
        <v>378</v>
      </c>
      <c r="W321" s="29">
        <v>45142.583333333336</v>
      </c>
      <c r="X321" s="29">
        <v>45142.666666666664</v>
      </c>
      <c r="Y321" s="30">
        <f t="shared" si="277"/>
        <v>8.3333333328482695E-2</v>
      </c>
      <c r="Z321" s="29">
        <v>45142.645833333336</v>
      </c>
      <c r="AA321" s="29">
        <v>45142.666666666664</v>
      </c>
      <c r="AB321" s="30">
        <f t="shared" si="278"/>
        <v>2.0833333328482695E-2</v>
      </c>
    </row>
    <row r="322" spans="1:28" x14ac:dyDescent="0.25">
      <c r="A322" s="12">
        <v>45139</v>
      </c>
      <c r="B322" s="123" t="s">
        <v>761</v>
      </c>
      <c r="C322" s="20">
        <v>45142</v>
      </c>
      <c r="D322" s="13">
        <v>5806656</v>
      </c>
      <c r="E322" s="13" t="s">
        <v>679</v>
      </c>
      <c r="F322" s="13" t="s">
        <v>135</v>
      </c>
      <c r="G322" s="13" t="s">
        <v>132</v>
      </c>
      <c r="H322" s="123">
        <v>5230831</v>
      </c>
      <c r="I322" s="123" t="s">
        <v>35</v>
      </c>
      <c r="J322" s="14" t="s">
        <v>89</v>
      </c>
      <c r="K322" s="13">
        <v>240</v>
      </c>
      <c r="L322" s="13">
        <v>20</v>
      </c>
      <c r="M322" s="13">
        <f t="shared" si="276"/>
        <v>4800</v>
      </c>
      <c r="N322" s="20">
        <v>45142</v>
      </c>
      <c r="O322" s="13" t="s">
        <v>298</v>
      </c>
      <c r="P322" s="13" t="s">
        <v>144</v>
      </c>
      <c r="Q322" s="13" t="s">
        <v>30</v>
      </c>
      <c r="R322" s="13" t="s">
        <v>762</v>
      </c>
      <c r="S322" s="31">
        <v>261628140688</v>
      </c>
      <c r="T322" s="20">
        <v>45142</v>
      </c>
      <c r="U322" s="123"/>
      <c r="V322" s="13">
        <v>379</v>
      </c>
      <c r="W322" s="29">
        <v>45142.590277777781</v>
      </c>
      <c r="X322" s="29">
        <v>45142.666666666664</v>
      </c>
      <c r="Y322" s="30">
        <f t="shared" si="277"/>
        <v>7.6388888883229811E-2</v>
      </c>
      <c r="Z322" s="29">
        <v>45142.645833333336</v>
      </c>
      <c r="AA322" s="29">
        <v>45142.666666666664</v>
      </c>
      <c r="AB322" s="30">
        <f t="shared" si="278"/>
        <v>2.0833333328482695E-2</v>
      </c>
    </row>
    <row r="323" spans="1:28" x14ac:dyDescent="0.25">
      <c r="A323" s="12">
        <v>45139</v>
      </c>
      <c r="B323" s="123" t="s">
        <v>763</v>
      </c>
      <c r="C323" s="20">
        <v>45142</v>
      </c>
      <c r="D323" s="13">
        <v>5806656</v>
      </c>
      <c r="E323" s="13" t="s">
        <v>214</v>
      </c>
      <c r="F323" s="13" t="s">
        <v>215</v>
      </c>
      <c r="G323" s="13" t="s">
        <v>132</v>
      </c>
      <c r="H323" s="123">
        <v>5230831</v>
      </c>
      <c r="I323" s="123" t="s">
        <v>35</v>
      </c>
      <c r="J323" s="14" t="s">
        <v>89</v>
      </c>
      <c r="K323" s="13">
        <v>240</v>
      </c>
      <c r="L323" s="13">
        <v>20</v>
      </c>
      <c r="M323" s="13">
        <f t="shared" si="276"/>
        <v>4800</v>
      </c>
      <c r="N323" s="20">
        <v>45142</v>
      </c>
      <c r="O323" s="13" t="s">
        <v>298</v>
      </c>
      <c r="P323" s="13" t="s">
        <v>134</v>
      </c>
      <c r="Q323" s="123">
        <v>2198</v>
      </c>
      <c r="R323" s="13" t="s">
        <v>764</v>
      </c>
      <c r="S323" s="31">
        <v>271628156026</v>
      </c>
      <c r="T323" s="20">
        <v>45142</v>
      </c>
      <c r="U323" s="123"/>
      <c r="V323" s="13">
        <v>380</v>
      </c>
      <c r="W323" s="29">
        <v>45142.625</v>
      </c>
      <c r="X323" s="29">
        <v>45142.6875</v>
      </c>
      <c r="Y323" s="30">
        <f t="shared" si="277"/>
        <v>6.25E-2</v>
      </c>
      <c r="Z323" s="29">
        <v>45142.680555555555</v>
      </c>
      <c r="AA323" s="29">
        <v>45142.6875</v>
      </c>
      <c r="AB323" s="30">
        <f t="shared" si="278"/>
        <v>6.9444444452528842E-3</v>
      </c>
    </row>
    <row r="324" spans="1:28" x14ac:dyDescent="0.25">
      <c r="A324" s="12">
        <v>45139</v>
      </c>
      <c r="B324" s="123" t="s">
        <v>765</v>
      </c>
      <c r="C324" s="20">
        <v>45142</v>
      </c>
      <c r="D324" s="13">
        <v>5806656</v>
      </c>
      <c r="E324" s="13" t="s">
        <v>579</v>
      </c>
      <c r="F324" s="13" t="s">
        <v>215</v>
      </c>
      <c r="G324" s="13" t="s">
        <v>132</v>
      </c>
      <c r="H324" s="123">
        <v>5230831</v>
      </c>
      <c r="I324" s="123" t="s">
        <v>35</v>
      </c>
      <c r="J324" s="14" t="s">
        <v>89</v>
      </c>
      <c r="K324" s="13">
        <v>240</v>
      </c>
      <c r="L324" s="13">
        <v>20</v>
      </c>
      <c r="M324" s="13">
        <f t="shared" si="276"/>
        <v>4800</v>
      </c>
      <c r="N324" s="20">
        <v>45142</v>
      </c>
      <c r="O324" s="13" t="s">
        <v>298</v>
      </c>
      <c r="P324" s="13" t="s">
        <v>134</v>
      </c>
      <c r="Q324" s="123">
        <v>2199</v>
      </c>
      <c r="R324" s="13" t="s">
        <v>766</v>
      </c>
      <c r="S324" s="31">
        <v>291628165101</v>
      </c>
      <c r="T324" s="20">
        <v>45142</v>
      </c>
      <c r="U324" s="123"/>
      <c r="V324" s="13">
        <v>381</v>
      </c>
      <c r="W324" s="29">
        <v>45142.645833333336</v>
      </c>
      <c r="X324" s="29">
        <v>45142.708333333336</v>
      </c>
      <c r="Y324" s="30">
        <f t="shared" si="277"/>
        <v>6.25E-2</v>
      </c>
      <c r="Z324" s="29">
        <v>45142.694444444445</v>
      </c>
      <c r="AA324" s="29">
        <v>45142.708333333336</v>
      </c>
      <c r="AB324" s="30">
        <f t="shared" si="278"/>
        <v>1.3888888890505768E-2</v>
      </c>
    </row>
    <row r="325" spans="1:28" x14ac:dyDescent="0.25">
      <c r="A325" s="12">
        <v>45139</v>
      </c>
      <c r="B325" s="13" t="s">
        <v>767</v>
      </c>
      <c r="C325" s="20">
        <v>45140</v>
      </c>
      <c r="D325" s="13">
        <v>6879599</v>
      </c>
      <c r="E325" s="13" t="s">
        <v>395</v>
      </c>
      <c r="F325" s="13" t="s">
        <v>396</v>
      </c>
      <c r="G325" s="13" t="s">
        <v>192</v>
      </c>
      <c r="H325" s="17">
        <v>5211013</v>
      </c>
      <c r="I325" s="17" t="s">
        <v>27</v>
      </c>
      <c r="J325" s="123" t="s">
        <v>714</v>
      </c>
      <c r="K325" s="13">
        <v>25</v>
      </c>
      <c r="L325" s="13">
        <v>200</v>
      </c>
      <c r="M325" s="13">
        <f t="shared" si="276"/>
        <v>5000</v>
      </c>
      <c r="N325" s="20">
        <v>45142</v>
      </c>
      <c r="O325" s="13" t="s">
        <v>589</v>
      </c>
      <c r="P325" s="13" t="s">
        <v>144</v>
      </c>
      <c r="Q325" s="13" t="s">
        <v>30</v>
      </c>
      <c r="R325" s="13" t="s">
        <v>768</v>
      </c>
      <c r="S325" s="31">
        <v>241628215836</v>
      </c>
      <c r="T325" s="20">
        <v>45142</v>
      </c>
      <c r="U325" s="123"/>
      <c r="V325" s="13">
        <v>382</v>
      </c>
      <c r="W325" s="29">
        <v>45142.680555555555</v>
      </c>
      <c r="X325" s="29">
        <v>45142.75</v>
      </c>
      <c r="Y325" s="30">
        <f t="shared" si="277"/>
        <v>6.9444444445252884E-2</v>
      </c>
      <c r="Z325" s="29">
        <v>45142.708333333336</v>
      </c>
      <c r="AA325" s="29">
        <v>45142.75</v>
      </c>
      <c r="AB325" s="30">
        <f t="shared" si="278"/>
        <v>4.1666666664241347E-2</v>
      </c>
    </row>
    <row r="326" spans="1:28" x14ac:dyDescent="0.25">
      <c r="A326" s="12">
        <v>45139</v>
      </c>
      <c r="B326" s="13" t="s">
        <v>767</v>
      </c>
      <c r="C326" s="20">
        <v>45140</v>
      </c>
      <c r="D326" s="13">
        <v>6879599</v>
      </c>
      <c r="E326" s="13" t="s">
        <v>395</v>
      </c>
      <c r="F326" s="13" t="s">
        <v>396</v>
      </c>
      <c r="G326" s="13" t="s">
        <v>192</v>
      </c>
      <c r="H326" s="17">
        <v>5211013</v>
      </c>
      <c r="I326" s="17" t="s">
        <v>27</v>
      </c>
      <c r="J326" s="123" t="s">
        <v>716</v>
      </c>
      <c r="K326" s="13">
        <v>25</v>
      </c>
      <c r="L326" s="13">
        <v>120</v>
      </c>
      <c r="M326" s="13">
        <f t="shared" ref="M326:M330" si="279">+L326*K326</f>
        <v>3000</v>
      </c>
      <c r="N326" s="20">
        <v>45142</v>
      </c>
      <c r="O326" s="13" t="s">
        <v>589</v>
      </c>
      <c r="P326" s="13" t="s">
        <v>144</v>
      </c>
      <c r="Q326" s="13" t="s">
        <v>30</v>
      </c>
      <c r="R326" s="13" t="s">
        <v>768</v>
      </c>
      <c r="S326" s="31">
        <v>241628215836</v>
      </c>
      <c r="T326" s="20">
        <v>45142</v>
      </c>
      <c r="U326" s="123"/>
      <c r="V326" s="13">
        <v>382</v>
      </c>
      <c r="W326" s="29">
        <v>45142.680555555555</v>
      </c>
      <c r="X326" s="29">
        <v>45142.75</v>
      </c>
      <c r="Y326" s="30">
        <f t="shared" ref="Y326:Y330" si="280">+X326-W326</f>
        <v>6.9444444445252884E-2</v>
      </c>
      <c r="Z326" s="29">
        <v>45142.708333333336</v>
      </c>
      <c r="AA326" s="29">
        <v>45142.75</v>
      </c>
      <c r="AB326" s="30">
        <f t="shared" ref="AB326:AB330" si="281">+AA326-Z326</f>
        <v>4.1666666664241347E-2</v>
      </c>
    </row>
    <row r="327" spans="1:28" x14ac:dyDescent="0.25">
      <c r="A327" s="12">
        <v>45139</v>
      </c>
      <c r="B327" s="13" t="s">
        <v>773</v>
      </c>
      <c r="C327" s="20">
        <v>45143</v>
      </c>
      <c r="D327" s="13">
        <v>6879598</v>
      </c>
      <c r="E327" s="13" t="s">
        <v>673</v>
      </c>
      <c r="F327" s="13" t="s">
        <v>524</v>
      </c>
      <c r="G327" s="13" t="s">
        <v>192</v>
      </c>
      <c r="H327" s="17">
        <v>5210162</v>
      </c>
      <c r="I327" s="17" t="s">
        <v>24</v>
      </c>
      <c r="J327" s="13" t="s">
        <v>711</v>
      </c>
      <c r="K327" s="13">
        <v>25</v>
      </c>
      <c r="L327" s="13">
        <v>240</v>
      </c>
      <c r="M327" s="13">
        <f t="shared" si="279"/>
        <v>6000</v>
      </c>
      <c r="N327" s="20">
        <v>45145</v>
      </c>
      <c r="O327" s="13" t="s">
        <v>589</v>
      </c>
      <c r="P327" s="13" t="s">
        <v>134</v>
      </c>
      <c r="Q327" s="123">
        <v>2200</v>
      </c>
      <c r="R327" s="13" t="s">
        <v>774</v>
      </c>
      <c r="S327" s="31">
        <v>251629219252</v>
      </c>
      <c r="T327" s="20">
        <v>45145</v>
      </c>
      <c r="U327" s="123"/>
      <c r="V327" s="13">
        <v>383</v>
      </c>
      <c r="W327" s="29">
        <v>45145.618055555555</v>
      </c>
      <c r="X327" s="29">
        <v>45145.652777777781</v>
      </c>
      <c r="Y327" s="30">
        <f t="shared" si="280"/>
        <v>3.4722222226264421E-2</v>
      </c>
      <c r="Z327" s="29">
        <v>45145.625</v>
      </c>
      <c r="AA327" s="29">
        <v>45145.645833333336</v>
      </c>
      <c r="AB327" s="30">
        <f t="shared" si="281"/>
        <v>2.0833333335758653E-2</v>
      </c>
    </row>
    <row r="328" spans="1:28" x14ac:dyDescent="0.25">
      <c r="A328" s="12">
        <v>45139</v>
      </c>
      <c r="B328" s="13" t="s">
        <v>775</v>
      </c>
      <c r="C328" s="20">
        <v>45145</v>
      </c>
      <c r="D328" s="13">
        <v>6756899</v>
      </c>
      <c r="E328" s="13" t="s">
        <v>673</v>
      </c>
      <c r="F328" s="13" t="s">
        <v>524</v>
      </c>
      <c r="G328" s="13" t="s">
        <v>192</v>
      </c>
      <c r="H328" s="17">
        <v>5210162</v>
      </c>
      <c r="I328" s="17" t="s">
        <v>24</v>
      </c>
      <c r="J328" s="13" t="s">
        <v>575</v>
      </c>
      <c r="K328" s="13">
        <v>25</v>
      </c>
      <c r="L328" s="13">
        <v>80</v>
      </c>
      <c r="M328" s="13">
        <f t="shared" si="279"/>
        <v>2000</v>
      </c>
      <c r="N328" s="20">
        <v>45145</v>
      </c>
      <c r="O328" s="13" t="s">
        <v>589</v>
      </c>
      <c r="P328" s="13" t="s">
        <v>134</v>
      </c>
      <c r="Q328" s="123">
        <v>2200</v>
      </c>
      <c r="R328" s="13" t="s">
        <v>774</v>
      </c>
      <c r="S328" s="31">
        <v>251629223901</v>
      </c>
      <c r="T328" s="20">
        <v>45145</v>
      </c>
      <c r="U328" s="123"/>
      <c r="V328" s="13">
        <v>383</v>
      </c>
      <c r="W328" s="29">
        <v>45145.618055555555</v>
      </c>
      <c r="X328" s="29">
        <v>45145.652777777781</v>
      </c>
      <c r="Y328" s="30">
        <f t="shared" si="280"/>
        <v>3.4722222226264421E-2</v>
      </c>
      <c r="Z328" s="29">
        <v>45145.625</v>
      </c>
      <c r="AA328" s="29">
        <v>45145.645833333336</v>
      </c>
      <c r="AB328" s="30">
        <f t="shared" si="281"/>
        <v>2.0833333335758653E-2</v>
      </c>
    </row>
    <row r="329" spans="1:28" x14ac:dyDescent="0.25">
      <c r="A329" s="12">
        <v>45139</v>
      </c>
      <c r="B329" s="13" t="s">
        <v>776</v>
      </c>
      <c r="C329" s="20">
        <v>45145</v>
      </c>
      <c r="D329" s="13">
        <v>5806656</v>
      </c>
      <c r="E329" s="13" t="s">
        <v>196</v>
      </c>
      <c r="F329" s="13" t="s">
        <v>197</v>
      </c>
      <c r="G329" s="13" t="s">
        <v>132</v>
      </c>
      <c r="H329" s="123">
        <v>5230831</v>
      </c>
      <c r="I329" s="123" t="s">
        <v>35</v>
      </c>
      <c r="J329" s="14" t="s">
        <v>89</v>
      </c>
      <c r="K329" s="13">
        <v>240</v>
      </c>
      <c r="L329" s="13">
        <v>40</v>
      </c>
      <c r="M329" s="13">
        <f t="shared" si="279"/>
        <v>9600</v>
      </c>
      <c r="N329" s="20">
        <v>45145</v>
      </c>
      <c r="O329" s="13" t="s">
        <v>136</v>
      </c>
      <c r="P329" s="13" t="s">
        <v>144</v>
      </c>
      <c r="Q329" s="123" t="s">
        <v>30</v>
      </c>
      <c r="R329" s="13" t="s">
        <v>265</v>
      </c>
      <c r="S329" s="31">
        <v>211629263174</v>
      </c>
      <c r="T329" s="20">
        <v>45145</v>
      </c>
      <c r="U329" s="123"/>
      <c r="V329" s="13">
        <v>384</v>
      </c>
      <c r="W329" s="29">
        <v>45145.597222222219</v>
      </c>
      <c r="X329" s="29">
        <v>45145.663194444445</v>
      </c>
      <c r="Y329" s="30">
        <f t="shared" si="280"/>
        <v>6.5972222226264421E-2</v>
      </c>
      <c r="Z329" s="29">
        <v>45145.604166666664</v>
      </c>
      <c r="AA329" s="29">
        <v>45145.625</v>
      </c>
      <c r="AB329" s="30">
        <f t="shared" si="281"/>
        <v>2.0833333335758653E-2</v>
      </c>
    </row>
    <row r="330" spans="1:28" x14ac:dyDescent="0.25">
      <c r="A330" s="12">
        <v>45139</v>
      </c>
      <c r="B330" s="13" t="s">
        <v>779</v>
      </c>
      <c r="C330" s="20">
        <v>45146</v>
      </c>
      <c r="D330" s="13">
        <v>5329092</v>
      </c>
      <c r="E330" s="13" t="s">
        <v>780</v>
      </c>
      <c r="F330" s="13" t="s">
        <v>135</v>
      </c>
      <c r="G330" s="13" t="s">
        <v>132</v>
      </c>
      <c r="H330" s="123">
        <v>5230831</v>
      </c>
      <c r="I330" s="123" t="s">
        <v>35</v>
      </c>
      <c r="J330" s="14" t="s">
        <v>71</v>
      </c>
      <c r="K330" s="13">
        <v>240</v>
      </c>
      <c r="L330" s="13">
        <v>16</v>
      </c>
      <c r="M330" s="13">
        <f t="shared" si="279"/>
        <v>3840</v>
      </c>
      <c r="N330" s="20">
        <v>45146</v>
      </c>
      <c r="O330" s="13" t="s">
        <v>177</v>
      </c>
      <c r="P330" s="13" t="s">
        <v>144</v>
      </c>
      <c r="Q330" s="123" t="s">
        <v>30</v>
      </c>
      <c r="R330" s="13" t="s">
        <v>557</v>
      </c>
      <c r="S330" s="31">
        <v>291629781360</v>
      </c>
      <c r="T330" s="20">
        <v>45146</v>
      </c>
      <c r="U330" s="123"/>
      <c r="V330" s="13">
        <v>385</v>
      </c>
      <c r="W330" s="29">
        <v>45146.649305555555</v>
      </c>
      <c r="X330" s="29">
        <v>45146.680555555555</v>
      </c>
      <c r="Y330" s="30">
        <f t="shared" si="280"/>
        <v>3.125E-2</v>
      </c>
      <c r="Z330" s="29">
        <v>45146.65625</v>
      </c>
      <c r="AA330" s="29">
        <v>45146.673611111109</v>
      </c>
      <c r="AB330" s="30">
        <f t="shared" si="281"/>
        <v>1.7361111109494232E-2</v>
      </c>
    </row>
    <row r="331" spans="1:28" x14ac:dyDescent="0.25">
      <c r="A331" s="12">
        <v>45139</v>
      </c>
      <c r="B331" s="13" t="s">
        <v>779</v>
      </c>
      <c r="C331" s="20">
        <v>45146</v>
      </c>
      <c r="D331" s="13">
        <v>5806656</v>
      </c>
      <c r="E331" s="13" t="s">
        <v>780</v>
      </c>
      <c r="F331" s="13" t="s">
        <v>135</v>
      </c>
      <c r="G331" s="13" t="s">
        <v>132</v>
      </c>
      <c r="H331" s="123">
        <v>5230831</v>
      </c>
      <c r="I331" s="123" t="s">
        <v>35</v>
      </c>
      <c r="J331" s="14" t="s">
        <v>89</v>
      </c>
      <c r="K331" s="13">
        <v>240</v>
      </c>
      <c r="L331" s="13">
        <v>18</v>
      </c>
      <c r="M331" s="13">
        <f t="shared" ref="M331" si="282">+L331*K331</f>
        <v>4320</v>
      </c>
      <c r="N331" s="20">
        <v>45146</v>
      </c>
      <c r="O331" s="13" t="s">
        <v>177</v>
      </c>
      <c r="P331" s="13" t="s">
        <v>144</v>
      </c>
      <c r="Q331" s="123" t="s">
        <v>30</v>
      </c>
      <c r="R331" s="13" t="s">
        <v>557</v>
      </c>
      <c r="S331" s="31">
        <v>291629781360</v>
      </c>
      <c r="T331" s="20">
        <v>45146</v>
      </c>
      <c r="U331" s="123"/>
      <c r="V331" s="13">
        <v>385</v>
      </c>
      <c r="W331" s="29">
        <v>45146.649305555555</v>
      </c>
      <c r="X331" s="29">
        <v>45146.680555555555</v>
      </c>
      <c r="Y331" s="30">
        <f t="shared" ref="Y331" si="283">+X331-W331</f>
        <v>3.125E-2</v>
      </c>
      <c r="Z331" s="29">
        <v>45146.65625</v>
      </c>
      <c r="AA331" s="29">
        <v>45146.673611111109</v>
      </c>
      <c r="AB331" s="30">
        <f t="shared" ref="AB331" si="284">+AA331-Z331</f>
        <v>1.7361111109494232E-2</v>
      </c>
    </row>
    <row r="332" spans="1:28" x14ac:dyDescent="0.25">
      <c r="A332" s="12">
        <v>45139</v>
      </c>
      <c r="B332" s="13" t="s">
        <v>781</v>
      </c>
      <c r="C332" s="20">
        <v>45146</v>
      </c>
      <c r="D332" s="13">
        <v>5806656</v>
      </c>
      <c r="E332" s="13" t="s">
        <v>780</v>
      </c>
      <c r="F332" s="13" t="s">
        <v>135</v>
      </c>
      <c r="G332" s="13" t="s">
        <v>132</v>
      </c>
      <c r="H332" s="123">
        <v>5230831</v>
      </c>
      <c r="I332" s="123" t="s">
        <v>35</v>
      </c>
      <c r="J332" s="14" t="s">
        <v>89</v>
      </c>
      <c r="K332" s="13">
        <v>240</v>
      </c>
      <c r="L332" s="13">
        <v>12</v>
      </c>
      <c r="M332" s="13">
        <f t="shared" ref="M332:M336" si="285">+L332*K332</f>
        <v>2880</v>
      </c>
      <c r="N332" s="20">
        <v>45146</v>
      </c>
      <c r="O332" s="13" t="s">
        <v>177</v>
      </c>
      <c r="P332" s="13" t="s">
        <v>144</v>
      </c>
      <c r="Q332" s="123" t="s">
        <v>30</v>
      </c>
      <c r="R332" s="13" t="s">
        <v>783</v>
      </c>
      <c r="S332" s="31">
        <v>221629803308</v>
      </c>
      <c r="T332" s="20">
        <v>45146</v>
      </c>
      <c r="U332" s="123"/>
      <c r="V332" s="13">
        <v>386</v>
      </c>
      <c r="W332" s="29">
        <v>45146.649305555555</v>
      </c>
      <c r="X332" s="29">
        <v>45146.680555555555</v>
      </c>
      <c r="Y332" s="30">
        <f t="shared" ref="Y332:Y336" si="286">+X332-W332</f>
        <v>3.125E-2</v>
      </c>
      <c r="Z332" s="29">
        <v>45146.65625</v>
      </c>
      <c r="AA332" s="29">
        <v>45146.673611111109</v>
      </c>
      <c r="AB332" s="30">
        <f t="shared" ref="AB332:AB336" si="287">+AA332-Z332</f>
        <v>1.7361111109494232E-2</v>
      </c>
    </row>
    <row r="333" spans="1:28" x14ac:dyDescent="0.25">
      <c r="A333" s="12">
        <v>45139</v>
      </c>
      <c r="B333" s="13" t="s">
        <v>782</v>
      </c>
      <c r="C333" s="20">
        <v>45146</v>
      </c>
      <c r="D333" s="13">
        <v>5806656</v>
      </c>
      <c r="E333" s="13" t="s">
        <v>780</v>
      </c>
      <c r="F333" s="13" t="s">
        <v>135</v>
      </c>
      <c r="G333" s="13" t="s">
        <v>132</v>
      </c>
      <c r="H333" s="123">
        <v>5230831</v>
      </c>
      <c r="I333" s="123" t="s">
        <v>35</v>
      </c>
      <c r="J333" s="14" t="s">
        <v>89</v>
      </c>
      <c r="K333" s="13">
        <v>240</v>
      </c>
      <c r="L333" s="13">
        <v>34</v>
      </c>
      <c r="M333" s="13">
        <f t="shared" si="285"/>
        <v>8160</v>
      </c>
      <c r="N333" s="20">
        <v>45146</v>
      </c>
      <c r="O333" s="13" t="s">
        <v>177</v>
      </c>
      <c r="P333" s="13" t="s">
        <v>144</v>
      </c>
      <c r="Q333" s="123" t="s">
        <v>30</v>
      </c>
      <c r="R333" s="13" t="s">
        <v>784</v>
      </c>
      <c r="S333" s="31">
        <v>231629806061</v>
      </c>
      <c r="T333" s="20">
        <v>45146</v>
      </c>
      <c r="U333" s="123"/>
      <c r="V333" s="13">
        <v>387</v>
      </c>
      <c r="W333" s="29">
        <v>45146.649305555555</v>
      </c>
      <c r="X333" s="29">
        <v>45146.680555555555</v>
      </c>
      <c r="Y333" s="30">
        <f t="shared" si="286"/>
        <v>3.125E-2</v>
      </c>
      <c r="Z333" s="29">
        <v>45146.65625</v>
      </c>
      <c r="AA333" s="29">
        <v>45146.673611111109</v>
      </c>
      <c r="AB333" s="30">
        <f t="shared" si="287"/>
        <v>1.7361111109494232E-2</v>
      </c>
    </row>
    <row r="334" spans="1:28" x14ac:dyDescent="0.25">
      <c r="A334" s="12">
        <v>45139</v>
      </c>
      <c r="B334" s="13" t="s">
        <v>787</v>
      </c>
      <c r="C334" s="20">
        <v>45146</v>
      </c>
      <c r="D334" s="13">
        <v>6879598</v>
      </c>
      <c r="E334" s="13" t="s">
        <v>385</v>
      </c>
      <c r="F334" s="13" t="s">
        <v>386</v>
      </c>
      <c r="G334" s="13" t="s">
        <v>192</v>
      </c>
      <c r="H334" s="17">
        <v>5210162</v>
      </c>
      <c r="I334" s="17" t="s">
        <v>24</v>
      </c>
      <c r="J334" s="13" t="s">
        <v>711</v>
      </c>
      <c r="K334" s="13">
        <v>25</v>
      </c>
      <c r="L334" s="13">
        <v>400</v>
      </c>
      <c r="M334" s="13">
        <f t="shared" si="285"/>
        <v>10000</v>
      </c>
      <c r="N334" s="20">
        <v>45147</v>
      </c>
      <c r="O334" s="13" t="s">
        <v>136</v>
      </c>
      <c r="P334" s="13" t="s">
        <v>144</v>
      </c>
      <c r="Q334" s="123" t="s">
        <v>30</v>
      </c>
      <c r="R334" s="13" t="s">
        <v>701</v>
      </c>
      <c r="S334" s="31">
        <v>281630203735</v>
      </c>
      <c r="T334" s="20">
        <v>45147</v>
      </c>
      <c r="U334" s="123"/>
      <c r="V334" s="13">
        <v>388</v>
      </c>
      <c r="W334" s="29">
        <v>45147.524305555555</v>
      </c>
      <c r="X334" s="29">
        <v>45147.559027777781</v>
      </c>
      <c r="Y334" s="30">
        <f t="shared" si="286"/>
        <v>3.4722222226264421E-2</v>
      </c>
      <c r="Z334" s="29">
        <v>45147.53125</v>
      </c>
      <c r="AA334" s="29">
        <v>45147.552083333336</v>
      </c>
      <c r="AB334" s="30">
        <f t="shared" si="287"/>
        <v>2.0833333335758653E-2</v>
      </c>
    </row>
    <row r="335" spans="1:28" x14ac:dyDescent="0.25">
      <c r="A335" s="12">
        <v>45139</v>
      </c>
      <c r="B335" s="13" t="s">
        <v>788</v>
      </c>
      <c r="C335" s="20">
        <v>45142</v>
      </c>
      <c r="D335" s="13">
        <v>6756899</v>
      </c>
      <c r="E335" s="13" t="s">
        <v>191</v>
      </c>
      <c r="F335" s="13" t="s">
        <v>135</v>
      </c>
      <c r="G335" s="13" t="s">
        <v>192</v>
      </c>
      <c r="H335" s="17">
        <v>5210162</v>
      </c>
      <c r="I335" s="17" t="s">
        <v>24</v>
      </c>
      <c r="J335" s="13" t="s">
        <v>575</v>
      </c>
      <c r="K335" s="13">
        <v>25</v>
      </c>
      <c r="L335" s="13">
        <v>1</v>
      </c>
      <c r="M335" s="13">
        <f t="shared" si="285"/>
        <v>25</v>
      </c>
      <c r="N335" s="20">
        <v>45147</v>
      </c>
      <c r="O335" s="13" t="s">
        <v>186</v>
      </c>
      <c r="P335" s="13" t="s">
        <v>144</v>
      </c>
      <c r="Q335" s="123" t="s">
        <v>30</v>
      </c>
      <c r="R335" s="13" t="s">
        <v>789</v>
      </c>
      <c r="S335" s="31">
        <v>221630232377</v>
      </c>
      <c r="T335" s="20">
        <v>45147</v>
      </c>
      <c r="U335" s="123"/>
      <c r="V335" s="13">
        <v>389</v>
      </c>
      <c r="W335" s="29">
        <v>45147.59375</v>
      </c>
      <c r="X335" s="29">
        <v>45147.600694444445</v>
      </c>
      <c r="Y335" s="30">
        <f t="shared" si="286"/>
        <v>6.9444444452528842E-3</v>
      </c>
      <c r="Z335" s="29">
        <v>45147.59375</v>
      </c>
      <c r="AA335" s="29">
        <v>45147.597222222219</v>
      </c>
      <c r="AB335" s="30">
        <f t="shared" si="287"/>
        <v>3.4722222189884633E-3</v>
      </c>
    </row>
    <row r="336" spans="1:28" x14ac:dyDescent="0.25">
      <c r="A336" s="12">
        <v>45139</v>
      </c>
      <c r="B336" s="13" t="s">
        <v>790</v>
      </c>
      <c r="C336" s="20">
        <v>45147</v>
      </c>
      <c r="D336" s="13">
        <v>5852098</v>
      </c>
      <c r="E336" s="13" t="s">
        <v>244</v>
      </c>
      <c r="F336" s="13" t="s">
        <v>215</v>
      </c>
      <c r="G336" s="13" t="s">
        <v>132</v>
      </c>
      <c r="H336" s="17">
        <v>5200193</v>
      </c>
      <c r="I336" s="123" t="s">
        <v>41</v>
      </c>
      <c r="J336" s="13">
        <v>1223005101</v>
      </c>
      <c r="K336" s="13">
        <v>250</v>
      </c>
      <c r="L336" s="13">
        <v>5</v>
      </c>
      <c r="M336" s="13">
        <f t="shared" si="285"/>
        <v>1250</v>
      </c>
      <c r="N336" s="20">
        <v>45147</v>
      </c>
      <c r="O336" s="13" t="s">
        <v>136</v>
      </c>
      <c r="P336" s="13" t="s">
        <v>144</v>
      </c>
      <c r="Q336" s="123" t="s">
        <v>30</v>
      </c>
      <c r="R336" s="13" t="s">
        <v>488</v>
      </c>
      <c r="S336" s="31">
        <v>291630354896</v>
      </c>
      <c r="T336" s="20">
        <v>45147</v>
      </c>
      <c r="U336" s="123"/>
      <c r="V336" s="13">
        <v>390</v>
      </c>
      <c r="W336" s="29">
        <v>45147.600694444445</v>
      </c>
      <c r="X336" s="29">
        <v>45147.631944444445</v>
      </c>
      <c r="Y336" s="30">
        <f t="shared" si="286"/>
        <v>3.125E-2</v>
      </c>
      <c r="Z336" s="29">
        <v>45147.607638888891</v>
      </c>
      <c r="AA336" s="29">
        <v>45147.701388888891</v>
      </c>
      <c r="AB336" s="30">
        <f t="shared" si="287"/>
        <v>9.375E-2</v>
      </c>
    </row>
    <row r="337" spans="1:28" x14ac:dyDescent="0.25">
      <c r="A337" s="12">
        <v>45139</v>
      </c>
      <c r="B337" s="13" t="s">
        <v>791</v>
      </c>
      <c r="C337" s="20">
        <v>45147</v>
      </c>
      <c r="D337" s="13">
        <v>5329092</v>
      </c>
      <c r="E337" s="13" t="s">
        <v>244</v>
      </c>
      <c r="F337" s="13" t="s">
        <v>215</v>
      </c>
      <c r="G337" s="13" t="s">
        <v>132</v>
      </c>
      <c r="H337" s="123">
        <v>5230831</v>
      </c>
      <c r="I337" s="123" t="s">
        <v>35</v>
      </c>
      <c r="J337" s="14" t="s">
        <v>71</v>
      </c>
      <c r="K337" s="13">
        <v>240</v>
      </c>
      <c r="L337" s="13">
        <v>4</v>
      </c>
      <c r="M337" s="13">
        <f t="shared" ref="M337:M347" si="288">+L337*K337</f>
        <v>960</v>
      </c>
      <c r="N337" s="20">
        <v>45147</v>
      </c>
      <c r="O337" s="13" t="s">
        <v>136</v>
      </c>
      <c r="P337" s="13" t="s">
        <v>144</v>
      </c>
      <c r="Q337" s="123" t="s">
        <v>30</v>
      </c>
      <c r="R337" s="13" t="s">
        <v>488</v>
      </c>
      <c r="S337" s="31">
        <v>261630360328</v>
      </c>
      <c r="T337" s="20">
        <v>45147</v>
      </c>
      <c r="U337" s="123"/>
      <c r="V337" s="13">
        <v>390</v>
      </c>
      <c r="W337" s="29">
        <v>45147.600694444445</v>
      </c>
      <c r="X337" s="29">
        <v>45147.631944444445</v>
      </c>
      <c r="Y337" s="30">
        <f t="shared" ref="Y337:Y340" si="289">+X337-W337</f>
        <v>3.125E-2</v>
      </c>
      <c r="Z337" s="29">
        <v>45147.607638888891</v>
      </c>
      <c r="AA337" s="29">
        <v>45147.701388888891</v>
      </c>
      <c r="AB337" s="30">
        <f t="shared" ref="AB337:AB340" si="290">+AA337-Z337</f>
        <v>9.375E-2</v>
      </c>
    </row>
    <row r="338" spans="1:28" x14ac:dyDescent="0.25">
      <c r="A338" s="12">
        <v>45139</v>
      </c>
      <c r="B338" s="13" t="s">
        <v>791</v>
      </c>
      <c r="C338" s="20">
        <v>45147</v>
      </c>
      <c r="D338" s="13">
        <v>5877339</v>
      </c>
      <c r="E338" s="13" t="s">
        <v>244</v>
      </c>
      <c r="F338" s="13" t="s">
        <v>215</v>
      </c>
      <c r="G338" s="13" t="s">
        <v>132</v>
      </c>
      <c r="H338" s="123">
        <v>5230831</v>
      </c>
      <c r="I338" s="123" t="s">
        <v>35</v>
      </c>
      <c r="J338" s="14" t="s">
        <v>101</v>
      </c>
      <c r="K338" s="13">
        <v>240</v>
      </c>
      <c r="L338" s="13">
        <v>31</v>
      </c>
      <c r="M338" s="13">
        <f t="shared" ref="M338" si="291">+L338*K338</f>
        <v>7440</v>
      </c>
      <c r="N338" s="20">
        <v>45147</v>
      </c>
      <c r="O338" s="13" t="s">
        <v>136</v>
      </c>
      <c r="P338" s="13" t="s">
        <v>144</v>
      </c>
      <c r="Q338" s="123" t="s">
        <v>30</v>
      </c>
      <c r="R338" s="13" t="s">
        <v>488</v>
      </c>
      <c r="S338" s="31">
        <v>261630360328</v>
      </c>
      <c r="T338" s="20">
        <v>45147</v>
      </c>
      <c r="U338" s="123"/>
      <c r="V338" s="13">
        <v>390</v>
      </c>
      <c r="W338" s="29">
        <v>45147.600694444445</v>
      </c>
      <c r="X338" s="29">
        <v>45147.631944444445</v>
      </c>
      <c r="Y338" s="30">
        <f t="shared" ref="Y338" si="292">+X338-W338</f>
        <v>3.125E-2</v>
      </c>
      <c r="Z338" s="29">
        <v>45147.607638888891</v>
      </c>
      <c r="AA338" s="29">
        <v>45147.701388888891</v>
      </c>
      <c r="AB338" s="30">
        <f t="shared" ref="AB338" si="293">+AA338-Z338</f>
        <v>9.375E-2</v>
      </c>
    </row>
    <row r="339" spans="1:28" x14ac:dyDescent="0.25">
      <c r="A339" s="12">
        <v>45139</v>
      </c>
      <c r="B339" s="13" t="s">
        <v>793</v>
      </c>
      <c r="C339" s="20">
        <v>45147</v>
      </c>
      <c r="D339" s="13">
        <v>5877339</v>
      </c>
      <c r="E339" s="13" t="s">
        <v>579</v>
      </c>
      <c r="F339" s="13" t="s">
        <v>215</v>
      </c>
      <c r="G339" s="13" t="s">
        <v>132</v>
      </c>
      <c r="H339" s="123">
        <v>5230831</v>
      </c>
      <c r="I339" s="123" t="s">
        <v>35</v>
      </c>
      <c r="J339" s="14" t="s">
        <v>101</v>
      </c>
      <c r="K339" s="13">
        <v>240</v>
      </c>
      <c r="L339" s="13">
        <v>30</v>
      </c>
      <c r="M339" s="13">
        <f t="shared" si="288"/>
        <v>7200</v>
      </c>
      <c r="N339" s="20">
        <v>45147</v>
      </c>
      <c r="O339" s="13" t="s">
        <v>177</v>
      </c>
      <c r="P339" s="13" t="s">
        <v>134</v>
      </c>
      <c r="Q339" s="123">
        <v>2251</v>
      </c>
      <c r="R339" s="13" t="s">
        <v>792</v>
      </c>
      <c r="S339" s="31">
        <v>201630406257</v>
      </c>
      <c r="T339" s="20">
        <v>45147</v>
      </c>
      <c r="U339" s="123"/>
      <c r="V339" s="13">
        <v>391</v>
      </c>
      <c r="W339" s="29">
        <v>45147.732638888891</v>
      </c>
      <c r="X339" s="29">
        <v>45147.760416666664</v>
      </c>
      <c r="Y339" s="30">
        <f t="shared" si="289"/>
        <v>2.7777777773735579E-2</v>
      </c>
      <c r="Z339" s="29">
        <v>45147.736111111109</v>
      </c>
      <c r="AA339" s="29">
        <v>45147.756944444445</v>
      </c>
      <c r="AB339" s="30">
        <f t="shared" si="290"/>
        <v>2.0833333335758653E-2</v>
      </c>
    </row>
    <row r="340" spans="1:28" x14ac:dyDescent="0.25">
      <c r="A340" s="12">
        <v>45139</v>
      </c>
      <c r="B340" s="13" t="s">
        <v>794</v>
      </c>
      <c r="C340" s="20">
        <v>45148</v>
      </c>
      <c r="D340" s="13">
        <v>6874989</v>
      </c>
      <c r="E340" s="13" t="s">
        <v>795</v>
      </c>
      <c r="F340" s="13" t="s">
        <v>407</v>
      </c>
      <c r="G340" s="13" t="s">
        <v>192</v>
      </c>
      <c r="H340" s="17">
        <v>5212252</v>
      </c>
      <c r="I340" s="17" t="s">
        <v>23</v>
      </c>
      <c r="J340" s="13" t="s">
        <v>730</v>
      </c>
      <c r="K340" s="13">
        <v>25</v>
      </c>
      <c r="L340" s="13">
        <v>400</v>
      </c>
      <c r="M340" s="13">
        <f t="shared" si="288"/>
        <v>10000</v>
      </c>
      <c r="N340" s="20">
        <v>45148</v>
      </c>
      <c r="O340" s="13" t="s">
        <v>799</v>
      </c>
      <c r="P340" s="13" t="s">
        <v>134</v>
      </c>
      <c r="Q340" s="123">
        <v>2252</v>
      </c>
      <c r="R340" s="13" t="s">
        <v>796</v>
      </c>
      <c r="S340" s="31">
        <v>261630910070</v>
      </c>
      <c r="T340" s="20">
        <v>45148</v>
      </c>
      <c r="U340" s="123"/>
      <c r="V340" s="13">
        <v>392</v>
      </c>
      <c r="W340" s="29">
        <v>45148.6875</v>
      </c>
      <c r="X340" s="29">
        <v>45148.736111111109</v>
      </c>
      <c r="Y340" s="30">
        <f t="shared" si="289"/>
        <v>4.8611111109494232E-2</v>
      </c>
      <c r="Z340" s="29">
        <v>45148.694444444445</v>
      </c>
      <c r="AA340" s="29">
        <v>45148.729166666664</v>
      </c>
      <c r="AB340" s="30">
        <f t="shared" si="290"/>
        <v>3.4722222218988463E-2</v>
      </c>
    </row>
    <row r="341" spans="1:28" x14ac:dyDescent="0.25">
      <c r="A341" s="12">
        <v>45139</v>
      </c>
      <c r="B341" s="13" t="s">
        <v>797</v>
      </c>
      <c r="C341" s="20">
        <v>45145</v>
      </c>
      <c r="D341" s="13">
        <v>5936674</v>
      </c>
      <c r="E341" s="13" t="s">
        <v>798</v>
      </c>
      <c r="F341" s="13" t="s">
        <v>386</v>
      </c>
      <c r="G341" s="13" t="s">
        <v>192</v>
      </c>
      <c r="H341" s="17">
        <v>5210933</v>
      </c>
      <c r="I341" s="17" t="s">
        <v>21</v>
      </c>
      <c r="J341" s="13" t="s">
        <v>90</v>
      </c>
      <c r="K341" s="13">
        <v>25</v>
      </c>
      <c r="L341" s="13">
        <v>139</v>
      </c>
      <c r="M341" s="13">
        <f t="shared" si="288"/>
        <v>3475</v>
      </c>
      <c r="N341" s="20">
        <v>45148</v>
      </c>
      <c r="O341" s="13" t="s">
        <v>799</v>
      </c>
      <c r="P341" s="13" t="s">
        <v>134</v>
      </c>
      <c r="Q341" s="123">
        <v>2253</v>
      </c>
      <c r="R341" s="13" t="s">
        <v>796</v>
      </c>
      <c r="S341" s="31">
        <v>201630916082</v>
      </c>
      <c r="T341" s="20">
        <v>45148</v>
      </c>
      <c r="U341" s="123"/>
      <c r="V341" s="13">
        <v>392</v>
      </c>
      <c r="W341" s="29">
        <v>45148.6875</v>
      </c>
      <c r="X341" s="29">
        <v>45148.736111111109</v>
      </c>
      <c r="Y341" s="30">
        <f t="shared" ref="Y341:Y347" si="294">+X341-W341</f>
        <v>4.8611111109494232E-2</v>
      </c>
      <c r="Z341" s="29">
        <v>45148.694444444445</v>
      </c>
      <c r="AA341" s="29">
        <v>45148.729166666664</v>
      </c>
      <c r="AB341" s="30">
        <f t="shared" ref="AB341:AB347" si="295">+AA341-Z341</f>
        <v>3.4722222218988463E-2</v>
      </c>
    </row>
    <row r="342" spans="1:28" x14ac:dyDescent="0.25">
      <c r="A342" s="12">
        <v>45139</v>
      </c>
      <c r="B342" s="13" t="s">
        <v>797</v>
      </c>
      <c r="C342" s="20">
        <v>45145</v>
      </c>
      <c r="D342" s="13">
        <v>6929067</v>
      </c>
      <c r="E342" s="13" t="s">
        <v>798</v>
      </c>
      <c r="F342" s="13" t="s">
        <v>386</v>
      </c>
      <c r="G342" s="13" t="s">
        <v>192</v>
      </c>
      <c r="H342" s="17">
        <v>5212252</v>
      </c>
      <c r="I342" s="17" t="s">
        <v>23</v>
      </c>
      <c r="J342" s="13" t="s">
        <v>709</v>
      </c>
      <c r="K342" s="13">
        <v>25</v>
      </c>
      <c r="L342" s="13">
        <v>4</v>
      </c>
      <c r="M342" s="13">
        <f t="shared" si="288"/>
        <v>100</v>
      </c>
      <c r="N342" s="20">
        <v>45148</v>
      </c>
      <c r="O342" s="13" t="s">
        <v>799</v>
      </c>
      <c r="P342" s="13" t="s">
        <v>134</v>
      </c>
      <c r="Q342" s="123">
        <v>2253</v>
      </c>
      <c r="R342" s="13" t="s">
        <v>796</v>
      </c>
      <c r="S342" s="31">
        <v>201630916082</v>
      </c>
      <c r="T342" s="20">
        <v>45148</v>
      </c>
      <c r="U342" s="123"/>
      <c r="V342" s="13">
        <v>392</v>
      </c>
      <c r="W342" s="29">
        <v>45148.6875</v>
      </c>
      <c r="X342" s="29">
        <v>45148.736111111109</v>
      </c>
      <c r="Y342" s="30">
        <f t="shared" si="294"/>
        <v>4.8611111109494232E-2</v>
      </c>
      <c r="Z342" s="29">
        <v>45148.694444444445</v>
      </c>
      <c r="AA342" s="29">
        <v>45148.729166666664</v>
      </c>
      <c r="AB342" s="30">
        <f t="shared" si="295"/>
        <v>3.4722222218988463E-2</v>
      </c>
    </row>
    <row r="343" spans="1:28" x14ac:dyDescent="0.25">
      <c r="A343" s="12">
        <v>45139</v>
      </c>
      <c r="B343" s="13" t="s">
        <v>797</v>
      </c>
      <c r="C343" s="20">
        <v>45145</v>
      </c>
      <c r="D343" s="13">
        <v>5512760</v>
      </c>
      <c r="E343" s="13" t="s">
        <v>798</v>
      </c>
      <c r="F343" s="13" t="s">
        <v>386</v>
      </c>
      <c r="G343" s="13" t="s">
        <v>192</v>
      </c>
      <c r="H343" s="17">
        <v>5212256</v>
      </c>
      <c r="I343" s="17" t="s">
        <v>22</v>
      </c>
      <c r="J343" s="13" t="s">
        <v>74</v>
      </c>
      <c r="K343" s="13">
        <v>25</v>
      </c>
      <c r="L343" s="13">
        <v>4</v>
      </c>
      <c r="M343" s="13">
        <f t="shared" si="288"/>
        <v>100</v>
      </c>
      <c r="N343" s="20">
        <v>45148</v>
      </c>
      <c r="O343" s="13" t="s">
        <v>799</v>
      </c>
      <c r="P343" s="13" t="s">
        <v>134</v>
      </c>
      <c r="Q343" s="123">
        <v>2253</v>
      </c>
      <c r="R343" s="13" t="s">
        <v>796</v>
      </c>
      <c r="S343" s="31">
        <v>201630916082</v>
      </c>
      <c r="T343" s="20">
        <v>45148</v>
      </c>
      <c r="U343" s="123"/>
      <c r="V343" s="13">
        <v>392</v>
      </c>
      <c r="W343" s="29">
        <v>45148.6875</v>
      </c>
      <c r="X343" s="29">
        <v>45148.736111111109</v>
      </c>
      <c r="Y343" s="30">
        <f t="shared" si="294"/>
        <v>4.8611111109494232E-2</v>
      </c>
      <c r="Z343" s="29">
        <v>45148.694444444445</v>
      </c>
      <c r="AA343" s="29">
        <v>45148.729166666664</v>
      </c>
      <c r="AB343" s="30">
        <f t="shared" si="295"/>
        <v>3.4722222218988463E-2</v>
      </c>
    </row>
    <row r="344" spans="1:28" x14ac:dyDescent="0.25">
      <c r="A344" s="12">
        <v>45139</v>
      </c>
      <c r="B344" s="13" t="s">
        <v>800</v>
      </c>
      <c r="C344" s="20">
        <v>45148</v>
      </c>
      <c r="D344" s="13">
        <v>6874989</v>
      </c>
      <c r="E344" s="13" t="s">
        <v>395</v>
      </c>
      <c r="F344" s="13" t="s">
        <v>396</v>
      </c>
      <c r="G344" s="13" t="s">
        <v>192</v>
      </c>
      <c r="H344" s="17">
        <v>5212252</v>
      </c>
      <c r="I344" s="17" t="s">
        <v>23</v>
      </c>
      <c r="J344" s="13" t="s">
        <v>730</v>
      </c>
      <c r="K344" s="13">
        <v>25</v>
      </c>
      <c r="L344" s="13">
        <v>150</v>
      </c>
      <c r="M344" s="13">
        <f t="shared" si="288"/>
        <v>3750</v>
      </c>
      <c r="N344" s="20">
        <v>45149</v>
      </c>
      <c r="O344" s="13" t="s">
        <v>589</v>
      </c>
      <c r="P344" s="13" t="s">
        <v>134</v>
      </c>
      <c r="Q344" s="13">
        <v>2254</v>
      </c>
      <c r="R344" s="13" t="s">
        <v>801</v>
      </c>
      <c r="S344" s="31">
        <v>221631154731</v>
      </c>
      <c r="T344" s="20">
        <v>45149</v>
      </c>
      <c r="U344" s="123"/>
      <c r="V344" s="13">
        <v>393</v>
      </c>
      <c r="W344" s="29">
        <v>45149.409722222219</v>
      </c>
      <c r="X344" s="29">
        <v>45149.458333333336</v>
      </c>
      <c r="Y344" s="30">
        <f t="shared" si="294"/>
        <v>4.8611111116770189E-2</v>
      </c>
      <c r="Z344" s="29">
        <v>45149.416666666664</v>
      </c>
      <c r="AA344" s="29">
        <v>45149.451388888891</v>
      </c>
      <c r="AB344" s="30">
        <f t="shared" si="295"/>
        <v>3.4722222226264421E-2</v>
      </c>
    </row>
    <row r="345" spans="1:28" x14ac:dyDescent="0.25">
      <c r="A345" s="12">
        <v>45139</v>
      </c>
      <c r="B345" s="13" t="s">
        <v>800</v>
      </c>
      <c r="C345" s="20">
        <v>45148</v>
      </c>
      <c r="D345" s="13">
        <v>6874991</v>
      </c>
      <c r="E345" s="13" t="s">
        <v>395</v>
      </c>
      <c r="F345" s="13" t="s">
        <v>396</v>
      </c>
      <c r="G345" s="13" t="s">
        <v>192</v>
      </c>
      <c r="H345" s="17">
        <v>5212252</v>
      </c>
      <c r="I345" s="17" t="s">
        <v>23</v>
      </c>
      <c r="J345" s="13" t="s">
        <v>730</v>
      </c>
      <c r="K345" s="13">
        <v>25</v>
      </c>
      <c r="L345" s="13">
        <v>170</v>
      </c>
      <c r="M345" s="13">
        <f t="shared" ref="M345" si="296">+L345*K345</f>
        <v>4250</v>
      </c>
      <c r="N345" s="20">
        <v>45149</v>
      </c>
      <c r="O345" s="13" t="s">
        <v>589</v>
      </c>
      <c r="P345" s="13" t="s">
        <v>134</v>
      </c>
      <c r="Q345" s="13">
        <v>2254</v>
      </c>
      <c r="R345" s="13" t="s">
        <v>801</v>
      </c>
      <c r="S345" s="31">
        <v>221631154731</v>
      </c>
      <c r="T345" s="20">
        <v>45149</v>
      </c>
      <c r="U345" s="123"/>
      <c r="V345" s="13">
        <v>393</v>
      </c>
      <c r="W345" s="29">
        <v>45149.409722222219</v>
      </c>
      <c r="X345" s="29">
        <v>45149.458333333336</v>
      </c>
      <c r="Y345" s="30">
        <f t="shared" ref="Y345" si="297">+X345-W345</f>
        <v>4.8611111116770189E-2</v>
      </c>
      <c r="Z345" s="29">
        <v>45149.416666666664</v>
      </c>
      <c r="AA345" s="29">
        <v>45149.451388888891</v>
      </c>
      <c r="AB345" s="30">
        <f t="shared" ref="AB345" si="298">+AA345-Z345</f>
        <v>3.4722222226264421E-2</v>
      </c>
    </row>
    <row r="346" spans="1:28" x14ac:dyDescent="0.25">
      <c r="A346" s="12">
        <v>45139</v>
      </c>
      <c r="B346" s="13" t="s">
        <v>802</v>
      </c>
      <c r="C346" s="20">
        <v>45148</v>
      </c>
      <c r="D346" s="13">
        <v>6874991</v>
      </c>
      <c r="E346" s="13" t="s">
        <v>191</v>
      </c>
      <c r="F346" s="13" t="s">
        <v>135</v>
      </c>
      <c r="G346" s="13" t="s">
        <v>192</v>
      </c>
      <c r="H346" s="17">
        <v>5212252</v>
      </c>
      <c r="I346" s="17" t="s">
        <v>23</v>
      </c>
      <c r="J346" s="13" t="s">
        <v>757</v>
      </c>
      <c r="K346" s="13">
        <v>25</v>
      </c>
      <c r="L346" s="13">
        <v>200</v>
      </c>
      <c r="M346" s="13">
        <f t="shared" si="288"/>
        <v>5000</v>
      </c>
      <c r="N346" s="20">
        <v>45149</v>
      </c>
      <c r="O346" s="13" t="s">
        <v>259</v>
      </c>
      <c r="P346" s="13" t="s">
        <v>144</v>
      </c>
      <c r="Q346" s="123" t="s">
        <v>30</v>
      </c>
      <c r="R346" s="13" t="s">
        <v>803</v>
      </c>
      <c r="S346" s="31">
        <v>251631170231</v>
      </c>
      <c r="T346" s="20">
        <v>45149</v>
      </c>
      <c r="U346" s="123"/>
      <c r="V346" s="13">
        <v>394</v>
      </c>
      <c r="W346" s="29">
        <v>45149.451388888891</v>
      </c>
      <c r="X346" s="29">
        <v>45149.486111111109</v>
      </c>
      <c r="Y346" s="30">
        <f t="shared" si="294"/>
        <v>3.4722222218988463E-2</v>
      </c>
      <c r="Z346" s="29">
        <v>45149.458333333336</v>
      </c>
      <c r="AA346" s="29">
        <v>45149.479166666664</v>
      </c>
      <c r="AB346" s="30">
        <f t="shared" si="295"/>
        <v>2.0833333328482695E-2</v>
      </c>
    </row>
    <row r="347" spans="1:28" x14ac:dyDescent="0.25">
      <c r="A347" s="12">
        <v>45139</v>
      </c>
      <c r="B347" s="13" t="s">
        <v>804</v>
      </c>
      <c r="C347" s="20">
        <v>45148</v>
      </c>
      <c r="D347" s="13">
        <v>6929067</v>
      </c>
      <c r="E347" s="13" t="s">
        <v>191</v>
      </c>
      <c r="F347" s="13" t="s">
        <v>135</v>
      </c>
      <c r="G347" s="13" t="s">
        <v>192</v>
      </c>
      <c r="H347" s="17">
        <v>5212252</v>
      </c>
      <c r="I347" s="17" t="s">
        <v>23</v>
      </c>
      <c r="J347" s="13" t="s">
        <v>709</v>
      </c>
      <c r="K347" s="13">
        <v>25</v>
      </c>
      <c r="L347" s="13">
        <v>80</v>
      </c>
      <c r="M347" s="13">
        <f t="shared" si="288"/>
        <v>2000</v>
      </c>
      <c r="N347" s="20">
        <v>45149</v>
      </c>
      <c r="O347" s="13" t="s">
        <v>259</v>
      </c>
      <c r="P347" s="13" t="s">
        <v>144</v>
      </c>
      <c r="Q347" s="123" t="s">
        <v>30</v>
      </c>
      <c r="R347" s="13" t="s">
        <v>805</v>
      </c>
      <c r="S347" s="31">
        <v>201631171820</v>
      </c>
      <c r="T347" s="20">
        <v>45149</v>
      </c>
      <c r="U347" s="123"/>
      <c r="V347" s="13">
        <v>395</v>
      </c>
      <c r="W347" s="29">
        <v>45149.472222222219</v>
      </c>
      <c r="X347" s="29">
        <v>45149.493055555555</v>
      </c>
      <c r="Y347" s="30">
        <f t="shared" si="294"/>
        <v>2.0833333335758653E-2</v>
      </c>
      <c r="Z347" s="29">
        <v>45149.479166666664</v>
      </c>
      <c r="AA347" s="29">
        <v>45149.486111111109</v>
      </c>
      <c r="AB347" s="30">
        <f t="shared" si="295"/>
        <v>6.9444444452528842E-3</v>
      </c>
    </row>
    <row r="348" spans="1:28" x14ac:dyDescent="0.25">
      <c r="A348" s="12">
        <v>45139</v>
      </c>
      <c r="B348" s="13" t="s">
        <v>804</v>
      </c>
      <c r="C348" s="20">
        <v>45148</v>
      </c>
      <c r="D348" s="13">
        <v>6335482</v>
      </c>
      <c r="E348" s="13" t="s">
        <v>191</v>
      </c>
      <c r="F348" s="13" t="s">
        <v>135</v>
      </c>
      <c r="G348" s="13" t="s">
        <v>192</v>
      </c>
      <c r="H348" s="17">
        <v>5212259</v>
      </c>
      <c r="I348" s="17" t="s">
        <v>26</v>
      </c>
      <c r="J348" s="13" t="s">
        <v>447</v>
      </c>
      <c r="K348" s="13">
        <v>25</v>
      </c>
      <c r="L348" s="13">
        <v>120</v>
      </c>
      <c r="M348" s="13">
        <f t="shared" ref="M348:M351" si="299">+L348*K348</f>
        <v>3000</v>
      </c>
      <c r="N348" s="20">
        <v>45149</v>
      </c>
      <c r="O348" s="13" t="s">
        <v>259</v>
      </c>
      <c r="P348" s="13" t="s">
        <v>144</v>
      </c>
      <c r="Q348" s="123" t="s">
        <v>30</v>
      </c>
      <c r="R348" s="13" t="s">
        <v>805</v>
      </c>
      <c r="S348" s="31">
        <v>201631171820</v>
      </c>
      <c r="T348" s="20">
        <v>45149</v>
      </c>
      <c r="U348" s="123"/>
      <c r="V348" s="13">
        <v>395</v>
      </c>
      <c r="W348" s="29">
        <v>45149.472222222219</v>
      </c>
      <c r="X348" s="29">
        <v>45149.493055555555</v>
      </c>
      <c r="Y348" s="30">
        <f t="shared" ref="Y348:Y350" si="300">+X348-W348</f>
        <v>2.0833333335758653E-2</v>
      </c>
      <c r="Z348" s="29">
        <v>45149.479166666664</v>
      </c>
      <c r="AA348" s="29">
        <v>45149.486111111109</v>
      </c>
      <c r="AB348" s="30">
        <f t="shared" ref="AB348:AB350" si="301">+AA348-Z348</f>
        <v>6.9444444452528842E-3</v>
      </c>
    </row>
    <row r="349" spans="1:28" x14ac:dyDescent="0.25">
      <c r="A349" s="12">
        <v>45139</v>
      </c>
      <c r="B349" s="13" t="s">
        <v>806</v>
      </c>
      <c r="C349" s="20">
        <v>45149</v>
      </c>
      <c r="D349" s="13">
        <v>5877339</v>
      </c>
      <c r="E349" s="13" t="s">
        <v>196</v>
      </c>
      <c r="F349" s="13" t="s">
        <v>197</v>
      </c>
      <c r="G349" s="13" t="s">
        <v>132</v>
      </c>
      <c r="H349" s="123">
        <v>5230831</v>
      </c>
      <c r="I349" s="123" t="s">
        <v>35</v>
      </c>
      <c r="J349" s="14" t="s">
        <v>101</v>
      </c>
      <c r="K349" s="13">
        <v>240</v>
      </c>
      <c r="L349" s="13">
        <v>40</v>
      </c>
      <c r="M349" s="13">
        <f t="shared" si="299"/>
        <v>9600</v>
      </c>
      <c r="N349" s="20">
        <v>45149</v>
      </c>
      <c r="O349" s="13" t="s">
        <v>136</v>
      </c>
      <c r="P349" s="13" t="s">
        <v>144</v>
      </c>
      <c r="Q349" s="123" t="s">
        <v>30</v>
      </c>
      <c r="R349" s="13" t="s">
        <v>404</v>
      </c>
      <c r="S349" s="31">
        <v>281631297005</v>
      </c>
      <c r="T349" s="20">
        <v>45149</v>
      </c>
      <c r="U349" s="123"/>
      <c r="V349" s="13">
        <v>396</v>
      </c>
      <c r="W349" s="29">
        <v>45149.600694444445</v>
      </c>
      <c r="X349" s="29">
        <v>45149.631944444445</v>
      </c>
      <c r="Y349" s="30">
        <f t="shared" si="300"/>
        <v>3.125E-2</v>
      </c>
      <c r="Z349" s="29">
        <v>45149.607638888891</v>
      </c>
      <c r="AA349" s="29">
        <v>45149.625</v>
      </c>
      <c r="AB349" s="30">
        <f t="shared" si="301"/>
        <v>1.7361111109494232E-2</v>
      </c>
    </row>
    <row r="350" spans="1:28" x14ac:dyDescent="0.25">
      <c r="A350" s="12">
        <v>45139</v>
      </c>
      <c r="B350" s="13" t="s">
        <v>807</v>
      </c>
      <c r="C350" s="20">
        <v>45142</v>
      </c>
      <c r="D350" s="13">
        <v>6335482</v>
      </c>
      <c r="E350" s="13" t="s">
        <v>191</v>
      </c>
      <c r="F350" s="13" t="s">
        <v>135</v>
      </c>
      <c r="G350" s="13" t="s">
        <v>192</v>
      </c>
      <c r="H350" s="17">
        <v>5212259</v>
      </c>
      <c r="I350" s="17" t="s">
        <v>26</v>
      </c>
      <c r="J350" s="13" t="s">
        <v>447</v>
      </c>
      <c r="K350" s="13">
        <v>25</v>
      </c>
      <c r="L350" s="13">
        <v>400</v>
      </c>
      <c r="M350" s="13">
        <f t="shared" si="299"/>
        <v>10000</v>
      </c>
      <c r="N350" s="20">
        <v>45149</v>
      </c>
      <c r="O350" s="13" t="s">
        <v>399</v>
      </c>
      <c r="P350" s="13" t="s">
        <v>144</v>
      </c>
      <c r="Q350" s="123" t="s">
        <v>30</v>
      </c>
      <c r="R350" s="13" t="s">
        <v>808</v>
      </c>
      <c r="S350" s="31">
        <v>251631359629</v>
      </c>
      <c r="T350" s="20">
        <v>45149</v>
      </c>
      <c r="U350" s="123"/>
      <c r="V350" s="13">
        <v>397</v>
      </c>
      <c r="W350" s="29">
        <v>45149.520833333336</v>
      </c>
      <c r="X350" s="29">
        <v>45149.666666666664</v>
      </c>
      <c r="Y350" s="30">
        <f t="shared" si="300"/>
        <v>0.14583333332848269</v>
      </c>
      <c r="Z350" s="29">
        <v>45149.527777777781</v>
      </c>
      <c r="AA350" s="29">
        <v>45149.659722222219</v>
      </c>
      <c r="AB350" s="30">
        <f t="shared" si="301"/>
        <v>0.13194444443797693</v>
      </c>
    </row>
    <row r="351" spans="1:28" x14ac:dyDescent="0.25">
      <c r="A351" s="12">
        <v>45139</v>
      </c>
      <c r="B351" s="13" t="s">
        <v>809</v>
      </c>
      <c r="C351" s="20">
        <v>45148</v>
      </c>
      <c r="D351" s="13">
        <v>6874991</v>
      </c>
      <c r="E351" s="13" t="s">
        <v>191</v>
      </c>
      <c r="F351" s="13" t="s">
        <v>135</v>
      </c>
      <c r="G351" s="13" t="s">
        <v>192</v>
      </c>
      <c r="H351" s="17">
        <v>5212252</v>
      </c>
      <c r="I351" s="17" t="s">
        <v>23</v>
      </c>
      <c r="J351" s="13" t="s">
        <v>730</v>
      </c>
      <c r="K351" s="13">
        <v>25</v>
      </c>
      <c r="L351" s="13">
        <v>400</v>
      </c>
      <c r="M351" s="13">
        <f t="shared" si="299"/>
        <v>10000</v>
      </c>
      <c r="N351" s="20">
        <v>45149</v>
      </c>
      <c r="O351" s="13" t="s">
        <v>399</v>
      </c>
      <c r="P351" s="13" t="s">
        <v>144</v>
      </c>
      <c r="Q351" s="123" t="s">
        <v>30</v>
      </c>
      <c r="R351" s="13" t="s">
        <v>808</v>
      </c>
      <c r="S351" s="31">
        <v>291631338790</v>
      </c>
      <c r="T351" s="20">
        <v>45149</v>
      </c>
      <c r="U351" s="123"/>
      <c r="V351" s="13">
        <v>397</v>
      </c>
      <c r="W351" s="29">
        <v>45149.520833333336</v>
      </c>
      <c r="X351" s="29">
        <v>45149.666666666664</v>
      </c>
      <c r="Y351" s="30">
        <f t="shared" ref="Y351" si="302">+X351-W351</f>
        <v>0.14583333332848269</v>
      </c>
      <c r="Z351" s="29">
        <v>45149.527777777781</v>
      </c>
      <c r="AA351" s="29">
        <v>45149.659722222219</v>
      </c>
      <c r="AB351" s="30">
        <f t="shared" ref="AB351" si="303">+AA351-Z351</f>
        <v>0.13194444443797693</v>
      </c>
    </row>
    <row r="352" spans="1:28" x14ac:dyDescent="0.25">
      <c r="A352" s="12">
        <v>45139</v>
      </c>
      <c r="B352" s="13" t="s">
        <v>809</v>
      </c>
      <c r="C352" s="20">
        <v>45148</v>
      </c>
      <c r="D352" s="13">
        <v>7057019</v>
      </c>
      <c r="E352" s="13" t="s">
        <v>191</v>
      </c>
      <c r="F352" s="13" t="s">
        <v>135</v>
      </c>
      <c r="G352" s="13" t="s">
        <v>192</v>
      </c>
      <c r="H352" s="17">
        <v>5211013</v>
      </c>
      <c r="I352" s="17" t="s">
        <v>27</v>
      </c>
      <c r="J352" s="13" t="s">
        <v>786</v>
      </c>
      <c r="K352" s="13">
        <v>25</v>
      </c>
      <c r="L352" s="13">
        <v>400</v>
      </c>
      <c r="M352" s="13">
        <f t="shared" ref="M352:M353" si="304">+L352*K352</f>
        <v>10000</v>
      </c>
      <c r="N352" s="20">
        <v>45149</v>
      </c>
      <c r="O352" s="13" t="s">
        <v>399</v>
      </c>
      <c r="P352" s="13" t="s">
        <v>144</v>
      </c>
      <c r="Q352" s="123" t="s">
        <v>30</v>
      </c>
      <c r="R352" s="13" t="s">
        <v>808</v>
      </c>
      <c r="S352" s="31">
        <v>291631338790</v>
      </c>
      <c r="T352" s="20">
        <v>45149</v>
      </c>
      <c r="U352" s="123"/>
      <c r="V352" s="13">
        <v>397</v>
      </c>
      <c r="W352" s="29">
        <v>45149.520833333336</v>
      </c>
      <c r="X352" s="29">
        <v>45149.666666666664</v>
      </c>
      <c r="Y352" s="30">
        <f t="shared" ref="Y352:Y353" si="305">+X352-W352</f>
        <v>0.14583333332848269</v>
      </c>
      <c r="Z352" s="29">
        <v>45149.527777777781</v>
      </c>
      <c r="AA352" s="29">
        <v>45149.659722222219</v>
      </c>
      <c r="AB352" s="30">
        <f t="shared" ref="AB352:AB353" si="306">+AA352-Z352</f>
        <v>0.13194444443797693</v>
      </c>
    </row>
    <row r="353" spans="1:28" x14ac:dyDescent="0.25">
      <c r="A353" s="12">
        <v>45139</v>
      </c>
      <c r="B353" s="13" t="s">
        <v>815</v>
      </c>
      <c r="C353" s="20">
        <v>45152</v>
      </c>
      <c r="D353" s="13">
        <v>6874991</v>
      </c>
      <c r="E353" s="13" t="s">
        <v>191</v>
      </c>
      <c r="F353" s="13" t="s">
        <v>135</v>
      </c>
      <c r="G353" s="13" t="s">
        <v>192</v>
      </c>
      <c r="H353" s="17">
        <v>5212252</v>
      </c>
      <c r="I353" s="17" t="s">
        <v>23</v>
      </c>
      <c r="J353" s="13" t="s">
        <v>730</v>
      </c>
      <c r="K353" s="13">
        <v>25</v>
      </c>
      <c r="L353" s="13">
        <v>73</v>
      </c>
      <c r="M353" s="13">
        <f t="shared" si="304"/>
        <v>1825</v>
      </c>
      <c r="N353" s="20">
        <v>45152</v>
      </c>
      <c r="O353" s="13" t="s">
        <v>177</v>
      </c>
      <c r="P353" s="13" t="s">
        <v>144</v>
      </c>
      <c r="Q353" s="123" t="s">
        <v>30</v>
      </c>
      <c r="R353" s="13" t="s">
        <v>736</v>
      </c>
      <c r="S353" s="31">
        <v>201632668714</v>
      </c>
      <c r="T353" s="20">
        <v>45152</v>
      </c>
      <c r="U353" s="123"/>
      <c r="V353" s="13">
        <v>398</v>
      </c>
      <c r="W353" s="29">
        <v>45152.618055555555</v>
      </c>
      <c r="X353" s="29">
        <v>45152.722222222219</v>
      </c>
      <c r="Y353" s="30">
        <f t="shared" si="305"/>
        <v>0.10416666666424135</v>
      </c>
      <c r="Z353" s="29">
        <v>45152.659722222219</v>
      </c>
      <c r="AA353" s="29">
        <v>45152.6875</v>
      </c>
      <c r="AB353" s="30">
        <f t="shared" si="306"/>
        <v>2.7777777781011537E-2</v>
      </c>
    </row>
    <row r="354" spans="1:28" x14ac:dyDescent="0.25">
      <c r="A354" s="12">
        <v>45139</v>
      </c>
      <c r="B354" s="13" t="s">
        <v>815</v>
      </c>
      <c r="C354" s="20">
        <v>45152</v>
      </c>
      <c r="D354" s="13">
        <v>6929067</v>
      </c>
      <c r="E354" s="13" t="s">
        <v>191</v>
      </c>
      <c r="F354" s="13" t="s">
        <v>135</v>
      </c>
      <c r="G354" s="13" t="s">
        <v>192</v>
      </c>
      <c r="H354" s="17">
        <v>5212252</v>
      </c>
      <c r="I354" s="17" t="s">
        <v>23</v>
      </c>
      <c r="J354" s="13" t="s">
        <v>730</v>
      </c>
      <c r="K354" s="13">
        <v>25</v>
      </c>
      <c r="L354" s="13">
        <v>247</v>
      </c>
      <c r="M354" s="13">
        <f t="shared" ref="M354" si="307">+L354*K354</f>
        <v>6175</v>
      </c>
      <c r="N354" s="20">
        <v>45152</v>
      </c>
      <c r="O354" s="13" t="s">
        <v>177</v>
      </c>
      <c r="P354" s="13" t="s">
        <v>144</v>
      </c>
      <c r="Q354" s="123" t="s">
        <v>30</v>
      </c>
      <c r="R354" s="13" t="s">
        <v>736</v>
      </c>
      <c r="S354" s="31">
        <v>201632668714</v>
      </c>
      <c r="T354" s="20">
        <v>45152</v>
      </c>
      <c r="U354" s="123"/>
      <c r="V354" s="13">
        <v>398</v>
      </c>
      <c r="W354" s="29">
        <v>45152.618055555555</v>
      </c>
      <c r="X354" s="29">
        <v>45152.722222222219</v>
      </c>
      <c r="Y354" s="30">
        <f t="shared" ref="Y354" si="308">+X354-W354</f>
        <v>0.10416666666424135</v>
      </c>
      <c r="Z354" s="29">
        <v>45152.659722222219</v>
      </c>
      <c r="AA354" s="29">
        <v>45152.6875</v>
      </c>
      <c r="AB354" s="30">
        <f t="shared" ref="AB354" si="309">+AA354-Z354</f>
        <v>2.7777777781011537E-2</v>
      </c>
    </row>
    <row r="355" spans="1:28" x14ac:dyDescent="0.25">
      <c r="A355" s="12">
        <v>45139</v>
      </c>
      <c r="B355" s="13" t="s">
        <v>815</v>
      </c>
      <c r="C355" s="20">
        <v>45152</v>
      </c>
      <c r="D355" s="13">
        <v>6879598</v>
      </c>
      <c r="E355" s="13" t="s">
        <v>191</v>
      </c>
      <c r="F355" s="13" t="s">
        <v>135</v>
      </c>
      <c r="G355" s="13" t="s">
        <v>192</v>
      </c>
      <c r="H355" s="17">
        <v>5210162</v>
      </c>
      <c r="I355" s="17" t="s">
        <v>24</v>
      </c>
      <c r="J355" s="13" t="s">
        <v>711</v>
      </c>
      <c r="K355" s="13">
        <v>25</v>
      </c>
      <c r="L355" s="13">
        <v>40</v>
      </c>
      <c r="M355" s="13">
        <f t="shared" ref="M355:M357" si="310">+L355*K355</f>
        <v>1000</v>
      </c>
      <c r="N355" s="20">
        <v>45152</v>
      </c>
      <c r="O355" s="13" t="s">
        <v>177</v>
      </c>
      <c r="P355" s="13" t="s">
        <v>144</v>
      </c>
      <c r="Q355" s="123" t="s">
        <v>30</v>
      </c>
      <c r="R355" s="13" t="s">
        <v>736</v>
      </c>
      <c r="S355" s="31">
        <v>201632668714</v>
      </c>
      <c r="T355" s="20">
        <v>45152</v>
      </c>
      <c r="U355" s="123"/>
      <c r="V355" s="13">
        <v>398</v>
      </c>
      <c r="W355" s="29">
        <v>45152.618055555555</v>
      </c>
      <c r="X355" s="29">
        <v>45152.722222222219</v>
      </c>
      <c r="Y355" s="30">
        <f t="shared" ref="Y355:Y357" si="311">+X355-W355</f>
        <v>0.10416666666424135</v>
      </c>
      <c r="Z355" s="29">
        <v>45152.659722222219</v>
      </c>
      <c r="AA355" s="29">
        <v>45152.6875</v>
      </c>
      <c r="AB355" s="30">
        <f t="shared" ref="AB355:AB357" si="312">+AA355-Z355</f>
        <v>2.7777777781011537E-2</v>
      </c>
    </row>
    <row r="356" spans="1:28" x14ac:dyDescent="0.25">
      <c r="A356" s="12">
        <v>45139</v>
      </c>
      <c r="B356" s="13" t="s">
        <v>816</v>
      </c>
      <c r="C356" s="20">
        <v>45152</v>
      </c>
      <c r="D356" s="13">
        <v>5877339</v>
      </c>
      <c r="E356" s="13" t="s">
        <v>244</v>
      </c>
      <c r="F356" s="13" t="s">
        <v>215</v>
      </c>
      <c r="G356" s="13" t="s">
        <v>192</v>
      </c>
      <c r="H356" s="123">
        <v>5230831</v>
      </c>
      <c r="I356" s="123" t="s">
        <v>35</v>
      </c>
      <c r="J356" s="14" t="s">
        <v>101</v>
      </c>
      <c r="K356" s="13">
        <v>240</v>
      </c>
      <c r="L356" s="13">
        <v>40</v>
      </c>
      <c r="M356" s="13">
        <f t="shared" si="310"/>
        <v>9600</v>
      </c>
      <c r="N356" s="20">
        <v>45152</v>
      </c>
      <c r="O356" s="13" t="s">
        <v>136</v>
      </c>
      <c r="P356" s="13" t="s">
        <v>144</v>
      </c>
      <c r="Q356" s="123" t="s">
        <v>30</v>
      </c>
      <c r="R356" s="13" t="s">
        <v>817</v>
      </c>
      <c r="S356" s="31">
        <v>271632666342</v>
      </c>
      <c r="T356" s="20">
        <v>45152</v>
      </c>
      <c r="U356" s="123"/>
      <c r="V356" s="13">
        <v>399</v>
      </c>
      <c r="W356" s="29">
        <v>45152.708333333336</v>
      </c>
      <c r="X356" s="29">
        <v>45152.75</v>
      </c>
      <c r="Y356" s="30">
        <f t="shared" si="311"/>
        <v>4.1666666664241347E-2</v>
      </c>
      <c r="Z356" s="29">
        <v>45152.725694444445</v>
      </c>
      <c r="AA356" s="29">
        <v>45152.743055555555</v>
      </c>
      <c r="AB356" s="30">
        <f t="shared" si="312"/>
        <v>1.7361111109494232E-2</v>
      </c>
    </row>
    <row r="357" spans="1:28" x14ac:dyDescent="0.25">
      <c r="A357" s="12">
        <v>45139</v>
      </c>
      <c r="B357" s="13" t="s">
        <v>818</v>
      </c>
      <c r="C357" s="20">
        <v>45152</v>
      </c>
      <c r="D357" s="13">
        <v>5743038</v>
      </c>
      <c r="E357" s="13" t="s">
        <v>191</v>
      </c>
      <c r="F357" s="13" t="s">
        <v>135</v>
      </c>
      <c r="G357" s="13" t="s">
        <v>192</v>
      </c>
      <c r="H357" s="17">
        <v>5211014</v>
      </c>
      <c r="I357" s="17" t="s">
        <v>38</v>
      </c>
      <c r="J357" s="13" t="s">
        <v>88</v>
      </c>
      <c r="K357" s="13">
        <v>25</v>
      </c>
      <c r="L357" s="13">
        <v>560</v>
      </c>
      <c r="M357" s="13">
        <f t="shared" si="310"/>
        <v>14000</v>
      </c>
      <c r="N357" s="20">
        <v>45152</v>
      </c>
      <c r="O357" s="13" t="s">
        <v>399</v>
      </c>
      <c r="P357" s="13" t="s">
        <v>144</v>
      </c>
      <c r="Q357" s="123" t="s">
        <v>30</v>
      </c>
      <c r="R357" s="13" t="s">
        <v>819</v>
      </c>
      <c r="S357" s="31">
        <v>291632738720</v>
      </c>
      <c r="T357" s="20">
        <v>45152</v>
      </c>
      <c r="U357" s="123"/>
      <c r="V357" s="13">
        <v>400</v>
      </c>
      <c r="W357" s="29">
        <v>45152.618055555555</v>
      </c>
      <c r="X357" s="29">
        <v>45152.815972222219</v>
      </c>
      <c r="Y357" s="30">
        <f t="shared" si="311"/>
        <v>0.19791666666424135</v>
      </c>
      <c r="Z357" s="29">
        <v>45152.722222222219</v>
      </c>
      <c r="AA357" s="29">
        <v>45152.809027777781</v>
      </c>
      <c r="AB357" s="30">
        <f t="shared" si="312"/>
        <v>8.6805555562023073E-2</v>
      </c>
    </row>
    <row r="358" spans="1:28" x14ac:dyDescent="0.25">
      <c r="A358" s="12">
        <v>45139</v>
      </c>
      <c r="B358" s="13" t="s">
        <v>818</v>
      </c>
      <c r="C358" s="20">
        <v>45152</v>
      </c>
      <c r="D358" s="13">
        <v>5743038</v>
      </c>
      <c r="E358" s="13" t="s">
        <v>191</v>
      </c>
      <c r="F358" s="13" t="s">
        <v>135</v>
      </c>
      <c r="G358" s="13" t="s">
        <v>192</v>
      </c>
      <c r="H358" s="17">
        <v>5212259</v>
      </c>
      <c r="I358" s="17" t="s">
        <v>26</v>
      </c>
      <c r="J358" s="13" t="s">
        <v>87</v>
      </c>
      <c r="K358" s="13">
        <v>25</v>
      </c>
      <c r="L358" s="13">
        <v>10</v>
      </c>
      <c r="M358" s="13">
        <f t="shared" ref="M358:M361" si="313">+L358*K358</f>
        <v>250</v>
      </c>
      <c r="N358" s="20">
        <v>45152</v>
      </c>
      <c r="O358" s="13" t="s">
        <v>399</v>
      </c>
      <c r="P358" s="13" t="s">
        <v>144</v>
      </c>
      <c r="Q358" s="123" t="s">
        <v>30</v>
      </c>
      <c r="R358" s="13" t="s">
        <v>819</v>
      </c>
      <c r="S358" s="31">
        <v>291632738720</v>
      </c>
      <c r="T358" s="20">
        <v>45152</v>
      </c>
      <c r="U358" s="123"/>
      <c r="V358" s="13">
        <v>400</v>
      </c>
      <c r="W358" s="29">
        <v>45152.618055555555</v>
      </c>
      <c r="X358" s="29">
        <v>45152.815972222219</v>
      </c>
      <c r="Y358" s="30">
        <f t="shared" ref="Y358:Y361" si="314">+X358-W358</f>
        <v>0.19791666666424135</v>
      </c>
      <c r="Z358" s="29">
        <v>45152.722222222219</v>
      </c>
      <c r="AA358" s="29">
        <v>45152.809027777781</v>
      </c>
      <c r="AB358" s="30">
        <f t="shared" ref="AB358:AB361" si="315">+AA358-Z358</f>
        <v>8.6805555562023073E-2</v>
      </c>
    </row>
    <row r="359" spans="1:28" x14ac:dyDescent="0.25">
      <c r="A359" s="12">
        <v>45139</v>
      </c>
      <c r="B359" s="13" t="s">
        <v>818</v>
      </c>
      <c r="C359" s="20">
        <v>45152</v>
      </c>
      <c r="D359" s="13">
        <v>5936674</v>
      </c>
      <c r="E359" s="13" t="s">
        <v>191</v>
      </c>
      <c r="F359" s="13" t="s">
        <v>135</v>
      </c>
      <c r="G359" s="13" t="s">
        <v>192</v>
      </c>
      <c r="H359" s="17">
        <v>5212259</v>
      </c>
      <c r="I359" s="17" t="s">
        <v>26</v>
      </c>
      <c r="J359" s="13" t="s">
        <v>102</v>
      </c>
      <c r="K359" s="13">
        <v>25</v>
      </c>
      <c r="L359" s="13">
        <v>390</v>
      </c>
      <c r="M359" s="13">
        <f t="shared" ref="M359" si="316">+L359*K359</f>
        <v>9750</v>
      </c>
      <c r="N359" s="20">
        <v>45152</v>
      </c>
      <c r="O359" s="13" t="s">
        <v>399</v>
      </c>
      <c r="P359" s="13" t="s">
        <v>144</v>
      </c>
      <c r="Q359" s="123" t="s">
        <v>30</v>
      </c>
      <c r="R359" s="13" t="s">
        <v>819</v>
      </c>
      <c r="S359" s="31">
        <v>291632738720</v>
      </c>
      <c r="T359" s="20">
        <v>45152</v>
      </c>
      <c r="U359" s="123"/>
      <c r="V359" s="13">
        <v>400</v>
      </c>
      <c r="W359" s="29">
        <v>45152.618055555555</v>
      </c>
      <c r="X359" s="29">
        <v>45152.815972222219</v>
      </c>
      <c r="Y359" s="30">
        <f t="shared" ref="Y359" si="317">+X359-W359</f>
        <v>0.19791666666424135</v>
      </c>
      <c r="Z359" s="29">
        <v>45152.722222222219</v>
      </c>
      <c r="AA359" s="29">
        <v>45152.809027777781</v>
      </c>
      <c r="AB359" s="30">
        <f t="shared" ref="AB359" si="318">+AA359-Z359</f>
        <v>8.6805555562023073E-2</v>
      </c>
    </row>
    <row r="360" spans="1:28" x14ac:dyDescent="0.25">
      <c r="A360" s="12">
        <v>45139</v>
      </c>
      <c r="B360" s="13" t="s">
        <v>818</v>
      </c>
      <c r="C360" s="20">
        <v>45152</v>
      </c>
      <c r="D360" s="13">
        <v>6929067</v>
      </c>
      <c r="E360" s="13" t="s">
        <v>191</v>
      </c>
      <c r="F360" s="13" t="s">
        <v>135</v>
      </c>
      <c r="G360" s="13" t="s">
        <v>192</v>
      </c>
      <c r="H360" s="17">
        <v>5212252</v>
      </c>
      <c r="I360" s="17" t="s">
        <v>23</v>
      </c>
      <c r="J360" s="13" t="s">
        <v>778</v>
      </c>
      <c r="K360" s="13">
        <v>25</v>
      </c>
      <c r="L360" s="13">
        <v>240</v>
      </c>
      <c r="M360" s="13">
        <f t="shared" si="313"/>
        <v>6000</v>
      </c>
      <c r="N360" s="20">
        <v>45152</v>
      </c>
      <c r="O360" s="13" t="s">
        <v>399</v>
      </c>
      <c r="P360" s="13" t="s">
        <v>144</v>
      </c>
      <c r="Q360" s="123" t="s">
        <v>30</v>
      </c>
      <c r="R360" s="13" t="s">
        <v>819</v>
      </c>
      <c r="S360" s="31">
        <v>291632738720</v>
      </c>
      <c r="T360" s="20">
        <v>45152</v>
      </c>
      <c r="U360" s="123"/>
      <c r="V360" s="13">
        <v>400</v>
      </c>
      <c r="W360" s="29">
        <v>45152.618055555555</v>
      </c>
      <c r="X360" s="29">
        <v>45152.815972222219</v>
      </c>
      <c r="Y360" s="30">
        <f t="shared" si="314"/>
        <v>0.19791666666424135</v>
      </c>
      <c r="Z360" s="29">
        <v>45152.722222222219</v>
      </c>
      <c r="AA360" s="29">
        <v>45152.809027777781</v>
      </c>
      <c r="AB360" s="30">
        <f t="shared" si="315"/>
        <v>8.6805555562023073E-2</v>
      </c>
    </row>
    <row r="361" spans="1:28" x14ac:dyDescent="0.25">
      <c r="A361" s="12">
        <v>45139</v>
      </c>
      <c r="B361" s="13" t="s">
        <v>820</v>
      </c>
      <c r="C361" s="20">
        <v>45152</v>
      </c>
      <c r="D361" s="13">
        <v>5219103</v>
      </c>
      <c r="E361" s="13" t="s">
        <v>191</v>
      </c>
      <c r="F361" s="13" t="s">
        <v>135</v>
      </c>
      <c r="G361" s="13" t="s">
        <v>192</v>
      </c>
      <c r="H361" s="17">
        <v>5211014</v>
      </c>
      <c r="I361" s="17" t="s">
        <v>38</v>
      </c>
      <c r="J361" s="14" t="s">
        <v>69</v>
      </c>
      <c r="K361" s="13">
        <v>25</v>
      </c>
      <c r="L361" s="13">
        <v>10</v>
      </c>
      <c r="M361" s="13">
        <f t="shared" si="313"/>
        <v>250</v>
      </c>
      <c r="N361" s="20">
        <v>45152</v>
      </c>
      <c r="O361" s="13" t="s">
        <v>399</v>
      </c>
      <c r="P361" s="13" t="s">
        <v>144</v>
      </c>
      <c r="Q361" s="123" t="s">
        <v>30</v>
      </c>
      <c r="R361" s="13" t="s">
        <v>821</v>
      </c>
      <c r="S361" s="31">
        <v>201632771447</v>
      </c>
      <c r="T361" s="20">
        <v>45152</v>
      </c>
      <c r="U361" s="123"/>
      <c r="V361" s="13">
        <v>401</v>
      </c>
      <c r="W361" s="29">
        <v>45152.677083333336</v>
      </c>
      <c r="X361" s="29">
        <v>45152.875</v>
      </c>
      <c r="Y361" s="30">
        <f t="shared" si="314"/>
        <v>0.19791666666424135</v>
      </c>
      <c r="Z361" s="29">
        <v>45152.791666666664</v>
      </c>
      <c r="AA361" s="29">
        <v>45152.868055555555</v>
      </c>
      <c r="AB361" s="30">
        <f t="shared" si="315"/>
        <v>7.6388888890505768E-2</v>
      </c>
    </row>
    <row r="362" spans="1:28" x14ac:dyDescent="0.25">
      <c r="A362" s="12">
        <v>45139</v>
      </c>
      <c r="B362" s="13" t="s">
        <v>820</v>
      </c>
      <c r="C362" s="20">
        <v>45152</v>
      </c>
      <c r="D362" s="13">
        <v>5566306</v>
      </c>
      <c r="E362" s="13" t="s">
        <v>191</v>
      </c>
      <c r="F362" s="13" t="s">
        <v>135</v>
      </c>
      <c r="G362" s="13" t="s">
        <v>192</v>
      </c>
      <c r="H362" s="17">
        <v>5211014</v>
      </c>
      <c r="I362" s="17" t="s">
        <v>38</v>
      </c>
      <c r="J362" s="14" t="s">
        <v>72</v>
      </c>
      <c r="K362" s="13">
        <v>25</v>
      </c>
      <c r="L362" s="13">
        <v>10</v>
      </c>
      <c r="M362" s="13">
        <f t="shared" ref="M362:M363" si="319">+L362*K362</f>
        <v>250</v>
      </c>
      <c r="N362" s="20">
        <v>45152</v>
      </c>
      <c r="O362" s="13" t="s">
        <v>399</v>
      </c>
      <c r="P362" s="13" t="s">
        <v>144</v>
      </c>
      <c r="Q362" s="123" t="s">
        <v>30</v>
      </c>
      <c r="R362" s="13" t="s">
        <v>821</v>
      </c>
      <c r="S362" s="31">
        <v>201632771447</v>
      </c>
      <c r="T362" s="20">
        <v>45152</v>
      </c>
      <c r="U362" s="123"/>
      <c r="V362" s="13">
        <v>401</v>
      </c>
      <c r="W362" s="29">
        <v>45152.677083333336</v>
      </c>
      <c r="X362" s="29">
        <v>45152.875</v>
      </c>
      <c r="Y362" s="30">
        <f t="shared" ref="Y362:Y363" si="320">+X362-W362</f>
        <v>0.19791666666424135</v>
      </c>
      <c r="Z362" s="29">
        <v>45152.791666666664</v>
      </c>
      <c r="AA362" s="29">
        <v>45152.868055555555</v>
      </c>
      <c r="AB362" s="30">
        <f t="shared" ref="AB362:AB363" si="321">+AA362-Z362</f>
        <v>7.6388888890505768E-2</v>
      </c>
    </row>
    <row r="363" spans="1:28" x14ac:dyDescent="0.25">
      <c r="A363" s="12">
        <v>45139</v>
      </c>
      <c r="B363" s="13" t="s">
        <v>820</v>
      </c>
      <c r="C363" s="20">
        <v>45152</v>
      </c>
      <c r="D363" s="13">
        <v>5936674</v>
      </c>
      <c r="E363" s="13" t="s">
        <v>191</v>
      </c>
      <c r="F363" s="13" t="s">
        <v>135</v>
      </c>
      <c r="G363" s="13" t="s">
        <v>192</v>
      </c>
      <c r="H363" s="17">
        <v>5211014</v>
      </c>
      <c r="I363" s="17" t="s">
        <v>38</v>
      </c>
      <c r="J363" s="13" t="s">
        <v>94</v>
      </c>
      <c r="K363" s="13">
        <v>25</v>
      </c>
      <c r="L363" s="13">
        <v>80</v>
      </c>
      <c r="M363" s="13">
        <f t="shared" si="319"/>
        <v>2000</v>
      </c>
      <c r="N363" s="20">
        <v>45152</v>
      </c>
      <c r="O363" s="13" t="s">
        <v>399</v>
      </c>
      <c r="P363" s="13" t="s">
        <v>144</v>
      </c>
      <c r="Q363" s="123" t="s">
        <v>30</v>
      </c>
      <c r="R363" s="13" t="s">
        <v>821</v>
      </c>
      <c r="S363" s="31">
        <v>201632771447</v>
      </c>
      <c r="T363" s="20">
        <v>45152</v>
      </c>
      <c r="U363" s="123"/>
      <c r="V363" s="13">
        <v>401</v>
      </c>
      <c r="W363" s="29">
        <v>45152.677083333336</v>
      </c>
      <c r="X363" s="29">
        <v>45152.875</v>
      </c>
      <c r="Y363" s="30">
        <f t="shared" si="320"/>
        <v>0.19791666666424135</v>
      </c>
      <c r="Z363" s="29">
        <v>45152.791666666664</v>
      </c>
      <c r="AA363" s="29">
        <v>45152.868055555555</v>
      </c>
      <c r="AB363" s="30">
        <f t="shared" si="321"/>
        <v>7.6388888890505768E-2</v>
      </c>
    </row>
    <row r="364" spans="1:28" x14ac:dyDescent="0.25">
      <c r="A364" s="12">
        <v>45139</v>
      </c>
      <c r="B364" s="13" t="s">
        <v>820</v>
      </c>
      <c r="C364" s="20">
        <v>45152</v>
      </c>
      <c r="D364" s="13">
        <v>7057019</v>
      </c>
      <c r="E364" s="13" t="s">
        <v>191</v>
      </c>
      <c r="F364" s="13" t="s">
        <v>135</v>
      </c>
      <c r="G364" s="13" t="s">
        <v>192</v>
      </c>
      <c r="H364" s="17">
        <v>5211013</v>
      </c>
      <c r="I364" s="17" t="s">
        <v>27</v>
      </c>
      <c r="J364" s="13" t="s">
        <v>786</v>
      </c>
      <c r="K364" s="13">
        <v>25</v>
      </c>
      <c r="L364" s="13">
        <v>300</v>
      </c>
      <c r="M364" s="13">
        <f t="shared" ref="M364:M368" si="322">+L364*K364</f>
        <v>7500</v>
      </c>
      <c r="N364" s="20">
        <v>45152</v>
      </c>
      <c r="O364" s="13" t="s">
        <v>399</v>
      </c>
      <c r="P364" s="13" t="s">
        <v>144</v>
      </c>
      <c r="Q364" s="123" t="s">
        <v>30</v>
      </c>
      <c r="R364" s="13" t="s">
        <v>821</v>
      </c>
      <c r="S364" s="31">
        <v>201632771447</v>
      </c>
      <c r="T364" s="20">
        <v>45152</v>
      </c>
      <c r="U364" s="123"/>
      <c r="V364" s="13">
        <v>401</v>
      </c>
      <c r="W364" s="29">
        <v>45152.677083333336</v>
      </c>
      <c r="X364" s="29">
        <v>45152.875</v>
      </c>
      <c r="Y364" s="30">
        <f t="shared" ref="Y364:Y368" si="323">+X364-W364</f>
        <v>0.19791666666424135</v>
      </c>
      <c r="Z364" s="29">
        <v>45152.791666666664</v>
      </c>
      <c r="AA364" s="29">
        <v>45152.868055555555</v>
      </c>
      <c r="AB364" s="30">
        <f t="shared" ref="AB364:AB368" si="324">+AA364-Z364</f>
        <v>7.6388888890505768E-2</v>
      </c>
    </row>
    <row r="365" spans="1:28" x14ac:dyDescent="0.25">
      <c r="A365" s="12">
        <v>45139</v>
      </c>
      <c r="B365" s="13" t="s">
        <v>820</v>
      </c>
      <c r="C365" s="20">
        <v>45152</v>
      </c>
      <c r="D365" s="13">
        <v>6929067</v>
      </c>
      <c r="E365" s="13" t="s">
        <v>191</v>
      </c>
      <c r="F365" s="13" t="s">
        <v>135</v>
      </c>
      <c r="G365" s="13" t="s">
        <v>192</v>
      </c>
      <c r="H365" s="17">
        <v>5212252</v>
      </c>
      <c r="I365" s="17" t="s">
        <v>23</v>
      </c>
      <c r="J365" s="13" t="s">
        <v>778</v>
      </c>
      <c r="K365" s="13">
        <v>25</v>
      </c>
      <c r="L365" s="13">
        <v>800</v>
      </c>
      <c r="M365" s="13">
        <f t="shared" si="322"/>
        <v>20000</v>
      </c>
      <c r="N365" s="20">
        <v>45152</v>
      </c>
      <c r="O365" s="13" t="s">
        <v>399</v>
      </c>
      <c r="P365" s="13" t="s">
        <v>144</v>
      </c>
      <c r="Q365" s="123" t="s">
        <v>30</v>
      </c>
      <c r="R365" s="13" t="s">
        <v>821</v>
      </c>
      <c r="S365" s="31">
        <v>201632771447</v>
      </c>
      <c r="T365" s="20">
        <v>45152</v>
      </c>
      <c r="U365" s="123"/>
      <c r="V365" s="13">
        <v>401</v>
      </c>
      <c r="W365" s="29">
        <v>45152.677083333336</v>
      </c>
      <c r="X365" s="29">
        <v>45152.875</v>
      </c>
      <c r="Y365" s="30">
        <f t="shared" si="323"/>
        <v>0.19791666666424135</v>
      </c>
      <c r="Z365" s="29">
        <v>45152.791666666664</v>
      </c>
      <c r="AA365" s="29">
        <v>45152.868055555555</v>
      </c>
      <c r="AB365" s="30">
        <f t="shared" si="324"/>
        <v>7.6388888890505768E-2</v>
      </c>
    </row>
    <row r="366" spans="1:28" x14ac:dyDescent="0.25">
      <c r="A366" s="12">
        <v>45139</v>
      </c>
      <c r="B366" s="13" t="s">
        <v>826</v>
      </c>
      <c r="C366" s="20">
        <v>45154</v>
      </c>
      <c r="D366" s="13">
        <v>5877339</v>
      </c>
      <c r="E366" s="13" t="s">
        <v>244</v>
      </c>
      <c r="F366" s="13" t="s">
        <v>215</v>
      </c>
      <c r="G366" s="13" t="s">
        <v>192</v>
      </c>
      <c r="H366" s="123">
        <v>5230831</v>
      </c>
      <c r="I366" s="123" t="s">
        <v>35</v>
      </c>
      <c r="J366" s="14" t="s">
        <v>101</v>
      </c>
      <c r="K366" s="13">
        <v>240</v>
      </c>
      <c r="L366" s="13">
        <v>40</v>
      </c>
      <c r="M366" s="13">
        <f t="shared" si="322"/>
        <v>9600</v>
      </c>
      <c r="N366" s="20">
        <v>45154</v>
      </c>
      <c r="O366" s="13" t="s">
        <v>136</v>
      </c>
      <c r="P366" s="13" t="s">
        <v>144</v>
      </c>
      <c r="Q366" s="123" t="s">
        <v>30</v>
      </c>
      <c r="R366" s="13" t="s">
        <v>827</v>
      </c>
      <c r="S366" s="31">
        <v>261633200427</v>
      </c>
      <c r="T366" s="20">
        <v>45154</v>
      </c>
      <c r="U366" s="123"/>
      <c r="V366" s="13">
        <v>402</v>
      </c>
      <c r="W366" s="29">
        <v>45154.590277777781</v>
      </c>
      <c r="X366" s="29">
        <v>45154.628472222219</v>
      </c>
      <c r="Y366" s="30">
        <f t="shared" si="323"/>
        <v>3.8194444437976927E-2</v>
      </c>
      <c r="Z366" s="29">
        <v>45154.597222222219</v>
      </c>
      <c r="AA366" s="29">
        <v>45154.621527777781</v>
      </c>
      <c r="AB366" s="30">
        <f t="shared" si="324"/>
        <v>2.4305555562023073E-2</v>
      </c>
    </row>
    <row r="367" spans="1:28" x14ac:dyDescent="0.25">
      <c r="A367" s="12">
        <v>45139</v>
      </c>
      <c r="B367" s="13" t="s">
        <v>829</v>
      </c>
      <c r="C367" s="20">
        <v>45154</v>
      </c>
      <c r="D367" s="13">
        <v>5877339</v>
      </c>
      <c r="E367" s="13" t="s">
        <v>196</v>
      </c>
      <c r="F367" s="13" t="s">
        <v>197</v>
      </c>
      <c r="G367" s="13" t="s">
        <v>132</v>
      </c>
      <c r="H367" s="123">
        <v>5230831</v>
      </c>
      <c r="I367" s="123" t="s">
        <v>35</v>
      </c>
      <c r="J367" s="14" t="s">
        <v>101</v>
      </c>
      <c r="K367" s="13">
        <v>240</v>
      </c>
      <c r="L367" s="13">
        <v>40</v>
      </c>
      <c r="M367" s="13">
        <f t="shared" si="322"/>
        <v>9600</v>
      </c>
      <c r="N367" s="20">
        <v>45155</v>
      </c>
      <c r="O367" s="13" t="s">
        <v>136</v>
      </c>
      <c r="P367" s="13" t="s">
        <v>144</v>
      </c>
      <c r="Q367" s="123" t="s">
        <v>30</v>
      </c>
      <c r="R367" s="13" t="s">
        <v>265</v>
      </c>
      <c r="S367" s="31">
        <v>201633772618</v>
      </c>
      <c r="T367" s="20">
        <v>45155</v>
      </c>
      <c r="U367" s="123"/>
      <c r="V367" s="13">
        <v>403</v>
      </c>
      <c r="W367" s="29">
        <v>45155.649305555555</v>
      </c>
      <c r="X367" s="29">
        <v>45155.673611111109</v>
      </c>
      <c r="Y367" s="30">
        <f t="shared" si="323"/>
        <v>2.4305555554747116E-2</v>
      </c>
      <c r="Z367" s="29">
        <v>45155.65625</v>
      </c>
      <c r="AA367" s="29">
        <v>45155.666666666664</v>
      </c>
      <c r="AB367" s="30">
        <f t="shared" si="324"/>
        <v>1.0416666664241347E-2</v>
      </c>
    </row>
    <row r="368" spans="1:28" x14ac:dyDescent="0.25">
      <c r="A368" s="12">
        <v>45139</v>
      </c>
      <c r="B368" s="13" t="s">
        <v>830</v>
      </c>
      <c r="C368" s="20">
        <v>45155</v>
      </c>
      <c r="D368" s="13">
        <v>2988726</v>
      </c>
      <c r="E368" s="13" t="s">
        <v>831</v>
      </c>
      <c r="F368" s="13" t="s">
        <v>832</v>
      </c>
      <c r="G368" s="13" t="s">
        <v>132</v>
      </c>
      <c r="H368" s="17">
        <v>5303117</v>
      </c>
      <c r="I368" s="17" t="s">
        <v>36</v>
      </c>
      <c r="J368" s="14" t="s">
        <v>810</v>
      </c>
      <c r="K368" s="13">
        <v>210</v>
      </c>
      <c r="L368" s="13">
        <v>49</v>
      </c>
      <c r="M368" s="13">
        <f t="shared" si="322"/>
        <v>10290</v>
      </c>
      <c r="N368" s="20">
        <v>45155</v>
      </c>
      <c r="O368" s="13" t="s">
        <v>833</v>
      </c>
      <c r="P368" s="13" t="s">
        <v>144</v>
      </c>
      <c r="Q368" s="123" t="s">
        <v>30</v>
      </c>
      <c r="R368" s="13" t="s">
        <v>834</v>
      </c>
      <c r="S368" s="31">
        <v>241633814389</v>
      </c>
      <c r="T368" s="20">
        <v>45155</v>
      </c>
      <c r="U368" s="123"/>
      <c r="V368" s="13">
        <v>404</v>
      </c>
      <c r="W368" s="29">
        <v>45155.541666666664</v>
      </c>
      <c r="X368" s="29">
        <v>45155.659722222219</v>
      </c>
      <c r="Y368" s="30">
        <f t="shared" si="323"/>
        <v>0.11805555555474712</v>
      </c>
      <c r="Z368" s="29">
        <v>45155.621527777781</v>
      </c>
      <c r="AA368" s="29">
        <v>45155.652777777781</v>
      </c>
      <c r="AB368" s="30">
        <f t="shared" si="324"/>
        <v>3.125E-2</v>
      </c>
    </row>
    <row r="369" spans="1:28" x14ac:dyDescent="0.25">
      <c r="A369" s="12">
        <v>45139</v>
      </c>
      <c r="B369" s="13" t="s">
        <v>835</v>
      </c>
      <c r="C369" s="20">
        <v>45155</v>
      </c>
      <c r="D369" s="13">
        <v>6907842</v>
      </c>
      <c r="E369" s="13" t="s">
        <v>831</v>
      </c>
      <c r="F369" s="13" t="s">
        <v>832</v>
      </c>
      <c r="G369" s="13" t="s">
        <v>132</v>
      </c>
      <c r="H369" s="17">
        <v>5302847</v>
      </c>
      <c r="I369" s="17" t="s">
        <v>746</v>
      </c>
      <c r="J369" s="13" t="s">
        <v>748</v>
      </c>
      <c r="K369" s="13">
        <v>210</v>
      </c>
      <c r="L369" s="13">
        <v>20</v>
      </c>
      <c r="M369" s="13">
        <f t="shared" ref="M369:M370" si="325">+L369*K369</f>
        <v>4200</v>
      </c>
      <c r="N369" s="20">
        <v>45155</v>
      </c>
      <c r="O369" s="13" t="s">
        <v>833</v>
      </c>
      <c r="P369" s="13" t="s">
        <v>144</v>
      </c>
      <c r="Q369" s="123" t="s">
        <v>30</v>
      </c>
      <c r="R369" s="13" t="s">
        <v>834</v>
      </c>
      <c r="S369" s="31">
        <v>211633813332</v>
      </c>
      <c r="T369" s="20">
        <v>45155</v>
      </c>
      <c r="U369" s="123"/>
      <c r="V369" s="13">
        <v>404</v>
      </c>
      <c r="W369" s="29">
        <v>45155.541666666664</v>
      </c>
      <c r="X369" s="29">
        <v>45155.659722222219</v>
      </c>
      <c r="Y369" s="30">
        <f t="shared" ref="Y369:Y370" si="326">+X369-W369</f>
        <v>0.11805555555474712</v>
      </c>
      <c r="Z369" s="29">
        <v>45155.621527777781</v>
      </c>
      <c r="AA369" s="29">
        <v>45155.652777777781</v>
      </c>
      <c r="AB369" s="30">
        <f t="shared" ref="AB369:AB370" si="327">+AA369-Z369</f>
        <v>3.125E-2</v>
      </c>
    </row>
    <row r="370" spans="1:28" x14ac:dyDescent="0.25">
      <c r="A370" s="12">
        <v>45139</v>
      </c>
      <c r="B370" s="13" t="s">
        <v>836</v>
      </c>
      <c r="C370" s="20">
        <v>45155</v>
      </c>
      <c r="D370" s="13">
        <v>9474284</v>
      </c>
      <c r="E370" s="13" t="s">
        <v>837</v>
      </c>
      <c r="F370" s="13" t="s">
        <v>421</v>
      </c>
      <c r="G370" s="13" t="s">
        <v>192</v>
      </c>
      <c r="H370" s="17">
        <v>5212249</v>
      </c>
      <c r="I370" s="17" t="s">
        <v>28</v>
      </c>
      <c r="J370" s="123" t="s">
        <v>30</v>
      </c>
      <c r="K370" s="13">
        <v>25</v>
      </c>
      <c r="L370" s="13">
        <v>2</v>
      </c>
      <c r="M370" s="13">
        <f t="shared" si="325"/>
        <v>50</v>
      </c>
      <c r="N370" s="20">
        <v>45155</v>
      </c>
      <c r="O370" s="13" t="s">
        <v>259</v>
      </c>
      <c r="P370" s="13" t="s">
        <v>144</v>
      </c>
      <c r="Q370" s="123" t="s">
        <v>30</v>
      </c>
      <c r="R370" s="13" t="s">
        <v>838</v>
      </c>
      <c r="S370" s="31">
        <v>241633880856</v>
      </c>
      <c r="T370" s="20">
        <v>45155</v>
      </c>
      <c r="U370" s="123"/>
      <c r="V370" s="13">
        <v>405</v>
      </c>
      <c r="W370" s="29">
        <v>45155.729166666664</v>
      </c>
      <c r="X370" s="29">
        <v>45155.8125</v>
      </c>
      <c r="Y370" s="30">
        <f t="shared" si="326"/>
        <v>8.3333333335758653E-2</v>
      </c>
      <c r="Z370" s="29">
        <v>45155.791666666664</v>
      </c>
      <c r="AA370" s="29">
        <v>45155.805555555555</v>
      </c>
      <c r="AB370" s="30">
        <f t="shared" si="327"/>
        <v>1.3888888890505768E-2</v>
      </c>
    </row>
    <row r="371" spans="1:28" x14ac:dyDescent="0.25">
      <c r="A371" s="12">
        <v>45139</v>
      </c>
      <c r="B371" s="13" t="s">
        <v>836</v>
      </c>
      <c r="C371" s="20">
        <v>45155</v>
      </c>
      <c r="D371" s="13">
        <v>4605823</v>
      </c>
      <c r="E371" s="13" t="s">
        <v>837</v>
      </c>
      <c r="F371" s="13" t="s">
        <v>421</v>
      </c>
      <c r="G371" s="13" t="s">
        <v>192</v>
      </c>
      <c r="H371" s="17">
        <v>5210451</v>
      </c>
      <c r="I371" s="17" t="s">
        <v>29</v>
      </c>
      <c r="J371" s="13" t="s">
        <v>48</v>
      </c>
      <c r="K371" s="13">
        <v>25</v>
      </c>
      <c r="L371" s="13">
        <v>40</v>
      </c>
      <c r="M371" s="13">
        <f t="shared" ref="M371:M376" si="328">+L371*K371</f>
        <v>1000</v>
      </c>
      <c r="N371" s="20">
        <v>45155</v>
      </c>
      <c r="O371" s="13" t="s">
        <v>259</v>
      </c>
      <c r="P371" s="13" t="s">
        <v>144</v>
      </c>
      <c r="Q371" s="123" t="s">
        <v>30</v>
      </c>
      <c r="R371" s="13" t="s">
        <v>838</v>
      </c>
      <c r="S371" s="31">
        <v>241633880856</v>
      </c>
      <c r="T371" s="20">
        <v>45155</v>
      </c>
      <c r="U371" s="123"/>
      <c r="V371" s="13">
        <v>405</v>
      </c>
      <c r="W371" s="29">
        <v>45155.729166666664</v>
      </c>
      <c r="X371" s="29">
        <v>45155.8125</v>
      </c>
      <c r="Y371" s="30">
        <f t="shared" ref="Y371:Y376" si="329">+X371-W371</f>
        <v>8.3333333335758653E-2</v>
      </c>
      <c r="Z371" s="29">
        <v>45155.791666666664</v>
      </c>
      <c r="AA371" s="29">
        <v>45155.805555555555</v>
      </c>
      <c r="AB371" s="30">
        <f t="shared" ref="AB371:AB376" si="330">+AA371-Z371</f>
        <v>1.3888888890505768E-2</v>
      </c>
    </row>
    <row r="372" spans="1:28" x14ac:dyDescent="0.25">
      <c r="A372" s="12">
        <v>45139</v>
      </c>
      <c r="B372" s="13" t="s">
        <v>836</v>
      </c>
      <c r="C372" s="20">
        <v>45155</v>
      </c>
      <c r="D372" s="13">
        <v>6335482</v>
      </c>
      <c r="E372" s="13" t="s">
        <v>837</v>
      </c>
      <c r="F372" s="13" t="s">
        <v>421</v>
      </c>
      <c r="G372" s="13" t="s">
        <v>192</v>
      </c>
      <c r="H372" s="17">
        <v>5212259</v>
      </c>
      <c r="I372" s="17" t="s">
        <v>26</v>
      </c>
      <c r="J372" s="13" t="s">
        <v>447</v>
      </c>
      <c r="K372" s="13">
        <v>25</v>
      </c>
      <c r="L372" s="13">
        <v>80</v>
      </c>
      <c r="M372" s="13">
        <f t="shared" si="328"/>
        <v>2000</v>
      </c>
      <c r="N372" s="20">
        <v>45155</v>
      </c>
      <c r="O372" s="13" t="s">
        <v>259</v>
      </c>
      <c r="P372" s="13" t="s">
        <v>144</v>
      </c>
      <c r="Q372" s="123" t="s">
        <v>30</v>
      </c>
      <c r="R372" s="13" t="s">
        <v>838</v>
      </c>
      <c r="S372" s="31">
        <v>241633880856</v>
      </c>
      <c r="T372" s="20">
        <v>45155</v>
      </c>
      <c r="U372" s="123"/>
      <c r="V372" s="13">
        <v>405</v>
      </c>
      <c r="W372" s="29">
        <v>45155.729166666664</v>
      </c>
      <c r="X372" s="29">
        <v>45155.8125</v>
      </c>
      <c r="Y372" s="30">
        <f t="shared" si="329"/>
        <v>8.3333333335758653E-2</v>
      </c>
      <c r="Z372" s="29">
        <v>45155.791666666664</v>
      </c>
      <c r="AA372" s="29">
        <v>45155.805555555555</v>
      </c>
      <c r="AB372" s="30">
        <f t="shared" si="330"/>
        <v>1.3888888890505768E-2</v>
      </c>
    </row>
    <row r="373" spans="1:28" x14ac:dyDescent="0.25">
      <c r="A373" s="12">
        <v>45139</v>
      </c>
      <c r="B373" s="13" t="s">
        <v>836</v>
      </c>
      <c r="C373" s="20">
        <v>45155</v>
      </c>
      <c r="D373" s="13">
        <v>5743118</v>
      </c>
      <c r="E373" s="13" t="s">
        <v>837</v>
      </c>
      <c r="F373" s="13" t="s">
        <v>421</v>
      </c>
      <c r="G373" s="13" t="s">
        <v>192</v>
      </c>
      <c r="H373" s="17">
        <v>5211003</v>
      </c>
      <c r="I373" s="17" t="s">
        <v>31</v>
      </c>
      <c r="J373" s="13" t="s">
        <v>85</v>
      </c>
      <c r="K373" s="13">
        <v>25</v>
      </c>
      <c r="L373" s="13">
        <v>40</v>
      </c>
      <c r="M373" s="13">
        <f t="shared" si="328"/>
        <v>1000</v>
      </c>
      <c r="N373" s="20">
        <v>45155</v>
      </c>
      <c r="O373" s="13" t="s">
        <v>259</v>
      </c>
      <c r="P373" s="13" t="s">
        <v>144</v>
      </c>
      <c r="Q373" s="123" t="s">
        <v>30</v>
      </c>
      <c r="R373" s="13" t="s">
        <v>838</v>
      </c>
      <c r="S373" s="31">
        <v>241633880856</v>
      </c>
      <c r="T373" s="20">
        <v>45155</v>
      </c>
      <c r="U373" s="123"/>
      <c r="V373" s="13">
        <v>405</v>
      </c>
      <c r="W373" s="29">
        <v>45155.729166666664</v>
      </c>
      <c r="X373" s="29">
        <v>45155.8125</v>
      </c>
      <c r="Y373" s="30">
        <f t="shared" si="329"/>
        <v>8.3333333335758653E-2</v>
      </c>
      <c r="Z373" s="29">
        <v>45155.791666666664</v>
      </c>
      <c r="AA373" s="29">
        <v>45155.805555555555</v>
      </c>
      <c r="AB373" s="30">
        <f t="shared" si="330"/>
        <v>1.3888888890505768E-2</v>
      </c>
    </row>
    <row r="374" spans="1:28" x14ac:dyDescent="0.25">
      <c r="A374" s="12">
        <v>45139</v>
      </c>
      <c r="B374" s="13" t="s">
        <v>839</v>
      </c>
      <c r="C374" s="20">
        <v>45155</v>
      </c>
      <c r="D374" s="13">
        <v>6874989</v>
      </c>
      <c r="E374" s="13" t="s">
        <v>385</v>
      </c>
      <c r="F374" s="13" t="s">
        <v>386</v>
      </c>
      <c r="G374" s="13" t="s">
        <v>192</v>
      </c>
      <c r="H374" s="17">
        <v>5212252</v>
      </c>
      <c r="I374" s="17" t="s">
        <v>23</v>
      </c>
      <c r="J374" s="13" t="s">
        <v>729</v>
      </c>
      <c r="K374" s="13">
        <v>25</v>
      </c>
      <c r="L374" s="13">
        <v>814</v>
      </c>
      <c r="M374" s="13">
        <f t="shared" si="328"/>
        <v>20350</v>
      </c>
      <c r="N374" s="20">
        <v>45155</v>
      </c>
      <c r="O374" s="13" t="s">
        <v>399</v>
      </c>
      <c r="P374" s="13" t="s">
        <v>144</v>
      </c>
      <c r="Q374" s="123" t="s">
        <v>30</v>
      </c>
      <c r="R374" s="13" t="s">
        <v>840</v>
      </c>
      <c r="S374" s="31">
        <v>221633851942</v>
      </c>
      <c r="T374" s="20">
        <v>45155</v>
      </c>
      <c r="U374" s="123"/>
      <c r="V374" s="13">
        <v>406</v>
      </c>
      <c r="W374" s="29">
        <v>45155.625</v>
      </c>
      <c r="X374" s="29">
        <v>45155.798611111109</v>
      </c>
      <c r="Y374" s="30">
        <f t="shared" si="329"/>
        <v>0.17361111110949423</v>
      </c>
      <c r="Z374" s="29">
        <v>45155.697916666664</v>
      </c>
      <c r="AA374" s="29">
        <v>45155.791666666664</v>
      </c>
      <c r="AB374" s="30">
        <f t="shared" si="330"/>
        <v>9.375E-2</v>
      </c>
    </row>
    <row r="375" spans="1:28" x14ac:dyDescent="0.25">
      <c r="A375" s="12">
        <v>45139</v>
      </c>
      <c r="B375" s="13" t="s">
        <v>839</v>
      </c>
      <c r="C375" s="20">
        <v>45155</v>
      </c>
      <c r="D375" s="13">
        <v>6874991</v>
      </c>
      <c r="E375" s="13" t="s">
        <v>385</v>
      </c>
      <c r="F375" s="13" t="s">
        <v>386</v>
      </c>
      <c r="G375" s="13" t="s">
        <v>192</v>
      </c>
      <c r="H375" s="17">
        <v>5212252</v>
      </c>
      <c r="I375" s="17" t="s">
        <v>23</v>
      </c>
      <c r="J375" s="13" t="s">
        <v>757</v>
      </c>
      <c r="K375" s="13">
        <v>25</v>
      </c>
      <c r="L375" s="13">
        <v>386</v>
      </c>
      <c r="M375" s="13">
        <f t="shared" ref="M375" si="331">+L375*K375</f>
        <v>9650</v>
      </c>
      <c r="N375" s="20">
        <v>45155</v>
      </c>
      <c r="O375" s="13" t="s">
        <v>399</v>
      </c>
      <c r="P375" s="13" t="s">
        <v>144</v>
      </c>
      <c r="Q375" s="123" t="s">
        <v>30</v>
      </c>
      <c r="R375" s="13" t="s">
        <v>840</v>
      </c>
      <c r="S375" s="31">
        <v>221633851942</v>
      </c>
      <c r="T375" s="20">
        <v>45155</v>
      </c>
      <c r="U375" s="123"/>
      <c r="V375" s="13">
        <v>406</v>
      </c>
      <c r="W375" s="29">
        <v>45155.625</v>
      </c>
      <c r="X375" s="29">
        <v>45155.798611111109</v>
      </c>
      <c r="Y375" s="30">
        <f t="shared" ref="Y375" si="332">+X375-W375</f>
        <v>0.17361111110949423</v>
      </c>
      <c r="Z375" s="29">
        <v>45155.697916666664</v>
      </c>
      <c r="AA375" s="29">
        <v>45155.791666666664</v>
      </c>
      <c r="AB375" s="30">
        <f t="shared" ref="AB375" si="333">+AA375-Z375</f>
        <v>9.375E-2</v>
      </c>
    </row>
    <row r="376" spans="1:28" x14ac:dyDescent="0.25">
      <c r="A376" s="12">
        <v>45139</v>
      </c>
      <c r="B376" s="13" t="s">
        <v>841</v>
      </c>
      <c r="C376" s="20">
        <v>45155</v>
      </c>
      <c r="D376" s="13">
        <v>6929067</v>
      </c>
      <c r="E376" s="13" t="s">
        <v>385</v>
      </c>
      <c r="F376" s="13" t="s">
        <v>386</v>
      </c>
      <c r="G376" s="13" t="s">
        <v>192</v>
      </c>
      <c r="H376" s="17">
        <v>5212252</v>
      </c>
      <c r="I376" s="17" t="s">
        <v>23</v>
      </c>
      <c r="J376" s="13" t="s">
        <v>562</v>
      </c>
      <c r="K376" s="13">
        <v>25</v>
      </c>
      <c r="L376" s="13">
        <v>465</v>
      </c>
      <c r="M376" s="13">
        <f t="shared" si="328"/>
        <v>11625</v>
      </c>
      <c r="N376" s="20">
        <v>45155</v>
      </c>
      <c r="O376" s="13" t="s">
        <v>833</v>
      </c>
      <c r="P376" s="13" t="s">
        <v>144</v>
      </c>
      <c r="Q376" s="123" t="s">
        <v>30</v>
      </c>
      <c r="R376" s="13" t="s">
        <v>842</v>
      </c>
      <c r="S376" s="31">
        <v>291633850797</v>
      </c>
      <c r="T376" s="20">
        <v>45155</v>
      </c>
      <c r="U376" s="123"/>
      <c r="V376" s="13">
        <v>407</v>
      </c>
      <c r="W376" s="29">
        <v>45155.645833333336</v>
      </c>
      <c r="X376" s="29">
        <v>45155.8125</v>
      </c>
      <c r="Y376" s="30">
        <f t="shared" si="329"/>
        <v>0.16666666666424135</v>
      </c>
      <c r="Z376" s="29">
        <v>45155.75</v>
      </c>
      <c r="AA376" s="29">
        <v>45155.8125</v>
      </c>
      <c r="AB376" s="30">
        <f t="shared" si="330"/>
        <v>6.25E-2</v>
      </c>
    </row>
    <row r="377" spans="1:28" x14ac:dyDescent="0.25">
      <c r="A377" s="12">
        <v>45139</v>
      </c>
      <c r="B377" s="13" t="s">
        <v>841</v>
      </c>
      <c r="C377" s="20">
        <v>45155</v>
      </c>
      <c r="D377" s="13">
        <v>6874989</v>
      </c>
      <c r="E377" s="13" t="s">
        <v>385</v>
      </c>
      <c r="F377" s="13" t="s">
        <v>386</v>
      </c>
      <c r="G377" s="13" t="s">
        <v>192</v>
      </c>
      <c r="H377" s="17">
        <v>5212252</v>
      </c>
      <c r="I377" s="17" t="s">
        <v>23</v>
      </c>
      <c r="J377" s="13" t="s">
        <v>729</v>
      </c>
      <c r="K377" s="13">
        <v>25</v>
      </c>
      <c r="L377" s="13">
        <v>103</v>
      </c>
      <c r="M377" s="13">
        <f t="shared" ref="M377:M380" si="334">+L377*K377</f>
        <v>2575</v>
      </c>
      <c r="N377" s="20">
        <v>45155</v>
      </c>
      <c r="O377" s="13" t="s">
        <v>833</v>
      </c>
      <c r="P377" s="13" t="s">
        <v>144</v>
      </c>
      <c r="Q377" s="123" t="s">
        <v>30</v>
      </c>
      <c r="R377" s="13" t="s">
        <v>842</v>
      </c>
      <c r="S377" s="31">
        <v>291633850797</v>
      </c>
      <c r="T377" s="20">
        <v>45155</v>
      </c>
      <c r="U377" s="123"/>
      <c r="V377" s="13">
        <v>407</v>
      </c>
      <c r="W377" s="29">
        <v>45155.645833333336</v>
      </c>
      <c r="X377" s="29">
        <v>45155.8125</v>
      </c>
      <c r="Y377" s="30">
        <f t="shared" ref="Y377:Y380" si="335">+X377-W377</f>
        <v>0.16666666666424135</v>
      </c>
      <c r="Z377" s="29">
        <v>45155.75</v>
      </c>
      <c r="AA377" s="29">
        <v>45155.8125</v>
      </c>
      <c r="AB377" s="30">
        <f t="shared" ref="AB377:AB380" si="336">+AA377-Z377</f>
        <v>6.25E-2</v>
      </c>
    </row>
    <row r="378" spans="1:28" x14ac:dyDescent="0.25">
      <c r="A378" s="12">
        <v>45139</v>
      </c>
      <c r="B378" s="13" t="s">
        <v>841</v>
      </c>
      <c r="C378" s="20">
        <v>45155</v>
      </c>
      <c r="D378" s="13">
        <v>6874991</v>
      </c>
      <c r="E378" s="13" t="s">
        <v>385</v>
      </c>
      <c r="F378" s="13" t="s">
        <v>386</v>
      </c>
      <c r="G378" s="13" t="s">
        <v>192</v>
      </c>
      <c r="H378" s="17">
        <v>5212252</v>
      </c>
      <c r="I378" s="17" t="s">
        <v>23</v>
      </c>
      <c r="J378" s="13" t="s">
        <v>757</v>
      </c>
      <c r="K378" s="13">
        <v>25</v>
      </c>
      <c r="L378" s="13">
        <v>72</v>
      </c>
      <c r="M378" s="13">
        <f t="shared" si="334"/>
        <v>1800</v>
      </c>
      <c r="N378" s="20">
        <v>45155</v>
      </c>
      <c r="O378" s="13" t="s">
        <v>833</v>
      </c>
      <c r="P378" s="13" t="s">
        <v>144</v>
      </c>
      <c r="Q378" s="123" t="s">
        <v>30</v>
      </c>
      <c r="R378" s="13" t="s">
        <v>842</v>
      </c>
      <c r="S378" s="31">
        <v>291633850797</v>
      </c>
      <c r="T378" s="20">
        <v>45155</v>
      </c>
      <c r="U378" s="123"/>
      <c r="V378" s="13">
        <v>407</v>
      </c>
      <c r="W378" s="29">
        <v>45155.645833333336</v>
      </c>
      <c r="X378" s="29">
        <v>45155.8125</v>
      </c>
      <c r="Y378" s="30">
        <f t="shared" si="335"/>
        <v>0.16666666666424135</v>
      </c>
      <c r="Z378" s="29">
        <v>45155.75</v>
      </c>
      <c r="AA378" s="29">
        <v>45155.8125</v>
      </c>
      <c r="AB378" s="30">
        <f t="shared" si="336"/>
        <v>6.25E-2</v>
      </c>
    </row>
    <row r="379" spans="1:28" x14ac:dyDescent="0.25">
      <c r="A379" s="12">
        <v>45139</v>
      </c>
      <c r="B379" s="13" t="s">
        <v>850</v>
      </c>
      <c r="C379" s="20">
        <v>45155</v>
      </c>
      <c r="D379" s="13">
        <v>6874991</v>
      </c>
      <c r="E379" s="13" t="s">
        <v>385</v>
      </c>
      <c r="F379" s="13" t="s">
        <v>386</v>
      </c>
      <c r="G379" s="13" t="s">
        <v>192</v>
      </c>
      <c r="H379" s="17">
        <v>5212252</v>
      </c>
      <c r="I379" s="17" t="s">
        <v>23</v>
      </c>
      <c r="J379" s="13" t="s">
        <v>757</v>
      </c>
      <c r="K379" s="13">
        <v>25</v>
      </c>
      <c r="L379" s="13">
        <v>160</v>
      </c>
      <c r="M379" s="13">
        <f t="shared" si="334"/>
        <v>4000</v>
      </c>
      <c r="N379" s="20">
        <v>45156</v>
      </c>
      <c r="O379" s="13" t="s">
        <v>699</v>
      </c>
      <c r="P379" s="13" t="s">
        <v>144</v>
      </c>
      <c r="Q379" s="123" t="s">
        <v>30</v>
      </c>
      <c r="R379" s="13" t="s">
        <v>851</v>
      </c>
      <c r="S379" s="31">
        <v>201634109547</v>
      </c>
      <c r="T379" s="20">
        <v>45156</v>
      </c>
      <c r="U379" s="123"/>
      <c r="V379" s="13">
        <v>408</v>
      </c>
      <c r="W379" s="29">
        <v>45156.444444444445</v>
      </c>
      <c r="X379" s="29">
        <v>45156.472222222219</v>
      </c>
      <c r="Y379" s="30">
        <f t="shared" si="335"/>
        <v>2.7777777773735579E-2</v>
      </c>
      <c r="Z379" s="29">
        <v>45156.451388888891</v>
      </c>
      <c r="AA379" s="29">
        <v>45156.465277777781</v>
      </c>
      <c r="AB379" s="30">
        <f t="shared" si="336"/>
        <v>1.3888888890505768E-2</v>
      </c>
    </row>
    <row r="380" spans="1:28" x14ac:dyDescent="0.25">
      <c r="A380" s="12">
        <v>45139</v>
      </c>
      <c r="B380" s="13" t="s">
        <v>852</v>
      </c>
      <c r="C380" s="20">
        <v>45152</v>
      </c>
      <c r="D380" s="13">
        <v>5743038</v>
      </c>
      <c r="E380" s="13" t="s">
        <v>795</v>
      </c>
      <c r="F380" s="13" t="s">
        <v>407</v>
      </c>
      <c r="G380" s="13" t="s">
        <v>192</v>
      </c>
      <c r="H380" s="17">
        <v>5210451</v>
      </c>
      <c r="I380" s="17" t="s">
        <v>29</v>
      </c>
      <c r="J380" s="13" t="s">
        <v>80</v>
      </c>
      <c r="K380" s="13">
        <v>25</v>
      </c>
      <c r="L380" s="13">
        <v>240</v>
      </c>
      <c r="M380" s="13">
        <f t="shared" si="334"/>
        <v>6000</v>
      </c>
      <c r="N380" s="20">
        <v>45156</v>
      </c>
      <c r="O380" s="13" t="s">
        <v>136</v>
      </c>
      <c r="P380" s="13" t="s">
        <v>134</v>
      </c>
      <c r="Q380" s="123">
        <v>2255</v>
      </c>
      <c r="R380" s="13" t="s">
        <v>853</v>
      </c>
      <c r="S380" s="31">
        <v>211634194070</v>
      </c>
      <c r="T380" s="20">
        <v>45156</v>
      </c>
      <c r="U380" s="123"/>
      <c r="V380" s="13">
        <v>409</v>
      </c>
      <c r="W380" s="29">
        <v>45156.458333333336</v>
      </c>
      <c r="X380" s="29">
        <v>45156.534722222219</v>
      </c>
      <c r="Y380" s="30">
        <f t="shared" si="335"/>
        <v>7.6388888883229811E-2</v>
      </c>
      <c r="Z380" s="29">
        <v>45156.5</v>
      </c>
      <c r="AA380" s="29">
        <v>45156.527777777781</v>
      </c>
      <c r="AB380" s="30">
        <f t="shared" si="336"/>
        <v>2.7777777781011537E-2</v>
      </c>
    </row>
    <row r="381" spans="1:28" x14ac:dyDescent="0.25">
      <c r="A381" s="12">
        <v>45139</v>
      </c>
      <c r="B381" s="13" t="s">
        <v>852</v>
      </c>
      <c r="C381" s="20">
        <v>45152</v>
      </c>
      <c r="D381" s="13">
        <v>6134297</v>
      </c>
      <c r="E381" s="13" t="s">
        <v>795</v>
      </c>
      <c r="F381" s="13" t="s">
        <v>407</v>
      </c>
      <c r="G381" s="13" t="s">
        <v>192</v>
      </c>
      <c r="H381" s="17">
        <v>5211014</v>
      </c>
      <c r="I381" s="17" t="s">
        <v>38</v>
      </c>
      <c r="J381" s="13" t="s">
        <v>338</v>
      </c>
      <c r="K381" s="13">
        <v>25</v>
      </c>
      <c r="L381" s="13">
        <v>160</v>
      </c>
      <c r="M381" s="13">
        <f t="shared" ref="M381:M388" si="337">+L381*K381</f>
        <v>4000</v>
      </c>
      <c r="N381" s="20">
        <v>45156</v>
      </c>
      <c r="O381" s="13" t="s">
        <v>136</v>
      </c>
      <c r="P381" s="13" t="s">
        <v>134</v>
      </c>
      <c r="Q381" s="123">
        <v>2255</v>
      </c>
      <c r="R381" s="13" t="s">
        <v>853</v>
      </c>
      <c r="S381" s="31">
        <v>211634194070</v>
      </c>
      <c r="T381" s="20">
        <v>45156</v>
      </c>
      <c r="U381" s="123"/>
      <c r="V381" s="13">
        <v>409</v>
      </c>
      <c r="W381" s="29">
        <v>45156.458333333336</v>
      </c>
      <c r="X381" s="29">
        <v>45156.534722222219</v>
      </c>
      <c r="Y381" s="30">
        <f t="shared" ref="Y381:Y388" si="338">+X381-W381</f>
        <v>7.6388888883229811E-2</v>
      </c>
      <c r="Z381" s="29">
        <v>45156.5</v>
      </c>
      <c r="AA381" s="29">
        <v>45156.527777777781</v>
      </c>
      <c r="AB381" s="30">
        <f t="shared" ref="AB381:AB388" si="339">+AA381-Z381</f>
        <v>2.7777777781011537E-2</v>
      </c>
    </row>
    <row r="382" spans="1:28" x14ac:dyDescent="0.25">
      <c r="A382" s="12">
        <v>45139</v>
      </c>
      <c r="B382" s="13" t="s">
        <v>854</v>
      </c>
      <c r="C382" s="20">
        <v>45155</v>
      </c>
      <c r="D382" s="13">
        <v>6874989</v>
      </c>
      <c r="E382" s="13" t="s">
        <v>191</v>
      </c>
      <c r="F382" s="13" t="s">
        <v>135</v>
      </c>
      <c r="G382" s="13" t="s">
        <v>192</v>
      </c>
      <c r="H382" s="17">
        <v>5212252</v>
      </c>
      <c r="I382" s="17" t="s">
        <v>23</v>
      </c>
      <c r="J382" s="13" t="s">
        <v>729</v>
      </c>
      <c r="K382" s="13">
        <v>25</v>
      </c>
      <c r="L382" s="13">
        <v>17</v>
      </c>
      <c r="M382" s="13">
        <f t="shared" si="337"/>
        <v>425</v>
      </c>
      <c r="N382" s="20">
        <v>45156</v>
      </c>
      <c r="O382" s="13" t="s">
        <v>136</v>
      </c>
      <c r="P382" s="13" t="s">
        <v>144</v>
      </c>
      <c r="Q382" s="13" t="s">
        <v>30</v>
      </c>
      <c r="R382" s="13" t="s">
        <v>855</v>
      </c>
      <c r="S382" s="31">
        <v>201634267449</v>
      </c>
      <c r="T382" s="20">
        <v>45156</v>
      </c>
      <c r="U382" s="123"/>
      <c r="V382" s="13">
        <v>410</v>
      </c>
      <c r="W382" s="29">
        <v>45156.583333333336</v>
      </c>
      <c r="X382" s="29">
        <v>45156.649305555555</v>
      </c>
      <c r="Y382" s="30">
        <f t="shared" si="338"/>
        <v>6.5972222218988463E-2</v>
      </c>
      <c r="Z382" s="29">
        <v>45156.597222222219</v>
      </c>
      <c r="AA382" s="29">
        <v>45156.642361111109</v>
      </c>
      <c r="AB382" s="30">
        <f t="shared" si="339"/>
        <v>4.5138888890505768E-2</v>
      </c>
    </row>
    <row r="383" spans="1:28" x14ac:dyDescent="0.25">
      <c r="A383" s="12">
        <v>45139</v>
      </c>
      <c r="B383" s="13" t="s">
        <v>854</v>
      </c>
      <c r="C383" s="20">
        <v>45155</v>
      </c>
      <c r="D383" s="13">
        <v>6874991</v>
      </c>
      <c r="E383" s="13" t="s">
        <v>191</v>
      </c>
      <c r="F383" s="13" t="s">
        <v>135</v>
      </c>
      <c r="G383" s="13" t="s">
        <v>192</v>
      </c>
      <c r="H383" s="17">
        <v>5212252</v>
      </c>
      <c r="I383" s="17" t="s">
        <v>23</v>
      </c>
      <c r="J383" s="13" t="s">
        <v>757</v>
      </c>
      <c r="K383" s="13">
        <v>25</v>
      </c>
      <c r="L383" s="13">
        <v>139</v>
      </c>
      <c r="M383" s="13">
        <f t="shared" ref="M383:M385" si="340">+L383*K383</f>
        <v>3475</v>
      </c>
      <c r="N383" s="20">
        <v>45156</v>
      </c>
      <c r="O383" s="13" t="s">
        <v>136</v>
      </c>
      <c r="P383" s="13" t="s">
        <v>144</v>
      </c>
      <c r="Q383" s="13" t="s">
        <v>30</v>
      </c>
      <c r="R383" s="13" t="s">
        <v>855</v>
      </c>
      <c r="S383" s="31">
        <v>201634267449</v>
      </c>
      <c r="T383" s="20">
        <v>45156</v>
      </c>
      <c r="U383" s="123"/>
      <c r="V383" s="13">
        <v>410</v>
      </c>
      <c r="W383" s="29">
        <v>45156.583333333336</v>
      </c>
      <c r="X383" s="29">
        <v>45156.649305555555</v>
      </c>
      <c r="Y383" s="30">
        <f t="shared" ref="Y383:Y385" si="341">+X383-W383</f>
        <v>6.5972222218988463E-2</v>
      </c>
      <c r="Z383" s="29">
        <v>45156.597222222219</v>
      </c>
      <c r="AA383" s="29">
        <v>45156.642361111109</v>
      </c>
      <c r="AB383" s="30">
        <f t="shared" ref="AB383:AB385" si="342">+AA383-Z383</f>
        <v>4.5138888890505768E-2</v>
      </c>
    </row>
    <row r="384" spans="1:28" x14ac:dyDescent="0.25">
      <c r="A384" s="12">
        <v>45139</v>
      </c>
      <c r="B384" s="13" t="s">
        <v>854</v>
      </c>
      <c r="C384" s="20">
        <v>45155</v>
      </c>
      <c r="D384" s="13">
        <v>6929067</v>
      </c>
      <c r="E384" s="13" t="s">
        <v>191</v>
      </c>
      <c r="F384" s="13" t="s">
        <v>135</v>
      </c>
      <c r="G384" s="13" t="s">
        <v>192</v>
      </c>
      <c r="H384" s="17">
        <v>5212252</v>
      </c>
      <c r="I384" s="17" t="s">
        <v>23</v>
      </c>
      <c r="J384" s="13" t="s">
        <v>709</v>
      </c>
      <c r="K384" s="13">
        <v>25</v>
      </c>
      <c r="L384" s="13">
        <v>91</v>
      </c>
      <c r="M384" s="13">
        <f t="shared" si="340"/>
        <v>2275</v>
      </c>
      <c r="N384" s="20">
        <v>45156</v>
      </c>
      <c r="O384" s="13" t="s">
        <v>136</v>
      </c>
      <c r="P384" s="13" t="s">
        <v>144</v>
      </c>
      <c r="Q384" s="13" t="s">
        <v>30</v>
      </c>
      <c r="R384" s="13" t="s">
        <v>855</v>
      </c>
      <c r="S384" s="31">
        <v>201634267449</v>
      </c>
      <c r="T384" s="20">
        <v>45156</v>
      </c>
      <c r="U384" s="123"/>
      <c r="V384" s="13">
        <v>410</v>
      </c>
      <c r="W384" s="29">
        <v>45156.583333333336</v>
      </c>
      <c r="X384" s="29">
        <v>45156.649305555555</v>
      </c>
      <c r="Y384" s="30">
        <f t="shared" si="341"/>
        <v>6.5972222218988463E-2</v>
      </c>
      <c r="Z384" s="29">
        <v>45156.597222222219</v>
      </c>
      <c r="AA384" s="29">
        <v>45156.642361111109</v>
      </c>
      <c r="AB384" s="30">
        <f t="shared" si="342"/>
        <v>4.5138888890505768E-2</v>
      </c>
    </row>
    <row r="385" spans="1:28" x14ac:dyDescent="0.25">
      <c r="A385" s="12">
        <v>45139</v>
      </c>
      <c r="B385" s="13" t="s">
        <v>854</v>
      </c>
      <c r="C385" s="20">
        <v>45155</v>
      </c>
      <c r="D385" s="13">
        <v>6929067</v>
      </c>
      <c r="E385" s="13" t="s">
        <v>191</v>
      </c>
      <c r="F385" s="13" t="s">
        <v>135</v>
      </c>
      <c r="G385" s="13" t="s">
        <v>192</v>
      </c>
      <c r="H385" s="17">
        <v>5212252</v>
      </c>
      <c r="I385" s="17" t="s">
        <v>23</v>
      </c>
      <c r="J385" s="13" t="s">
        <v>730</v>
      </c>
      <c r="K385" s="13">
        <v>25</v>
      </c>
      <c r="L385" s="13">
        <v>15</v>
      </c>
      <c r="M385" s="13">
        <f t="shared" si="340"/>
        <v>375</v>
      </c>
      <c r="N385" s="20">
        <v>45156</v>
      </c>
      <c r="O385" s="13" t="s">
        <v>136</v>
      </c>
      <c r="P385" s="13" t="s">
        <v>144</v>
      </c>
      <c r="Q385" s="13" t="s">
        <v>30</v>
      </c>
      <c r="R385" s="13" t="s">
        <v>855</v>
      </c>
      <c r="S385" s="31">
        <v>201634267449</v>
      </c>
      <c r="T385" s="20">
        <v>45156</v>
      </c>
      <c r="U385" s="123"/>
      <c r="V385" s="13">
        <v>410</v>
      </c>
      <c r="W385" s="29">
        <v>45156.583333333336</v>
      </c>
      <c r="X385" s="29">
        <v>45156.649305555555</v>
      </c>
      <c r="Y385" s="30">
        <f t="shared" si="341"/>
        <v>6.5972222218988463E-2</v>
      </c>
      <c r="Z385" s="29">
        <v>45156.597222222219</v>
      </c>
      <c r="AA385" s="29">
        <v>45156.642361111109</v>
      </c>
      <c r="AB385" s="30">
        <f t="shared" si="342"/>
        <v>4.5138888890505768E-2</v>
      </c>
    </row>
    <row r="386" spans="1:28" x14ac:dyDescent="0.25">
      <c r="A386" s="12">
        <v>45139</v>
      </c>
      <c r="B386" s="13" t="s">
        <v>854</v>
      </c>
      <c r="C386" s="20">
        <v>45155</v>
      </c>
      <c r="D386" s="13">
        <v>6929067</v>
      </c>
      <c r="E386" s="13" t="s">
        <v>191</v>
      </c>
      <c r="F386" s="13" t="s">
        <v>135</v>
      </c>
      <c r="G386" s="13" t="s">
        <v>192</v>
      </c>
      <c r="H386" s="17">
        <v>5212252</v>
      </c>
      <c r="I386" s="17" t="s">
        <v>23</v>
      </c>
      <c r="J386" s="13" t="s">
        <v>778</v>
      </c>
      <c r="K386" s="13">
        <v>25</v>
      </c>
      <c r="L386" s="13">
        <v>138</v>
      </c>
      <c r="M386" s="13">
        <f t="shared" ref="M386" si="343">+L386*K386</f>
        <v>3450</v>
      </c>
      <c r="N386" s="20">
        <v>45156</v>
      </c>
      <c r="O386" s="13" t="s">
        <v>136</v>
      </c>
      <c r="P386" s="13" t="s">
        <v>144</v>
      </c>
      <c r="Q386" s="13" t="s">
        <v>30</v>
      </c>
      <c r="R386" s="13" t="s">
        <v>855</v>
      </c>
      <c r="S386" s="31">
        <v>201634267449</v>
      </c>
      <c r="T386" s="20">
        <v>45156</v>
      </c>
      <c r="U386" s="123"/>
      <c r="V386" s="13">
        <v>410</v>
      </c>
      <c r="W386" s="29">
        <v>45156.583333333336</v>
      </c>
      <c r="X386" s="29">
        <v>45156.649305555555</v>
      </c>
      <c r="Y386" s="30">
        <f t="shared" ref="Y386" si="344">+X386-W386</f>
        <v>6.5972222218988463E-2</v>
      </c>
      <c r="Z386" s="29">
        <v>45156.597222222219</v>
      </c>
      <c r="AA386" s="29">
        <v>45156.642361111109</v>
      </c>
      <c r="AB386" s="30">
        <f t="shared" ref="AB386" si="345">+AA386-Z386</f>
        <v>4.5138888890505768E-2</v>
      </c>
    </row>
    <row r="387" spans="1:28" x14ac:dyDescent="0.25">
      <c r="A387" s="12">
        <v>45139</v>
      </c>
      <c r="B387" s="13" t="s">
        <v>856</v>
      </c>
      <c r="C387" s="20">
        <v>45156</v>
      </c>
      <c r="D387" s="13">
        <v>5877339</v>
      </c>
      <c r="E387" s="13" t="s">
        <v>624</v>
      </c>
      <c r="F387" s="13" t="s">
        <v>135</v>
      </c>
      <c r="G387" s="13" t="s">
        <v>132</v>
      </c>
      <c r="H387" s="123">
        <v>5230831</v>
      </c>
      <c r="I387" s="123" t="s">
        <v>35</v>
      </c>
      <c r="J387" s="14" t="s">
        <v>101</v>
      </c>
      <c r="K387" s="13">
        <v>240</v>
      </c>
      <c r="L387" s="13">
        <v>30</v>
      </c>
      <c r="M387" s="13">
        <f t="shared" si="337"/>
        <v>7200</v>
      </c>
      <c r="N387" s="20">
        <v>45156</v>
      </c>
      <c r="O387" s="13" t="s">
        <v>589</v>
      </c>
      <c r="P387" s="13" t="s">
        <v>134</v>
      </c>
      <c r="Q387" s="123">
        <v>2256</v>
      </c>
      <c r="R387" s="13" t="s">
        <v>857</v>
      </c>
      <c r="S387" s="31">
        <v>241634329019</v>
      </c>
      <c r="T387" s="20">
        <v>45156</v>
      </c>
      <c r="U387" s="123"/>
      <c r="V387" s="13">
        <v>411</v>
      </c>
      <c r="W387" s="29">
        <v>45156.590277777781</v>
      </c>
      <c r="X387" s="29">
        <v>45156.677083333336</v>
      </c>
      <c r="Y387" s="30">
        <f t="shared" si="338"/>
        <v>8.6805555554747116E-2</v>
      </c>
      <c r="Z387" s="29">
        <v>45156.652777777781</v>
      </c>
      <c r="AA387" s="29">
        <v>45156.677083333336</v>
      </c>
      <c r="AB387" s="30">
        <f t="shared" si="339"/>
        <v>2.4305555554747116E-2</v>
      </c>
    </row>
    <row r="388" spans="1:28" x14ac:dyDescent="0.25">
      <c r="A388" s="12">
        <v>45139</v>
      </c>
      <c r="B388" s="13" t="s">
        <v>858</v>
      </c>
      <c r="C388" s="20">
        <v>45155</v>
      </c>
      <c r="D388" s="13">
        <v>6879599</v>
      </c>
      <c r="E388" s="13" t="s">
        <v>859</v>
      </c>
      <c r="F388" s="13" t="s">
        <v>289</v>
      </c>
      <c r="G388" s="13" t="s">
        <v>192</v>
      </c>
      <c r="H388" s="17">
        <v>5211013</v>
      </c>
      <c r="I388" s="17" t="s">
        <v>27</v>
      </c>
      <c r="J388" s="13" t="s">
        <v>714</v>
      </c>
      <c r="K388" s="13">
        <v>25</v>
      </c>
      <c r="L388" s="13">
        <v>80</v>
      </c>
      <c r="M388" s="13">
        <f t="shared" si="337"/>
        <v>2000</v>
      </c>
      <c r="N388" s="20">
        <v>45156</v>
      </c>
      <c r="O388" s="13" t="s">
        <v>425</v>
      </c>
      <c r="P388" s="13" t="s">
        <v>144</v>
      </c>
      <c r="Q388" s="123" t="s">
        <v>30</v>
      </c>
      <c r="R388" s="13" t="s">
        <v>860</v>
      </c>
      <c r="S388" s="31">
        <v>201634378402</v>
      </c>
      <c r="T388" s="20">
        <v>45156</v>
      </c>
      <c r="U388" s="123"/>
      <c r="V388" s="13">
        <v>412</v>
      </c>
      <c r="W388" s="29">
        <v>45156.638888888891</v>
      </c>
      <c r="X388" s="29">
        <v>45156.763888888891</v>
      </c>
      <c r="Y388" s="30">
        <f t="shared" si="338"/>
        <v>0.125</v>
      </c>
      <c r="Z388" s="29">
        <v>45156.680555555555</v>
      </c>
      <c r="AA388" s="29">
        <v>45156.756944444445</v>
      </c>
      <c r="AB388" s="30">
        <f t="shared" si="339"/>
        <v>7.6388888890505768E-2</v>
      </c>
    </row>
    <row r="389" spans="1:28" x14ac:dyDescent="0.25">
      <c r="A389" s="12">
        <v>45139</v>
      </c>
      <c r="B389" s="13" t="s">
        <v>858</v>
      </c>
      <c r="C389" s="20">
        <v>45155</v>
      </c>
      <c r="D389" s="13">
        <v>6756899</v>
      </c>
      <c r="E389" s="13" t="s">
        <v>859</v>
      </c>
      <c r="F389" s="13" t="s">
        <v>289</v>
      </c>
      <c r="G389" s="13" t="s">
        <v>192</v>
      </c>
      <c r="H389" s="17">
        <v>5210162</v>
      </c>
      <c r="I389" s="17" t="s">
        <v>24</v>
      </c>
      <c r="J389" s="13" t="s">
        <v>575</v>
      </c>
      <c r="K389" s="13">
        <v>25</v>
      </c>
      <c r="L389" s="13">
        <v>120</v>
      </c>
      <c r="M389" s="13">
        <f t="shared" ref="M389:M402" si="346">+L389*K389</f>
        <v>3000</v>
      </c>
      <c r="N389" s="20">
        <v>45156</v>
      </c>
      <c r="O389" s="13" t="s">
        <v>425</v>
      </c>
      <c r="P389" s="13" t="s">
        <v>144</v>
      </c>
      <c r="Q389" s="123" t="s">
        <v>30</v>
      </c>
      <c r="R389" s="13" t="s">
        <v>860</v>
      </c>
      <c r="S389" s="31">
        <v>201634378402</v>
      </c>
      <c r="T389" s="20">
        <v>45156</v>
      </c>
      <c r="U389" s="123"/>
      <c r="V389" s="13">
        <v>412</v>
      </c>
      <c r="W389" s="29">
        <v>45156.638888888891</v>
      </c>
      <c r="X389" s="29">
        <v>45156.763888888891</v>
      </c>
      <c r="Y389" s="30">
        <f t="shared" ref="Y389:Y395" si="347">+X389-W389</f>
        <v>0.125</v>
      </c>
      <c r="Z389" s="29">
        <v>45156.680555555555</v>
      </c>
      <c r="AA389" s="29">
        <v>45156.756944444445</v>
      </c>
      <c r="AB389" s="30">
        <f t="shared" ref="AB389:AB395" si="348">+AA389-Z389</f>
        <v>7.6388888890505768E-2</v>
      </c>
    </row>
    <row r="390" spans="1:28" x14ac:dyDescent="0.25">
      <c r="A390" s="12">
        <v>45139</v>
      </c>
      <c r="B390" s="13" t="s">
        <v>858</v>
      </c>
      <c r="C390" s="20">
        <v>45155</v>
      </c>
      <c r="D390" s="13">
        <v>6335482</v>
      </c>
      <c r="E390" s="13" t="s">
        <v>859</v>
      </c>
      <c r="F390" s="13" t="s">
        <v>289</v>
      </c>
      <c r="G390" s="13" t="s">
        <v>192</v>
      </c>
      <c r="H390" s="17">
        <v>5212259</v>
      </c>
      <c r="I390" s="17" t="s">
        <v>26</v>
      </c>
      <c r="J390" s="13" t="s">
        <v>45</v>
      </c>
      <c r="K390" s="13">
        <v>25</v>
      </c>
      <c r="L390" s="13">
        <v>120</v>
      </c>
      <c r="M390" s="13">
        <f t="shared" si="346"/>
        <v>3000</v>
      </c>
      <c r="N390" s="20">
        <v>45156</v>
      </c>
      <c r="O390" s="13" t="s">
        <v>425</v>
      </c>
      <c r="P390" s="13" t="s">
        <v>144</v>
      </c>
      <c r="Q390" s="123" t="s">
        <v>30</v>
      </c>
      <c r="R390" s="13" t="s">
        <v>860</v>
      </c>
      <c r="S390" s="31">
        <v>201634378402</v>
      </c>
      <c r="T390" s="20">
        <v>45156</v>
      </c>
      <c r="U390" s="123"/>
      <c r="V390" s="13">
        <v>412</v>
      </c>
      <c r="W390" s="29">
        <v>45156.638888888891</v>
      </c>
      <c r="X390" s="29">
        <v>45156.763888888891</v>
      </c>
      <c r="Y390" s="30">
        <f t="shared" si="347"/>
        <v>0.125</v>
      </c>
      <c r="Z390" s="29">
        <v>45156.680555555555</v>
      </c>
      <c r="AA390" s="29">
        <v>45156.756944444445</v>
      </c>
      <c r="AB390" s="30">
        <f t="shared" si="348"/>
        <v>7.6388888890505768E-2</v>
      </c>
    </row>
    <row r="391" spans="1:28" x14ac:dyDescent="0.25">
      <c r="A391" s="12">
        <v>45139</v>
      </c>
      <c r="B391" s="13" t="s">
        <v>858</v>
      </c>
      <c r="C391" s="20">
        <v>45155</v>
      </c>
      <c r="D391" s="13">
        <v>6874991</v>
      </c>
      <c r="E391" s="13" t="s">
        <v>859</v>
      </c>
      <c r="F391" s="13" t="s">
        <v>289</v>
      </c>
      <c r="G391" s="13" t="s">
        <v>192</v>
      </c>
      <c r="H391" s="17">
        <v>5212252</v>
      </c>
      <c r="I391" s="17" t="s">
        <v>23</v>
      </c>
      <c r="J391" s="13" t="s">
        <v>757</v>
      </c>
      <c r="K391" s="13">
        <v>25</v>
      </c>
      <c r="L391" s="13">
        <v>480</v>
      </c>
      <c r="M391" s="13">
        <f t="shared" si="346"/>
        <v>12000</v>
      </c>
      <c r="N391" s="20">
        <v>45156</v>
      </c>
      <c r="O391" s="13" t="s">
        <v>425</v>
      </c>
      <c r="P391" s="13" t="s">
        <v>144</v>
      </c>
      <c r="Q391" s="123" t="s">
        <v>30</v>
      </c>
      <c r="R391" s="13" t="s">
        <v>860</v>
      </c>
      <c r="S391" s="31">
        <v>201634378402</v>
      </c>
      <c r="T391" s="20">
        <v>45156</v>
      </c>
      <c r="U391" s="123"/>
      <c r="V391" s="13">
        <v>412</v>
      </c>
      <c r="W391" s="29">
        <v>45156.638888888891</v>
      </c>
      <c r="X391" s="29">
        <v>45156.763888888891</v>
      </c>
      <c r="Y391" s="30">
        <f t="shared" si="347"/>
        <v>0.125</v>
      </c>
      <c r="Z391" s="29">
        <v>45156.680555555555</v>
      </c>
      <c r="AA391" s="29">
        <v>45156.756944444445</v>
      </c>
      <c r="AB391" s="30">
        <f t="shared" si="348"/>
        <v>7.6388888890505768E-2</v>
      </c>
    </row>
    <row r="392" spans="1:28" x14ac:dyDescent="0.25">
      <c r="A392" s="12">
        <v>45139</v>
      </c>
      <c r="B392" s="13" t="s">
        <v>861</v>
      </c>
      <c r="C392" s="20">
        <v>45155</v>
      </c>
      <c r="D392" s="13">
        <v>2873684</v>
      </c>
      <c r="E392" s="13" t="s">
        <v>862</v>
      </c>
      <c r="F392" s="13" t="s">
        <v>524</v>
      </c>
      <c r="G392" s="13" t="s">
        <v>192</v>
      </c>
      <c r="H392" s="17">
        <v>5210009</v>
      </c>
      <c r="I392" s="17" t="s">
        <v>34</v>
      </c>
      <c r="J392" s="123" t="s">
        <v>30</v>
      </c>
      <c r="K392" s="13">
        <v>25</v>
      </c>
      <c r="L392" s="13">
        <v>6</v>
      </c>
      <c r="M392" s="13">
        <f t="shared" si="346"/>
        <v>150</v>
      </c>
      <c r="N392" s="20">
        <v>45157</v>
      </c>
      <c r="O392" s="13" t="s">
        <v>186</v>
      </c>
      <c r="P392" s="13" t="s">
        <v>144</v>
      </c>
      <c r="Q392" s="123">
        <v>64951803</v>
      </c>
      <c r="R392" s="13" t="s">
        <v>863</v>
      </c>
      <c r="S392" s="31" t="s">
        <v>864</v>
      </c>
      <c r="T392" s="20">
        <v>45157</v>
      </c>
      <c r="U392" s="123"/>
      <c r="V392" s="13">
        <v>413</v>
      </c>
      <c r="W392" s="29">
        <v>45157.673611111109</v>
      </c>
      <c r="X392" s="29">
        <v>45157.690972222219</v>
      </c>
      <c r="Y392" s="30">
        <f t="shared" si="347"/>
        <v>1.7361111109494232E-2</v>
      </c>
      <c r="Z392" s="29">
        <v>45157.680555555555</v>
      </c>
      <c r="AA392" s="29">
        <v>45157.684027777781</v>
      </c>
      <c r="AB392" s="30">
        <f t="shared" si="348"/>
        <v>3.4722222262644209E-3</v>
      </c>
    </row>
    <row r="393" spans="1:28" x14ac:dyDescent="0.25">
      <c r="A393" s="12">
        <v>45139</v>
      </c>
      <c r="B393" s="13" t="s">
        <v>865</v>
      </c>
      <c r="C393" s="20">
        <v>45159</v>
      </c>
      <c r="D393" s="17">
        <v>5230831</v>
      </c>
      <c r="E393" s="13" t="s">
        <v>196</v>
      </c>
      <c r="F393" s="13" t="s">
        <v>197</v>
      </c>
      <c r="G393" s="13" t="s">
        <v>132</v>
      </c>
      <c r="H393" s="123">
        <v>5230831</v>
      </c>
      <c r="I393" s="123" t="s">
        <v>35</v>
      </c>
      <c r="J393" s="14" t="s">
        <v>101</v>
      </c>
      <c r="K393" s="13">
        <v>240</v>
      </c>
      <c r="L393" s="13">
        <v>40</v>
      </c>
      <c r="M393" s="13">
        <f t="shared" si="346"/>
        <v>9600</v>
      </c>
      <c r="N393" s="20">
        <v>45159</v>
      </c>
      <c r="O393" s="13" t="s">
        <v>136</v>
      </c>
      <c r="P393" s="13" t="s">
        <v>144</v>
      </c>
      <c r="Q393" s="13" t="s">
        <v>30</v>
      </c>
      <c r="R393" s="13" t="s">
        <v>404</v>
      </c>
      <c r="S393" s="31">
        <v>271635535937</v>
      </c>
      <c r="T393" s="20">
        <v>45159</v>
      </c>
      <c r="U393" s="123"/>
      <c r="V393" s="13">
        <v>414</v>
      </c>
      <c r="W393" s="29">
        <v>45159.604166666664</v>
      </c>
      <c r="X393" s="29">
        <v>45159.666666666664</v>
      </c>
      <c r="Y393" s="30">
        <f t="shared" si="347"/>
        <v>6.25E-2</v>
      </c>
      <c r="Z393" s="29">
        <v>45159.638888888891</v>
      </c>
      <c r="AA393" s="29">
        <v>45159.659722222219</v>
      </c>
      <c r="AB393" s="30">
        <f t="shared" si="348"/>
        <v>2.0833333328482695E-2</v>
      </c>
    </row>
    <row r="394" spans="1:28" x14ac:dyDescent="0.25">
      <c r="A394" s="12">
        <v>45139</v>
      </c>
      <c r="B394" s="13" t="s">
        <v>866</v>
      </c>
      <c r="C394" s="20">
        <v>45159</v>
      </c>
      <c r="D394" s="17">
        <v>5230831</v>
      </c>
      <c r="E394" s="13" t="s">
        <v>624</v>
      </c>
      <c r="F394" s="13" t="s">
        <v>625</v>
      </c>
      <c r="G394" s="13" t="s">
        <v>132</v>
      </c>
      <c r="H394" s="123">
        <v>5230831</v>
      </c>
      <c r="I394" s="123" t="s">
        <v>35</v>
      </c>
      <c r="J394" s="14" t="s">
        <v>101</v>
      </c>
      <c r="K394" s="13">
        <v>240</v>
      </c>
      <c r="L394" s="13">
        <v>30</v>
      </c>
      <c r="M394" s="13">
        <f t="shared" si="346"/>
        <v>7200</v>
      </c>
      <c r="N394" s="20">
        <v>45159</v>
      </c>
      <c r="O394" s="13" t="s">
        <v>589</v>
      </c>
      <c r="P394" s="13" t="s">
        <v>134</v>
      </c>
      <c r="Q394" s="123">
        <v>2257</v>
      </c>
      <c r="R394" s="13" t="s">
        <v>867</v>
      </c>
      <c r="S394" s="31">
        <v>221635568912</v>
      </c>
      <c r="T394" s="20">
        <v>45159</v>
      </c>
      <c r="U394" s="123"/>
      <c r="V394" s="13">
        <v>415</v>
      </c>
      <c r="W394" s="29">
        <v>45159.625</v>
      </c>
      <c r="X394" s="29">
        <v>45159.6875</v>
      </c>
      <c r="Y394" s="30">
        <f t="shared" si="347"/>
        <v>6.25E-2</v>
      </c>
      <c r="Z394" s="29">
        <v>45159.666666666664</v>
      </c>
      <c r="AA394" s="29">
        <v>45159.680555555555</v>
      </c>
      <c r="AB394" s="30">
        <f t="shared" si="348"/>
        <v>1.3888888890505768E-2</v>
      </c>
    </row>
    <row r="395" spans="1:28" x14ac:dyDescent="0.25">
      <c r="A395" s="12">
        <v>45139</v>
      </c>
      <c r="B395" s="13" t="s">
        <v>868</v>
      </c>
      <c r="C395" s="20">
        <v>45159</v>
      </c>
      <c r="D395" s="13">
        <v>5153890</v>
      </c>
      <c r="E395" s="13" t="s">
        <v>648</v>
      </c>
      <c r="F395" s="13" t="s">
        <v>506</v>
      </c>
      <c r="G395" s="13" t="s">
        <v>132</v>
      </c>
      <c r="H395" s="17">
        <v>5231067</v>
      </c>
      <c r="I395" s="17" t="s">
        <v>64</v>
      </c>
      <c r="J395" s="14" t="s">
        <v>65</v>
      </c>
      <c r="K395" s="13">
        <v>200</v>
      </c>
      <c r="L395" s="13">
        <v>2</v>
      </c>
      <c r="M395" s="13">
        <f t="shared" si="346"/>
        <v>400</v>
      </c>
      <c r="N395" s="20">
        <v>45159</v>
      </c>
      <c r="O395" s="13" t="s">
        <v>136</v>
      </c>
      <c r="P395" s="13" t="s">
        <v>144</v>
      </c>
      <c r="Q395" s="13" t="s">
        <v>30</v>
      </c>
      <c r="R395" s="13" t="s">
        <v>869</v>
      </c>
      <c r="S395" s="31">
        <v>241635606416</v>
      </c>
      <c r="T395" s="20">
        <v>45159</v>
      </c>
      <c r="U395" s="123"/>
      <c r="V395" s="13">
        <v>416</v>
      </c>
      <c r="W395" s="29">
        <v>45159.645833333336</v>
      </c>
      <c r="X395" s="29">
        <v>45159.71875</v>
      </c>
      <c r="Y395" s="30">
        <f t="shared" si="347"/>
        <v>7.2916666664241347E-2</v>
      </c>
      <c r="Z395" s="29">
        <v>45159.697916666664</v>
      </c>
      <c r="AA395" s="29">
        <v>45159.71875</v>
      </c>
      <c r="AB395" s="30">
        <f t="shared" si="348"/>
        <v>2.0833333335758653E-2</v>
      </c>
    </row>
    <row r="396" spans="1:28" x14ac:dyDescent="0.25">
      <c r="A396" s="12">
        <v>45139</v>
      </c>
      <c r="B396" s="13" t="s">
        <v>868</v>
      </c>
      <c r="C396" s="20">
        <v>45159</v>
      </c>
      <c r="D396" s="13">
        <v>4923693</v>
      </c>
      <c r="E396" s="13" t="s">
        <v>648</v>
      </c>
      <c r="F396" s="13" t="s">
        <v>506</v>
      </c>
      <c r="G396" s="13" t="s">
        <v>132</v>
      </c>
      <c r="H396" s="17">
        <v>5230073</v>
      </c>
      <c r="I396" s="17" t="s">
        <v>54</v>
      </c>
      <c r="J396" s="14" t="s">
        <v>50</v>
      </c>
      <c r="K396" s="13">
        <v>250</v>
      </c>
      <c r="L396" s="13">
        <v>1</v>
      </c>
      <c r="M396" s="13">
        <f t="shared" si="346"/>
        <v>250</v>
      </c>
      <c r="N396" s="20">
        <v>45159</v>
      </c>
      <c r="O396" s="13" t="s">
        <v>136</v>
      </c>
      <c r="P396" s="13" t="s">
        <v>144</v>
      </c>
      <c r="Q396" s="13" t="s">
        <v>30</v>
      </c>
      <c r="R396" s="13" t="s">
        <v>869</v>
      </c>
      <c r="S396" s="31">
        <v>241635606416</v>
      </c>
      <c r="T396" s="20">
        <v>45159</v>
      </c>
      <c r="U396" s="123"/>
      <c r="V396" s="13">
        <v>416</v>
      </c>
      <c r="W396" s="29">
        <v>45159.645833333336</v>
      </c>
      <c r="X396" s="29">
        <v>45159.71875</v>
      </c>
      <c r="Y396" s="30">
        <f t="shared" ref="Y396:Y397" si="349">+X396-W396</f>
        <v>7.2916666664241347E-2</v>
      </c>
      <c r="Z396" s="29">
        <v>45159.697916666664</v>
      </c>
      <c r="AA396" s="29">
        <v>45159.71875</v>
      </c>
      <c r="AB396" s="30">
        <f t="shared" ref="AB396:AB397" si="350">+AA396-Z396</f>
        <v>2.0833333335758653E-2</v>
      </c>
    </row>
    <row r="397" spans="1:28" x14ac:dyDescent="0.25">
      <c r="A397" s="12">
        <v>45139</v>
      </c>
      <c r="B397" s="13" t="s">
        <v>870</v>
      </c>
      <c r="C397" s="20">
        <v>45159</v>
      </c>
      <c r="D397" s="17">
        <v>5230831</v>
      </c>
      <c r="E397" s="13" t="s">
        <v>648</v>
      </c>
      <c r="F397" s="13" t="s">
        <v>506</v>
      </c>
      <c r="G397" s="13" t="s">
        <v>132</v>
      </c>
      <c r="H397" s="123">
        <v>5230831</v>
      </c>
      <c r="I397" s="123" t="s">
        <v>35</v>
      </c>
      <c r="J397" s="14" t="s">
        <v>101</v>
      </c>
      <c r="K397" s="13">
        <v>240</v>
      </c>
      <c r="L397" s="13">
        <v>30</v>
      </c>
      <c r="M397" s="13">
        <f t="shared" si="346"/>
        <v>7200</v>
      </c>
      <c r="N397" s="20">
        <v>45159</v>
      </c>
      <c r="O397" s="13" t="s">
        <v>136</v>
      </c>
      <c r="P397" s="13" t="s">
        <v>144</v>
      </c>
      <c r="Q397" s="13" t="s">
        <v>30</v>
      </c>
      <c r="R397" s="13" t="s">
        <v>869</v>
      </c>
      <c r="S397" s="31">
        <v>261635614147</v>
      </c>
      <c r="T397" s="20">
        <v>45159</v>
      </c>
      <c r="U397" s="123"/>
      <c r="V397" s="13">
        <v>416</v>
      </c>
      <c r="W397" s="29">
        <v>45159.645833333336</v>
      </c>
      <c r="X397" s="29">
        <v>45159.71875</v>
      </c>
      <c r="Y397" s="30">
        <f t="shared" si="349"/>
        <v>7.2916666664241347E-2</v>
      </c>
      <c r="Z397" s="29">
        <v>45159.697916666664</v>
      </c>
      <c r="AA397" s="29">
        <v>45159.71875</v>
      </c>
      <c r="AB397" s="30">
        <f t="shared" si="350"/>
        <v>2.0833333335758653E-2</v>
      </c>
    </row>
    <row r="398" spans="1:28" x14ac:dyDescent="0.25">
      <c r="A398" s="12">
        <v>45139</v>
      </c>
      <c r="B398" s="13" t="s">
        <v>871</v>
      </c>
      <c r="C398" s="20">
        <v>45159</v>
      </c>
      <c r="D398" s="17">
        <v>5230831</v>
      </c>
      <c r="E398" s="13" t="s">
        <v>648</v>
      </c>
      <c r="F398" s="13" t="s">
        <v>506</v>
      </c>
      <c r="G398" s="13" t="s">
        <v>132</v>
      </c>
      <c r="H398" s="123">
        <v>5230831</v>
      </c>
      <c r="I398" s="123" t="s">
        <v>35</v>
      </c>
      <c r="J398" s="14" t="s">
        <v>101</v>
      </c>
      <c r="K398" s="13">
        <v>240</v>
      </c>
      <c r="L398" s="13">
        <v>5</v>
      </c>
      <c r="M398" s="13">
        <f t="shared" si="346"/>
        <v>1200</v>
      </c>
      <c r="N398" s="20">
        <v>45159</v>
      </c>
      <c r="O398" s="13" t="s">
        <v>136</v>
      </c>
      <c r="P398" s="13" t="s">
        <v>144</v>
      </c>
      <c r="Q398" s="13" t="s">
        <v>30</v>
      </c>
      <c r="R398" s="13" t="s">
        <v>869</v>
      </c>
      <c r="S398" s="31">
        <v>221635615320</v>
      </c>
      <c r="T398" s="20">
        <v>45159</v>
      </c>
      <c r="U398" s="123"/>
      <c r="V398" s="13">
        <v>416</v>
      </c>
      <c r="W398" s="29">
        <v>45159.645833333336</v>
      </c>
      <c r="X398" s="29">
        <v>45159.71875</v>
      </c>
      <c r="Y398" s="30">
        <f t="shared" ref="Y398:Y399" si="351">+X398-W398</f>
        <v>7.2916666664241347E-2</v>
      </c>
      <c r="Z398" s="29">
        <v>45159.697916666664</v>
      </c>
      <c r="AA398" s="29">
        <v>45159.71875</v>
      </c>
      <c r="AB398" s="30">
        <f t="shared" ref="AB398:AB399" si="352">+AA398-Z398</f>
        <v>2.0833333335758653E-2</v>
      </c>
    </row>
    <row r="399" spans="1:28" x14ac:dyDescent="0.25">
      <c r="A399" s="12">
        <v>45139</v>
      </c>
      <c r="B399" s="13" t="s">
        <v>872</v>
      </c>
      <c r="C399" s="20">
        <v>45159</v>
      </c>
      <c r="D399" s="13">
        <v>7197682</v>
      </c>
      <c r="E399" s="13" t="s">
        <v>191</v>
      </c>
      <c r="F399" s="13" t="s">
        <v>135</v>
      </c>
      <c r="G399" s="13" t="s">
        <v>192</v>
      </c>
      <c r="H399" s="17">
        <v>5212252</v>
      </c>
      <c r="I399" s="17" t="s">
        <v>23</v>
      </c>
      <c r="J399" s="13" t="s">
        <v>844</v>
      </c>
      <c r="K399" s="13">
        <v>25</v>
      </c>
      <c r="L399" s="13">
        <v>200</v>
      </c>
      <c r="M399" s="13">
        <f t="shared" si="346"/>
        <v>5000</v>
      </c>
      <c r="N399" s="20">
        <v>45159</v>
      </c>
      <c r="O399" s="13" t="s">
        <v>719</v>
      </c>
      <c r="P399" s="13" t="s">
        <v>144</v>
      </c>
      <c r="Q399" s="13" t="s">
        <v>30</v>
      </c>
      <c r="R399" s="13" t="s">
        <v>736</v>
      </c>
      <c r="S399" s="31">
        <v>201635638066</v>
      </c>
      <c r="T399" s="20">
        <v>45159</v>
      </c>
      <c r="U399" s="123"/>
      <c r="V399" s="13">
        <v>417</v>
      </c>
      <c r="W399" s="29">
        <v>45159.583333333336</v>
      </c>
      <c r="X399" s="29">
        <v>45159.743055555555</v>
      </c>
      <c r="Y399" s="30">
        <f t="shared" si="351"/>
        <v>0.15972222221898846</v>
      </c>
      <c r="Z399" s="29">
        <v>45159.708333333336</v>
      </c>
      <c r="AA399" s="29">
        <v>45159.743055555555</v>
      </c>
      <c r="AB399" s="30">
        <f t="shared" si="352"/>
        <v>3.4722222218988463E-2</v>
      </c>
    </row>
    <row r="400" spans="1:28" x14ac:dyDescent="0.25">
      <c r="A400" s="12">
        <v>45139</v>
      </c>
      <c r="B400" s="13" t="s">
        <v>873</v>
      </c>
      <c r="C400" s="20">
        <v>45159</v>
      </c>
      <c r="D400" s="13">
        <v>4605823</v>
      </c>
      <c r="E400" s="13" t="s">
        <v>191</v>
      </c>
      <c r="F400" s="13" t="s">
        <v>135</v>
      </c>
      <c r="G400" s="13" t="s">
        <v>192</v>
      </c>
      <c r="H400" s="17">
        <v>5210451</v>
      </c>
      <c r="I400" s="17" t="s">
        <v>29</v>
      </c>
      <c r="J400" s="13" t="s">
        <v>48</v>
      </c>
      <c r="K400" s="13">
        <v>25</v>
      </c>
      <c r="L400" s="13">
        <v>14</v>
      </c>
      <c r="M400" s="13">
        <f t="shared" si="346"/>
        <v>350</v>
      </c>
      <c r="N400" s="20">
        <v>45159</v>
      </c>
      <c r="O400" s="13" t="s">
        <v>719</v>
      </c>
      <c r="P400" s="13" t="s">
        <v>144</v>
      </c>
      <c r="Q400" s="13" t="s">
        <v>30</v>
      </c>
      <c r="R400" s="13" t="s">
        <v>736</v>
      </c>
      <c r="S400" s="31">
        <v>201635631627</v>
      </c>
      <c r="T400" s="20">
        <v>45159</v>
      </c>
      <c r="U400" s="123"/>
      <c r="V400" s="13">
        <v>417</v>
      </c>
      <c r="W400" s="29">
        <v>45159.583333333336</v>
      </c>
      <c r="X400" s="29">
        <v>45159.743055555555</v>
      </c>
      <c r="Y400" s="30">
        <f t="shared" ref="Y400:Y402" si="353">+X400-W400</f>
        <v>0.15972222221898846</v>
      </c>
      <c r="Z400" s="29">
        <v>45159.708333333336</v>
      </c>
      <c r="AA400" s="29">
        <v>45159.743055555555</v>
      </c>
      <c r="AB400" s="30">
        <f t="shared" ref="AB400:AB402" si="354">+AA400-Z400</f>
        <v>3.4722222218988463E-2</v>
      </c>
    </row>
    <row r="401" spans="1:28" x14ac:dyDescent="0.25">
      <c r="A401" s="12">
        <v>45139</v>
      </c>
      <c r="B401" s="13" t="s">
        <v>873</v>
      </c>
      <c r="C401" s="20">
        <v>45159</v>
      </c>
      <c r="D401" s="13">
        <v>6879598</v>
      </c>
      <c r="E401" s="13" t="s">
        <v>191</v>
      </c>
      <c r="F401" s="13" t="s">
        <v>135</v>
      </c>
      <c r="G401" s="13" t="s">
        <v>192</v>
      </c>
      <c r="H401" s="17">
        <v>5210162</v>
      </c>
      <c r="I401" s="17" t="s">
        <v>24</v>
      </c>
      <c r="J401" s="13" t="s">
        <v>711</v>
      </c>
      <c r="K401" s="13">
        <v>25</v>
      </c>
      <c r="L401" s="13">
        <v>80</v>
      </c>
      <c r="M401" s="13">
        <f t="shared" si="346"/>
        <v>2000</v>
      </c>
      <c r="N401" s="20">
        <v>45159</v>
      </c>
      <c r="O401" s="13" t="s">
        <v>719</v>
      </c>
      <c r="P401" s="13" t="s">
        <v>144</v>
      </c>
      <c r="Q401" s="13" t="s">
        <v>30</v>
      </c>
      <c r="R401" s="13" t="s">
        <v>736</v>
      </c>
      <c r="S401" s="31">
        <v>201635631627</v>
      </c>
      <c r="T401" s="20">
        <v>45159</v>
      </c>
      <c r="U401" s="123"/>
      <c r="V401" s="13">
        <v>417</v>
      </c>
      <c r="W401" s="29">
        <v>45159.583333333336</v>
      </c>
      <c r="X401" s="29">
        <v>45159.743055555555</v>
      </c>
      <c r="Y401" s="30">
        <f t="shared" si="353"/>
        <v>0.15972222221898846</v>
      </c>
      <c r="Z401" s="29">
        <v>45159.708333333336</v>
      </c>
      <c r="AA401" s="29">
        <v>45159.743055555555</v>
      </c>
      <c r="AB401" s="30">
        <f t="shared" si="354"/>
        <v>3.4722222218988463E-2</v>
      </c>
    </row>
    <row r="402" spans="1:28" x14ac:dyDescent="0.25">
      <c r="A402" s="12">
        <v>45139</v>
      </c>
      <c r="B402" s="13" t="s">
        <v>874</v>
      </c>
      <c r="C402" s="20">
        <v>45159</v>
      </c>
      <c r="D402" s="13">
        <v>6874989</v>
      </c>
      <c r="E402" s="13" t="s">
        <v>191</v>
      </c>
      <c r="F402" s="13" t="s">
        <v>135</v>
      </c>
      <c r="G402" s="13" t="s">
        <v>192</v>
      </c>
      <c r="H402" s="17">
        <v>5212252</v>
      </c>
      <c r="I402" s="17" t="s">
        <v>23</v>
      </c>
      <c r="J402" s="13" t="s">
        <v>729</v>
      </c>
      <c r="K402" s="13">
        <v>25</v>
      </c>
      <c r="L402" s="13">
        <v>75</v>
      </c>
      <c r="M402" s="13">
        <f t="shared" si="346"/>
        <v>1875</v>
      </c>
      <c r="N402" s="20">
        <v>45159</v>
      </c>
      <c r="O402" s="13" t="s">
        <v>136</v>
      </c>
      <c r="P402" s="13" t="s">
        <v>144</v>
      </c>
      <c r="Q402" s="13" t="s">
        <v>30</v>
      </c>
      <c r="R402" s="13" t="s">
        <v>875</v>
      </c>
      <c r="S402" s="31">
        <v>291635639686</v>
      </c>
      <c r="T402" s="20">
        <v>45159</v>
      </c>
      <c r="U402" s="123"/>
      <c r="V402" s="13">
        <v>418</v>
      </c>
      <c r="W402" s="29">
        <v>45159.652777777781</v>
      </c>
      <c r="X402" s="29">
        <v>45159.770833333336</v>
      </c>
      <c r="Y402" s="30">
        <f t="shared" si="353"/>
        <v>0.11805555555474712</v>
      </c>
      <c r="Z402" s="29">
        <v>45159.736111111109</v>
      </c>
      <c r="AA402" s="29">
        <v>45159.767361111109</v>
      </c>
      <c r="AB402" s="30">
        <f t="shared" si="354"/>
        <v>3.125E-2</v>
      </c>
    </row>
    <row r="403" spans="1:28" x14ac:dyDescent="0.25">
      <c r="A403" s="12">
        <v>45139</v>
      </c>
      <c r="B403" s="13" t="s">
        <v>874</v>
      </c>
      <c r="C403" s="20">
        <v>45159</v>
      </c>
      <c r="D403" s="13">
        <v>7197682</v>
      </c>
      <c r="E403" s="13" t="s">
        <v>191</v>
      </c>
      <c r="F403" s="13" t="s">
        <v>135</v>
      </c>
      <c r="G403" s="13" t="s">
        <v>192</v>
      </c>
      <c r="H403" s="17">
        <v>5212252</v>
      </c>
      <c r="I403" s="17" t="s">
        <v>23</v>
      </c>
      <c r="J403" s="13" t="s">
        <v>845</v>
      </c>
      <c r="K403" s="13">
        <v>25</v>
      </c>
      <c r="L403" s="13">
        <v>240</v>
      </c>
      <c r="M403" s="13">
        <f t="shared" ref="M403:M410" si="355">+L403*K403</f>
        <v>6000</v>
      </c>
      <c r="N403" s="20">
        <v>45159</v>
      </c>
      <c r="O403" s="13" t="s">
        <v>136</v>
      </c>
      <c r="P403" s="13" t="s">
        <v>144</v>
      </c>
      <c r="Q403" s="13" t="s">
        <v>30</v>
      </c>
      <c r="R403" s="13" t="s">
        <v>875</v>
      </c>
      <c r="S403" s="31">
        <v>291635639686</v>
      </c>
      <c r="T403" s="20">
        <v>45159</v>
      </c>
      <c r="U403" s="123"/>
      <c r="V403" s="13">
        <v>418</v>
      </c>
      <c r="W403" s="29">
        <v>45159.652777777781</v>
      </c>
      <c r="X403" s="29">
        <v>45159.770833333336</v>
      </c>
      <c r="Y403" s="30">
        <f t="shared" ref="Y403:Y410" si="356">+X403-W403</f>
        <v>0.11805555555474712</v>
      </c>
      <c r="Z403" s="29">
        <v>45159.736111111109</v>
      </c>
      <c r="AA403" s="29">
        <v>45159.767361111109</v>
      </c>
      <c r="AB403" s="30">
        <f t="shared" ref="AB403:AB406" si="357">+AA403-Z403</f>
        <v>3.125E-2</v>
      </c>
    </row>
    <row r="404" spans="1:28" x14ac:dyDescent="0.25">
      <c r="A404" s="12">
        <v>45139</v>
      </c>
      <c r="B404" s="13" t="s">
        <v>874</v>
      </c>
      <c r="C404" s="20">
        <v>45159</v>
      </c>
      <c r="D404" s="13">
        <v>7197682</v>
      </c>
      <c r="E404" s="13" t="s">
        <v>191</v>
      </c>
      <c r="F404" s="13" t="s">
        <v>135</v>
      </c>
      <c r="G404" s="13" t="s">
        <v>192</v>
      </c>
      <c r="H404" s="17">
        <v>5212252</v>
      </c>
      <c r="I404" s="17" t="s">
        <v>23</v>
      </c>
      <c r="J404" s="13" t="s">
        <v>844</v>
      </c>
      <c r="K404" s="13">
        <v>25</v>
      </c>
      <c r="L404" s="13">
        <v>85</v>
      </c>
      <c r="M404" s="13">
        <f t="shared" si="355"/>
        <v>2125</v>
      </c>
      <c r="N404" s="20">
        <v>45159</v>
      </c>
      <c r="O404" s="13" t="s">
        <v>136</v>
      </c>
      <c r="P404" s="13" t="s">
        <v>144</v>
      </c>
      <c r="Q404" s="13" t="s">
        <v>30</v>
      </c>
      <c r="R404" s="13" t="s">
        <v>875</v>
      </c>
      <c r="S404" s="31">
        <v>291635639686</v>
      </c>
      <c r="T404" s="20">
        <v>45159</v>
      </c>
      <c r="U404" s="123"/>
      <c r="V404" s="13">
        <v>418</v>
      </c>
      <c r="W404" s="29">
        <v>45159.652777777781</v>
      </c>
      <c r="X404" s="29">
        <v>45159.770833333336</v>
      </c>
      <c r="Y404" s="30">
        <f t="shared" si="356"/>
        <v>0.11805555555474712</v>
      </c>
      <c r="Z404" s="29">
        <v>45159.736111111109</v>
      </c>
      <c r="AA404" s="29">
        <v>45159.767361111109</v>
      </c>
      <c r="AB404" s="30">
        <f t="shared" si="357"/>
        <v>3.125E-2</v>
      </c>
    </row>
    <row r="405" spans="1:28" x14ac:dyDescent="0.25">
      <c r="A405" s="12">
        <v>45139</v>
      </c>
      <c r="B405" s="13" t="s">
        <v>876</v>
      </c>
      <c r="C405" s="20">
        <v>45161</v>
      </c>
      <c r="D405" s="17">
        <v>5230831</v>
      </c>
      <c r="E405" s="13" t="s">
        <v>679</v>
      </c>
      <c r="F405" s="13" t="s">
        <v>135</v>
      </c>
      <c r="G405" s="13" t="s">
        <v>132</v>
      </c>
      <c r="H405" s="123">
        <v>5230831</v>
      </c>
      <c r="I405" s="123" t="s">
        <v>35</v>
      </c>
      <c r="J405" s="14" t="s">
        <v>101</v>
      </c>
      <c r="K405" s="13">
        <v>240</v>
      </c>
      <c r="L405" s="13">
        <v>20</v>
      </c>
      <c r="M405" s="13">
        <f t="shared" si="355"/>
        <v>4800</v>
      </c>
      <c r="N405" s="20">
        <v>45161</v>
      </c>
      <c r="O405" s="13" t="s">
        <v>298</v>
      </c>
      <c r="P405" s="13" t="s">
        <v>144</v>
      </c>
      <c r="Q405" s="13" t="s">
        <v>30</v>
      </c>
      <c r="R405" s="13" t="s">
        <v>760</v>
      </c>
      <c r="S405" s="31">
        <v>251636606054</v>
      </c>
      <c r="T405" s="20">
        <v>45161</v>
      </c>
      <c r="U405" s="123"/>
      <c r="V405" s="13">
        <v>419</v>
      </c>
      <c r="W405" s="29">
        <v>45161.604166666664</v>
      </c>
      <c r="X405" s="29">
        <v>45161.673611111109</v>
      </c>
      <c r="Y405" s="30">
        <f t="shared" si="356"/>
        <v>6.9444444445252884E-2</v>
      </c>
      <c r="Z405" s="29">
        <v>45161.649305555555</v>
      </c>
      <c r="AA405" s="29">
        <v>45161.666666666664</v>
      </c>
      <c r="AB405" s="30">
        <f t="shared" si="357"/>
        <v>1.7361111109494232E-2</v>
      </c>
    </row>
    <row r="406" spans="1:28" x14ac:dyDescent="0.25">
      <c r="A406" s="12">
        <v>45139</v>
      </c>
      <c r="B406" s="13" t="s">
        <v>877</v>
      </c>
      <c r="C406" s="20">
        <v>45161</v>
      </c>
      <c r="D406" s="13">
        <v>7197682</v>
      </c>
      <c r="E406" s="13" t="s">
        <v>191</v>
      </c>
      <c r="F406" s="13" t="s">
        <v>135</v>
      </c>
      <c r="G406" s="13" t="s">
        <v>192</v>
      </c>
      <c r="H406" s="17">
        <v>5212252</v>
      </c>
      <c r="I406" s="17" t="s">
        <v>23</v>
      </c>
      <c r="J406" s="13" t="s">
        <v>844</v>
      </c>
      <c r="K406" s="13">
        <v>25</v>
      </c>
      <c r="L406" s="13">
        <v>515</v>
      </c>
      <c r="M406" s="13">
        <f t="shared" si="355"/>
        <v>12875</v>
      </c>
      <c r="N406" s="20">
        <v>45161</v>
      </c>
      <c r="O406" s="13" t="s">
        <v>399</v>
      </c>
      <c r="P406" s="13" t="s">
        <v>144</v>
      </c>
      <c r="Q406" s="13" t="s">
        <v>30</v>
      </c>
      <c r="R406" s="13" t="s">
        <v>878</v>
      </c>
      <c r="S406" s="31">
        <v>201636677790</v>
      </c>
      <c r="T406" s="20">
        <v>45161</v>
      </c>
      <c r="U406" s="123"/>
      <c r="V406" s="13">
        <v>420</v>
      </c>
      <c r="W406" s="29">
        <v>45161.5</v>
      </c>
      <c r="X406" s="29">
        <v>45161.739583333336</v>
      </c>
      <c r="Y406" s="30">
        <f t="shared" si="356"/>
        <v>0.23958333333575865</v>
      </c>
      <c r="Z406" s="29">
        <v>45161.621527777781</v>
      </c>
      <c r="AA406" s="29">
        <v>45161.732638888891</v>
      </c>
      <c r="AB406" s="30">
        <f t="shared" si="357"/>
        <v>0.11111111110949423</v>
      </c>
    </row>
    <row r="407" spans="1:28" x14ac:dyDescent="0.25">
      <c r="A407" s="12">
        <v>45139</v>
      </c>
      <c r="B407" s="13" t="s">
        <v>877</v>
      </c>
      <c r="C407" s="20">
        <v>45161</v>
      </c>
      <c r="D407" s="13">
        <v>7285627</v>
      </c>
      <c r="E407" s="13" t="s">
        <v>191</v>
      </c>
      <c r="F407" s="13" t="s">
        <v>135</v>
      </c>
      <c r="G407" s="13" t="s">
        <v>192</v>
      </c>
      <c r="H407" s="17">
        <v>5212252</v>
      </c>
      <c r="I407" s="17" t="s">
        <v>23</v>
      </c>
      <c r="J407" s="13" t="s">
        <v>844</v>
      </c>
      <c r="K407" s="13">
        <v>25</v>
      </c>
      <c r="L407" s="13">
        <v>640</v>
      </c>
      <c r="M407" s="13">
        <f t="shared" ref="M407" si="358">+L407*K407</f>
        <v>16000</v>
      </c>
      <c r="N407" s="20">
        <v>45161</v>
      </c>
      <c r="O407" s="13" t="s">
        <v>399</v>
      </c>
      <c r="P407" s="13" t="s">
        <v>144</v>
      </c>
      <c r="Q407" s="13" t="s">
        <v>30</v>
      </c>
      <c r="R407" s="13" t="s">
        <v>878</v>
      </c>
      <c r="S407" s="31">
        <v>201636677790</v>
      </c>
      <c r="T407" s="20">
        <v>45161</v>
      </c>
      <c r="U407" s="123"/>
      <c r="V407" s="13">
        <v>420</v>
      </c>
      <c r="W407" s="29">
        <v>45161.5</v>
      </c>
      <c r="X407" s="29">
        <v>45161.739583333336</v>
      </c>
      <c r="Y407" s="30">
        <f t="shared" ref="Y407" si="359">+X407-W407</f>
        <v>0.23958333333575865</v>
      </c>
      <c r="Z407" s="29">
        <v>45161.621527777781</v>
      </c>
      <c r="AA407" s="29">
        <v>45161.732638888891</v>
      </c>
      <c r="AB407" s="30">
        <f t="shared" ref="AB407" si="360">+AA407-Z407</f>
        <v>0.11111111110949423</v>
      </c>
    </row>
    <row r="408" spans="1:28" x14ac:dyDescent="0.25">
      <c r="A408" s="12">
        <v>45139</v>
      </c>
      <c r="B408" s="13" t="s">
        <v>877</v>
      </c>
      <c r="C408" s="20">
        <v>45161</v>
      </c>
      <c r="D408" s="13">
        <v>5936674</v>
      </c>
      <c r="E408" s="13" t="s">
        <v>191</v>
      </c>
      <c r="F408" s="13" t="s">
        <v>135</v>
      </c>
      <c r="G408" s="13" t="s">
        <v>192</v>
      </c>
      <c r="H408" s="17">
        <v>5210933</v>
      </c>
      <c r="I408" s="17" t="s">
        <v>21</v>
      </c>
      <c r="J408" s="13" t="s">
        <v>90</v>
      </c>
      <c r="K408" s="13">
        <v>25</v>
      </c>
      <c r="L408" s="13">
        <v>1</v>
      </c>
      <c r="M408" s="13">
        <f t="shared" si="355"/>
        <v>25</v>
      </c>
      <c r="N408" s="20">
        <v>45161</v>
      </c>
      <c r="O408" s="13" t="s">
        <v>399</v>
      </c>
      <c r="P408" s="13" t="s">
        <v>144</v>
      </c>
      <c r="Q408" s="13" t="s">
        <v>30</v>
      </c>
      <c r="R408" s="13" t="s">
        <v>878</v>
      </c>
      <c r="S408" s="31">
        <v>201636677790</v>
      </c>
      <c r="T408" s="20">
        <v>45161</v>
      </c>
      <c r="U408" s="123"/>
      <c r="V408" s="13">
        <v>420</v>
      </c>
      <c r="W408" s="29">
        <v>45161.5</v>
      </c>
      <c r="X408" s="29">
        <v>45161.739583333336</v>
      </c>
      <c r="Y408" s="30">
        <f t="shared" si="356"/>
        <v>0.23958333333575865</v>
      </c>
      <c r="Z408" s="29">
        <v>45161.621527777781</v>
      </c>
      <c r="AA408" s="29">
        <v>45161.732638888891</v>
      </c>
      <c r="AB408" s="30">
        <f t="shared" ref="AB408:AB410" si="361">+AA408-Z408</f>
        <v>0.11111111110949423</v>
      </c>
    </row>
    <row r="409" spans="1:28" x14ac:dyDescent="0.25">
      <c r="A409" s="12">
        <v>45139</v>
      </c>
      <c r="B409" s="13" t="s">
        <v>879</v>
      </c>
      <c r="C409" s="20">
        <v>45161</v>
      </c>
      <c r="D409" s="13">
        <v>6907842</v>
      </c>
      <c r="E409" s="13" t="s">
        <v>880</v>
      </c>
      <c r="F409" s="13" t="s">
        <v>327</v>
      </c>
      <c r="G409" s="13" t="s">
        <v>132</v>
      </c>
      <c r="H409" s="17">
        <v>5302847</v>
      </c>
      <c r="I409" s="17" t="s">
        <v>746</v>
      </c>
      <c r="J409" s="13" t="s">
        <v>748</v>
      </c>
      <c r="K409" s="13">
        <v>210</v>
      </c>
      <c r="L409" s="13">
        <v>10</v>
      </c>
      <c r="M409" s="13">
        <f t="shared" si="355"/>
        <v>2100</v>
      </c>
      <c r="N409" s="20">
        <v>45162</v>
      </c>
      <c r="O409" s="13" t="s">
        <v>232</v>
      </c>
      <c r="P409" s="13" t="s">
        <v>144</v>
      </c>
      <c r="Q409" s="13" t="s">
        <v>30</v>
      </c>
      <c r="R409" s="13" t="s">
        <v>881</v>
      </c>
      <c r="S409" s="31" t="s">
        <v>882</v>
      </c>
      <c r="T409" s="20">
        <v>45162</v>
      </c>
      <c r="U409" s="123"/>
      <c r="V409" s="13">
        <v>421</v>
      </c>
      <c r="W409" s="29">
        <v>45162.604166666664</v>
      </c>
      <c r="X409" s="29">
        <v>45162.618055555555</v>
      </c>
      <c r="Y409" s="30">
        <f t="shared" si="356"/>
        <v>1.3888888890505768E-2</v>
      </c>
      <c r="Z409" s="29">
        <v>45162.607638888891</v>
      </c>
      <c r="AA409" s="29">
        <v>45162.614583333336</v>
      </c>
      <c r="AB409" s="30">
        <f t="shared" si="361"/>
        <v>6.9444444452528842E-3</v>
      </c>
    </row>
    <row r="410" spans="1:28" x14ac:dyDescent="0.25">
      <c r="A410" s="12">
        <v>45139</v>
      </c>
      <c r="B410" s="13" t="s">
        <v>883</v>
      </c>
      <c r="C410" s="20">
        <v>45161</v>
      </c>
      <c r="D410" s="13">
        <v>5743038</v>
      </c>
      <c r="E410" s="13" t="s">
        <v>191</v>
      </c>
      <c r="F410" s="13" t="s">
        <v>135</v>
      </c>
      <c r="G410" s="13" t="s">
        <v>192</v>
      </c>
      <c r="H410" s="17">
        <v>5212259</v>
      </c>
      <c r="I410" s="17" t="s">
        <v>26</v>
      </c>
      <c r="J410" s="13" t="s">
        <v>87</v>
      </c>
      <c r="K410" s="13">
        <v>25</v>
      </c>
      <c r="L410" s="13">
        <v>70</v>
      </c>
      <c r="M410" s="13">
        <f t="shared" si="355"/>
        <v>1750</v>
      </c>
      <c r="N410" s="20">
        <v>45162</v>
      </c>
      <c r="O410" s="13" t="s">
        <v>555</v>
      </c>
      <c r="P410" s="13" t="s">
        <v>144</v>
      </c>
      <c r="Q410" s="13" t="s">
        <v>30</v>
      </c>
      <c r="R410" s="13" t="s">
        <v>884</v>
      </c>
      <c r="S410" s="31">
        <v>211637157012</v>
      </c>
      <c r="T410" s="20">
        <v>45162</v>
      </c>
      <c r="U410" s="123"/>
      <c r="V410" s="13">
        <v>422</v>
      </c>
      <c r="W410" s="29">
        <v>45162.652777777781</v>
      </c>
      <c r="X410" s="29">
        <v>45162.666666666664</v>
      </c>
      <c r="Y410" s="30">
        <f t="shared" si="356"/>
        <v>1.3888888883229811E-2</v>
      </c>
      <c r="Z410" s="29">
        <v>45162.65625</v>
      </c>
      <c r="AA410" s="29">
        <v>45162.666666666664</v>
      </c>
      <c r="AB410" s="30">
        <f t="shared" si="361"/>
        <v>1.0416666664241347E-2</v>
      </c>
    </row>
    <row r="411" spans="1:28" x14ac:dyDescent="0.25">
      <c r="A411" s="12">
        <v>45139</v>
      </c>
      <c r="B411" s="13" t="s">
        <v>883</v>
      </c>
      <c r="C411" s="20">
        <v>45161</v>
      </c>
      <c r="D411" s="13">
        <v>6335482</v>
      </c>
      <c r="E411" s="13" t="s">
        <v>191</v>
      </c>
      <c r="F411" s="13" t="s">
        <v>135</v>
      </c>
      <c r="G411" s="13" t="s">
        <v>192</v>
      </c>
      <c r="H411" s="17">
        <v>5212259</v>
      </c>
      <c r="I411" s="17" t="s">
        <v>26</v>
      </c>
      <c r="J411" s="13" t="s">
        <v>445</v>
      </c>
      <c r="K411" s="13">
        <v>25</v>
      </c>
      <c r="L411" s="13">
        <v>2</v>
      </c>
      <c r="M411" s="13">
        <f t="shared" ref="M411:M419" si="362">+L411*K411</f>
        <v>50</v>
      </c>
      <c r="N411" s="20">
        <v>45162</v>
      </c>
      <c r="O411" s="13" t="s">
        <v>555</v>
      </c>
      <c r="P411" s="13" t="s">
        <v>144</v>
      </c>
      <c r="Q411" s="13" t="s">
        <v>30</v>
      </c>
      <c r="R411" s="13" t="s">
        <v>884</v>
      </c>
      <c r="S411" s="31">
        <v>211637157012</v>
      </c>
      <c r="T411" s="20">
        <v>45162</v>
      </c>
      <c r="U411" s="123"/>
      <c r="V411" s="13">
        <v>422</v>
      </c>
      <c r="W411" s="29">
        <v>45162.652777777781</v>
      </c>
      <c r="X411" s="29">
        <v>45162.666666666664</v>
      </c>
      <c r="Y411" s="30">
        <f t="shared" ref="Y411:Y414" si="363">+X411-W411</f>
        <v>1.3888888883229811E-2</v>
      </c>
      <c r="Z411" s="29">
        <v>45162.65625</v>
      </c>
      <c r="AA411" s="29">
        <v>45162.666666666664</v>
      </c>
      <c r="AB411" s="30">
        <f t="shared" ref="AB411:AB414" si="364">+AA411-Z411</f>
        <v>1.0416666664241347E-2</v>
      </c>
    </row>
    <row r="412" spans="1:28" x14ac:dyDescent="0.25">
      <c r="A412" s="12">
        <v>45139</v>
      </c>
      <c r="B412" s="13" t="s">
        <v>883</v>
      </c>
      <c r="C412" s="20">
        <v>45161</v>
      </c>
      <c r="D412" s="13">
        <v>6335482</v>
      </c>
      <c r="E412" s="13" t="s">
        <v>191</v>
      </c>
      <c r="F412" s="13" t="s">
        <v>135</v>
      </c>
      <c r="G412" s="13" t="s">
        <v>192</v>
      </c>
      <c r="H412" s="17">
        <v>5212259</v>
      </c>
      <c r="I412" s="17" t="s">
        <v>26</v>
      </c>
      <c r="J412" s="13" t="s">
        <v>447</v>
      </c>
      <c r="K412" s="13">
        <v>25</v>
      </c>
      <c r="L412" s="13">
        <v>10</v>
      </c>
      <c r="M412" s="13">
        <f t="shared" si="362"/>
        <v>250</v>
      </c>
      <c r="N412" s="20">
        <v>45162</v>
      </c>
      <c r="O412" s="13" t="s">
        <v>555</v>
      </c>
      <c r="P412" s="13" t="s">
        <v>144</v>
      </c>
      <c r="Q412" s="13" t="s">
        <v>30</v>
      </c>
      <c r="R412" s="13" t="s">
        <v>884</v>
      </c>
      <c r="S412" s="31">
        <v>211637157012</v>
      </c>
      <c r="T412" s="20">
        <v>45162</v>
      </c>
      <c r="U412" s="123"/>
      <c r="V412" s="13">
        <v>422</v>
      </c>
      <c r="W412" s="29">
        <v>45162.652777777781</v>
      </c>
      <c r="X412" s="29">
        <v>45162.666666666664</v>
      </c>
      <c r="Y412" s="30">
        <f t="shared" si="363"/>
        <v>1.3888888883229811E-2</v>
      </c>
      <c r="Z412" s="29">
        <v>45162.65625</v>
      </c>
      <c r="AA412" s="29">
        <v>45162.666666666664</v>
      </c>
      <c r="AB412" s="30">
        <f t="shared" si="364"/>
        <v>1.0416666664241347E-2</v>
      </c>
    </row>
    <row r="413" spans="1:28" x14ac:dyDescent="0.25">
      <c r="A413" s="12">
        <v>45139</v>
      </c>
      <c r="B413" s="13" t="s">
        <v>883</v>
      </c>
      <c r="C413" s="20">
        <v>45161</v>
      </c>
      <c r="D413" s="13">
        <v>6335482</v>
      </c>
      <c r="E413" s="13" t="s">
        <v>191</v>
      </c>
      <c r="F413" s="13" t="s">
        <v>135</v>
      </c>
      <c r="G413" s="13" t="s">
        <v>192</v>
      </c>
      <c r="H413" s="17">
        <v>5212259</v>
      </c>
      <c r="I413" s="17" t="s">
        <v>26</v>
      </c>
      <c r="J413" s="13" t="s">
        <v>45</v>
      </c>
      <c r="K413" s="13">
        <v>25</v>
      </c>
      <c r="L413" s="13">
        <v>38</v>
      </c>
      <c r="M413" s="13">
        <f t="shared" si="362"/>
        <v>950</v>
      </c>
      <c r="N413" s="20">
        <v>45162</v>
      </c>
      <c r="O413" s="13" t="s">
        <v>555</v>
      </c>
      <c r="P413" s="13" t="s">
        <v>144</v>
      </c>
      <c r="Q413" s="13" t="s">
        <v>30</v>
      </c>
      <c r="R413" s="13" t="s">
        <v>884</v>
      </c>
      <c r="S413" s="31">
        <v>211637157012</v>
      </c>
      <c r="T413" s="20">
        <v>45162</v>
      </c>
      <c r="U413" s="123"/>
      <c r="V413" s="13">
        <v>422</v>
      </c>
      <c r="W413" s="29">
        <v>45162.652777777781</v>
      </c>
      <c r="X413" s="29">
        <v>45162.666666666664</v>
      </c>
      <c r="Y413" s="30">
        <f t="shared" si="363"/>
        <v>1.3888888883229811E-2</v>
      </c>
      <c r="Z413" s="29">
        <v>45162.65625</v>
      </c>
      <c r="AA413" s="29">
        <v>45162.666666666664</v>
      </c>
      <c r="AB413" s="30">
        <f t="shared" si="364"/>
        <v>1.0416666664241347E-2</v>
      </c>
    </row>
    <row r="414" spans="1:28" x14ac:dyDescent="0.25">
      <c r="A414" s="12">
        <v>45139</v>
      </c>
      <c r="B414" s="13" t="s">
        <v>885</v>
      </c>
      <c r="C414" s="20">
        <v>45162</v>
      </c>
      <c r="D414" s="13">
        <v>6335852</v>
      </c>
      <c r="E414" s="13" t="s">
        <v>673</v>
      </c>
      <c r="F414" s="13" t="s">
        <v>524</v>
      </c>
      <c r="G414" s="13" t="s">
        <v>192</v>
      </c>
      <c r="H414" s="17">
        <v>5210162</v>
      </c>
      <c r="I414" s="17" t="s">
        <v>24</v>
      </c>
      <c r="J414" s="13" t="s">
        <v>575</v>
      </c>
      <c r="K414" s="13">
        <v>25</v>
      </c>
      <c r="L414" s="13">
        <v>40</v>
      </c>
      <c r="M414" s="13">
        <f t="shared" si="362"/>
        <v>1000</v>
      </c>
      <c r="N414" s="20">
        <v>45163</v>
      </c>
      <c r="O414" s="13" t="s">
        <v>589</v>
      </c>
      <c r="P414" s="13" t="s">
        <v>134</v>
      </c>
      <c r="Q414" s="123">
        <v>2258</v>
      </c>
      <c r="R414" s="13" t="s">
        <v>886</v>
      </c>
      <c r="S414" s="31">
        <v>271637548087</v>
      </c>
      <c r="T414" s="20">
        <v>45163</v>
      </c>
      <c r="U414" s="123"/>
      <c r="V414" s="13">
        <v>423</v>
      </c>
      <c r="W414" s="29">
        <v>45163.5</v>
      </c>
      <c r="X414" s="29">
        <v>45163.555555555555</v>
      </c>
      <c r="Y414" s="30">
        <f t="shared" si="363"/>
        <v>5.5555555554747116E-2</v>
      </c>
      <c r="Z414" s="29">
        <v>45163.520833333336</v>
      </c>
      <c r="AA414" s="29">
        <v>45163.548611111109</v>
      </c>
      <c r="AB414" s="30">
        <f t="shared" si="364"/>
        <v>2.7777777773735579E-2</v>
      </c>
    </row>
    <row r="415" spans="1:28" x14ac:dyDescent="0.25">
      <c r="A415" s="12">
        <v>45139</v>
      </c>
      <c r="B415" s="13" t="s">
        <v>885</v>
      </c>
      <c r="C415" s="20">
        <v>45162</v>
      </c>
      <c r="D415" s="13">
        <v>6879598</v>
      </c>
      <c r="E415" s="13" t="s">
        <v>673</v>
      </c>
      <c r="F415" s="13" t="s">
        <v>524</v>
      </c>
      <c r="G415" s="13" t="s">
        <v>192</v>
      </c>
      <c r="H415" s="17">
        <v>5210162</v>
      </c>
      <c r="I415" s="17" t="s">
        <v>24</v>
      </c>
      <c r="J415" s="13" t="s">
        <v>711</v>
      </c>
      <c r="K415" s="13">
        <v>25</v>
      </c>
      <c r="L415" s="13">
        <v>280</v>
      </c>
      <c r="M415" s="13">
        <f t="shared" ref="M415" si="365">+L415*K415</f>
        <v>7000</v>
      </c>
      <c r="N415" s="20">
        <v>45163</v>
      </c>
      <c r="O415" s="13" t="s">
        <v>589</v>
      </c>
      <c r="P415" s="13" t="s">
        <v>134</v>
      </c>
      <c r="Q415" s="123">
        <v>2258</v>
      </c>
      <c r="R415" s="13" t="s">
        <v>886</v>
      </c>
      <c r="S415" s="31">
        <v>271637548087</v>
      </c>
      <c r="T415" s="20">
        <v>45163</v>
      </c>
      <c r="U415" s="123"/>
      <c r="V415" s="13">
        <v>423</v>
      </c>
      <c r="W415" s="29">
        <v>45163.5</v>
      </c>
      <c r="X415" s="29">
        <v>45163.555555555555</v>
      </c>
      <c r="Y415" s="30">
        <f t="shared" ref="Y415:Y419" si="366">+X415-W415</f>
        <v>5.5555555554747116E-2</v>
      </c>
      <c r="Z415" s="29">
        <v>45163.520833333336</v>
      </c>
      <c r="AA415" s="29">
        <v>45163.548611111109</v>
      </c>
      <c r="AB415" s="30">
        <f t="shared" ref="AB415:AB419" si="367">+AA415-Z415</f>
        <v>2.7777777773735579E-2</v>
      </c>
    </row>
    <row r="416" spans="1:28" x14ac:dyDescent="0.25">
      <c r="A416" s="12">
        <v>45139</v>
      </c>
      <c r="B416" s="13" t="s">
        <v>887</v>
      </c>
      <c r="C416" s="20">
        <v>45163</v>
      </c>
      <c r="D416" s="13">
        <v>5877339</v>
      </c>
      <c r="E416" s="13" t="s">
        <v>214</v>
      </c>
      <c r="F416" s="13" t="s">
        <v>215</v>
      </c>
      <c r="G416" s="13" t="s">
        <v>132</v>
      </c>
      <c r="H416" s="123">
        <v>5230831</v>
      </c>
      <c r="I416" s="123" t="s">
        <v>35</v>
      </c>
      <c r="J416" s="14" t="s">
        <v>101</v>
      </c>
      <c r="K416" s="13">
        <v>240</v>
      </c>
      <c r="L416" s="13">
        <v>20</v>
      </c>
      <c r="M416" s="13">
        <f t="shared" si="362"/>
        <v>4800</v>
      </c>
      <c r="N416" s="20">
        <v>45163</v>
      </c>
      <c r="O416" s="13" t="s">
        <v>259</v>
      </c>
      <c r="P416" s="13" t="s">
        <v>134</v>
      </c>
      <c r="Q416" s="123">
        <v>2259</v>
      </c>
      <c r="R416" s="13" t="s">
        <v>888</v>
      </c>
      <c r="S416" s="31">
        <v>261637726552</v>
      </c>
      <c r="T416" s="20">
        <v>45163</v>
      </c>
      <c r="U416" s="123"/>
      <c r="V416" s="13">
        <v>424</v>
      </c>
      <c r="W416" s="29">
        <v>45163.618055555555</v>
      </c>
      <c r="X416" s="29">
        <v>45163.638888888891</v>
      </c>
      <c r="Y416" s="30">
        <f t="shared" si="366"/>
        <v>2.0833333335758653E-2</v>
      </c>
      <c r="Z416" s="29">
        <v>45163.625</v>
      </c>
      <c r="AA416" s="29">
        <v>45163.631944444445</v>
      </c>
      <c r="AB416" s="30">
        <f t="shared" si="367"/>
        <v>6.9444444452528842E-3</v>
      </c>
    </row>
    <row r="417" spans="1:28" x14ac:dyDescent="0.25">
      <c r="A417" s="12">
        <v>45139</v>
      </c>
      <c r="B417" s="13" t="s">
        <v>893</v>
      </c>
      <c r="C417" s="20">
        <v>45163</v>
      </c>
      <c r="D417" s="13">
        <v>6508852</v>
      </c>
      <c r="E417" s="13" t="s">
        <v>894</v>
      </c>
      <c r="F417" s="13" t="s">
        <v>453</v>
      </c>
      <c r="G417" s="13" t="s">
        <v>192</v>
      </c>
      <c r="H417" s="17" t="s">
        <v>30</v>
      </c>
      <c r="I417" s="17" t="s">
        <v>434</v>
      </c>
      <c r="J417" s="13" t="s">
        <v>432</v>
      </c>
      <c r="K417" s="13">
        <v>25</v>
      </c>
      <c r="L417" s="13">
        <v>80</v>
      </c>
      <c r="M417" s="13">
        <f t="shared" si="362"/>
        <v>2000</v>
      </c>
      <c r="N417" s="20">
        <v>45166</v>
      </c>
      <c r="O417" s="13" t="s">
        <v>193</v>
      </c>
      <c r="P417" s="13" t="s">
        <v>144</v>
      </c>
      <c r="Q417" s="123" t="s">
        <v>30</v>
      </c>
      <c r="R417" s="13" t="s">
        <v>895</v>
      </c>
      <c r="S417" s="31">
        <v>241638991801</v>
      </c>
      <c r="T417" s="20">
        <v>45166</v>
      </c>
      <c r="U417" s="123"/>
      <c r="V417" s="13">
        <v>425</v>
      </c>
      <c r="W417" s="29">
        <v>45166.694444444445</v>
      </c>
      <c r="X417" s="29">
        <v>45166.725694444445</v>
      </c>
      <c r="Y417" s="30">
        <f t="shared" si="366"/>
        <v>3.125E-2</v>
      </c>
      <c r="Z417" s="29">
        <v>45166.701388888891</v>
      </c>
      <c r="AA417" s="29">
        <v>45166.71875</v>
      </c>
      <c r="AB417" s="30">
        <f t="shared" si="367"/>
        <v>1.7361111109494232E-2</v>
      </c>
    </row>
    <row r="418" spans="1:28" x14ac:dyDescent="0.25">
      <c r="A418" s="12">
        <v>45139</v>
      </c>
      <c r="B418" s="13" t="s">
        <v>896</v>
      </c>
      <c r="C418" s="20">
        <v>45167</v>
      </c>
      <c r="D418" s="13">
        <v>6907842</v>
      </c>
      <c r="E418" s="13" t="s">
        <v>897</v>
      </c>
      <c r="F418" s="13" t="s">
        <v>240</v>
      </c>
      <c r="G418" s="13" t="s">
        <v>132</v>
      </c>
      <c r="H418" s="17">
        <v>5302847</v>
      </c>
      <c r="I418" s="17" t="s">
        <v>746</v>
      </c>
      <c r="J418" s="13" t="s">
        <v>747</v>
      </c>
      <c r="K418" s="13">
        <v>210</v>
      </c>
      <c r="L418" s="13">
        <v>40</v>
      </c>
      <c r="M418" s="13">
        <f t="shared" si="362"/>
        <v>8400</v>
      </c>
      <c r="N418" s="20">
        <v>45167</v>
      </c>
      <c r="O418" s="13" t="s">
        <v>177</v>
      </c>
      <c r="P418" s="13" t="s">
        <v>144</v>
      </c>
      <c r="Q418" s="123" t="s">
        <v>30</v>
      </c>
      <c r="R418" s="13" t="s">
        <v>898</v>
      </c>
      <c r="S418" s="31">
        <v>241639445279</v>
      </c>
      <c r="T418" s="20">
        <v>45167</v>
      </c>
      <c r="U418" s="123"/>
      <c r="V418" s="13">
        <v>426</v>
      </c>
      <c r="W418" s="29">
        <v>45167.614583333336</v>
      </c>
      <c r="X418" s="29">
        <v>45167.642361111109</v>
      </c>
      <c r="Y418" s="30">
        <f t="shared" si="366"/>
        <v>2.7777777773735579E-2</v>
      </c>
      <c r="Z418" s="29">
        <v>45167.621527777781</v>
      </c>
      <c r="AA418" s="29">
        <v>45167.635416666664</v>
      </c>
      <c r="AB418" s="30">
        <f t="shared" si="367"/>
        <v>1.3888888883229811E-2</v>
      </c>
    </row>
    <row r="419" spans="1:28" x14ac:dyDescent="0.25">
      <c r="A419" s="12">
        <v>45139</v>
      </c>
      <c r="B419" s="13" t="s">
        <v>899</v>
      </c>
      <c r="C419" s="20">
        <v>45166</v>
      </c>
      <c r="D419" s="13">
        <v>6907748</v>
      </c>
      <c r="E419" s="13" t="s">
        <v>191</v>
      </c>
      <c r="F419" s="13" t="s">
        <v>135</v>
      </c>
      <c r="G419" s="13" t="s">
        <v>192</v>
      </c>
      <c r="H419" s="17">
        <v>5212259</v>
      </c>
      <c r="I419" s="17" t="s">
        <v>26</v>
      </c>
      <c r="J419" s="13" t="s">
        <v>703</v>
      </c>
      <c r="K419" s="13">
        <v>25</v>
      </c>
      <c r="L419" s="13">
        <v>600</v>
      </c>
      <c r="M419" s="13">
        <f t="shared" si="362"/>
        <v>15000</v>
      </c>
      <c r="N419" s="20">
        <v>45167</v>
      </c>
      <c r="O419" s="13" t="s">
        <v>399</v>
      </c>
      <c r="P419" s="13" t="s">
        <v>144</v>
      </c>
      <c r="Q419" s="123" t="s">
        <v>30</v>
      </c>
      <c r="R419" s="13" t="s">
        <v>900</v>
      </c>
      <c r="S419" s="31">
        <v>211639549767</v>
      </c>
      <c r="T419" s="20">
        <v>45167</v>
      </c>
      <c r="U419" s="123"/>
      <c r="V419" s="13">
        <v>427</v>
      </c>
      <c r="W419" s="29">
        <v>45167.461805555555</v>
      </c>
      <c r="X419" s="29">
        <v>45167.652777777781</v>
      </c>
      <c r="Y419" s="30">
        <f t="shared" si="366"/>
        <v>0.19097222222626442</v>
      </c>
      <c r="Z419" s="29">
        <v>45167.46875</v>
      </c>
      <c r="AA419" s="29">
        <v>45167.645833333336</v>
      </c>
      <c r="AB419" s="30">
        <f t="shared" si="367"/>
        <v>0.17708333333575865</v>
      </c>
    </row>
    <row r="420" spans="1:28" x14ac:dyDescent="0.25">
      <c r="A420" s="12">
        <v>45139</v>
      </c>
      <c r="B420" s="13" t="s">
        <v>899</v>
      </c>
      <c r="C420" s="20">
        <v>45166</v>
      </c>
      <c r="D420" s="13">
        <v>4605823</v>
      </c>
      <c r="E420" s="13" t="s">
        <v>191</v>
      </c>
      <c r="F420" s="13" t="s">
        <v>135</v>
      </c>
      <c r="G420" s="13" t="s">
        <v>192</v>
      </c>
      <c r="H420" s="17">
        <v>5210451</v>
      </c>
      <c r="I420" s="17" t="s">
        <v>29</v>
      </c>
      <c r="J420" s="13" t="s">
        <v>48</v>
      </c>
      <c r="K420" s="13">
        <v>25</v>
      </c>
      <c r="L420" s="13">
        <v>50</v>
      </c>
      <c r="M420" s="13">
        <f t="shared" ref="M420:M428" si="368">+L420*K420</f>
        <v>1250</v>
      </c>
      <c r="N420" s="20">
        <v>45167</v>
      </c>
      <c r="O420" s="13" t="s">
        <v>399</v>
      </c>
      <c r="P420" s="13" t="s">
        <v>144</v>
      </c>
      <c r="Q420" s="123" t="s">
        <v>30</v>
      </c>
      <c r="R420" s="13" t="s">
        <v>900</v>
      </c>
      <c r="S420" s="31">
        <v>211639549767</v>
      </c>
      <c r="T420" s="20">
        <v>45167</v>
      </c>
      <c r="U420" s="123"/>
      <c r="V420" s="13">
        <v>427</v>
      </c>
      <c r="W420" s="29">
        <v>45167.461805555555</v>
      </c>
      <c r="X420" s="29">
        <v>45167.652777777781</v>
      </c>
      <c r="Y420" s="30">
        <f t="shared" ref="Y420:Y422" si="369">+X420-W420</f>
        <v>0.19097222222626442</v>
      </c>
      <c r="Z420" s="29">
        <v>45167.46875</v>
      </c>
      <c r="AA420" s="29">
        <v>45167.645833333336</v>
      </c>
      <c r="AB420" s="30">
        <f t="shared" ref="AB420:AB422" si="370">+AA420-Z420</f>
        <v>0.17708333333575865</v>
      </c>
    </row>
    <row r="421" spans="1:28" x14ac:dyDescent="0.25">
      <c r="A421" s="12">
        <v>45139</v>
      </c>
      <c r="B421" s="13" t="s">
        <v>899</v>
      </c>
      <c r="C421" s="20">
        <v>45166</v>
      </c>
      <c r="D421" s="13">
        <v>5743038</v>
      </c>
      <c r="E421" s="13" t="s">
        <v>191</v>
      </c>
      <c r="F421" s="13" t="s">
        <v>135</v>
      </c>
      <c r="G421" s="13" t="s">
        <v>192</v>
      </c>
      <c r="H421" s="17">
        <v>5210451</v>
      </c>
      <c r="I421" s="17" t="s">
        <v>29</v>
      </c>
      <c r="J421" s="13" t="s">
        <v>82</v>
      </c>
      <c r="K421" s="13">
        <v>25</v>
      </c>
      <c r="L421" s="13">
        <v>70</v>
      </c>
      <c r="M421" s="13">
        <f t="shared" ref="M421" si="371">+L421*K421</f>
        <v>1750</v>
      </c>
      <c r="N421" s="20">
        <v>45167</v>
      </c>
      <c r="O421" s="13" t="s">
        <v>399</v>
      </c>
      <c r="P421" s="13" t="s">
        <v>144</v>
      </c>
      <c r="Q421" s="123" t="s">
        <v>30</v>
      </c>
      <c r="R421" s="13" t="s">
        <v>900</v>
      </c>
      <c r="S421" s="31">
        <v>211639549767</v>
      </c>
      <c r="T421" s="20">
        <v>45167</v>
      </c>
      <c r="U421" s="123"/>
      <c r="V421" s="13">
        <v>427</v>
      </c>
      <c r="W421" s="29">
        <v>45167.461805555555</v>
      </c>
      <c r="X421" s="29">
        <v>45167.652777777781</v>
      </c>
      <c r="Y421" s="30">
        <f t="shared" ref="Y421" si="372">+X421-W421</f>
        <v>0.19097222222626442</v>
      </c>
      <c r="Z421" s="29">
        <v>45167.46875</v>
      </c>
      <c r="AA421" s="29">
        <v>45167.645833333336</v>
      </c>
      <c r="AB421" s="30">
        <f t="shared" ref="AB421" si="373">+AA421-Z421</f>
        <v>0.17708333333575865</v>
      </c>
    </row>
    <row r="422" spans="1:28" x14ac:dyDescent="0.25">
      <c r="A422" s="12">
        <v>45139</v>
      </c>
      <c r="B422" s="13" t="s">
        <v>899</v>
      </c>
      <c r="C422" s="20">
        <v>45166</v>
      </c>
      <c r="D422" s="13">
        <v>6756899</v>
      </c>
      <c r="E422" s="13" t="s">
        <v>191</v>
      </c>
      <c r="F422" s="13" t="s">
        <v>135</v>
      </c>
      <c r="G422" s="13" t="s">
        <v>192</v>
      </c>
      <c r="H422" s="17">
        <v>5210162</v>
      </c>
      <c r="I422" s="17" t="s">
        <v>24</v>
      </c>
      <c r="J422" s="13" t="s">
        <v>575</v>
      </c>
      <c r="K422" s="13">
        <v>25</v>
      </c>
      <c r="L422" s="13">
        <v>80</v>
      </c>
      <c r="M422" s="13">
        <f t="shared" si="368"/>
        <v>2000</v>
      </c>
      <c r="N422" s="20">
        <v>45167</v>
      </c>
      <c r="O422" s="13" t="s">
        <v>399</v>
      </c>
      <c r="P422" s="13" t="s">
        <v>144</v>
      </c>
      <c r="Q422" s="123" t="s">
        <v>30</v>
      </c>
      <c r="R422" s="13" t="s">
        <v>900</v>
      </c>
      <c r="S422" s="31">
        <v>211639549767</v>
      </c>
      <c r="T422" s="20">
        <v>45167</v>
      </c>
      <c r="U422" s="123"/>
      <c r="V422" s="13">
        <v>427</v>
      </c>
      <c r="W422" s="29">
        <v>45167.461805555555</v>
      </c>
      <c r="X422" s="29">
        <v>45167.652777777781</v>
      </c>
      <c r="Y422" s="30">
        <f t="shared" si="369"/>
        <v>0.19097222222626442</v>
      </c>
      <c r="Z422" s="29">
        <v>45167.46875</v>
      </c>
      <c r="AA422" s="29">
        <v>45167.645833333336</v>
      </c>
      <c r="AB422" s="30">
        <f t="shared" si="370"/>
        <v>0.17708333333575865</v>
      </c>
    </row>
    <row r="423" spans="1:28" x14ac:dyDescent="0.25">
      <c r="A423" s="12">
        <v>45139</v>
      </c>
      <c r="B423" s="13" t="s">
        <v>901</v>
      </c>
      <c r="C423" s="20">
        <v>45163</v>
      </c>
      <c r="D423" s="13">
        <v>7057019</v>
      </c>
      <c r="E423" s="13" t="s">
        <v>191</v>
      </c>
      <c r="F423" s="13" t="s">
        <v>135</v>
      </c>
      <c r="G423" s="13" t="s">
        <v>192</v>
      </c>
      <c r="H423" s="17">
        <v>5211013</v>
      </c>
      <c r="I423" s="17" t="s">
        <v>27</v>
      </c>
      <c r="J423" s="13" t="s">
        <v>786</v>
      </c>
      <c r="K423" s="13">
        <v>25</v>
      </c>
      <c r="L423" s="13">
        <v>340</v>
      </c>
      <c r="M423" s="13">
        <f t="shared" si="368"/>
        <v>8500</v>
      </c>
      <c r="N423" s="20">
        <v>45167</v>
      </c>
      <c r="O423" s="13" t="s">
        <v>399</v>
      </c>
      <c r="P423" s="13" t="s">
        <v>144</v>
      </c>
      <c r="Q423" s="123" t="s">
        <v>30</v>
      </c>
      <c r="R423" s="13" t="s">
        <v>900</v>
      </c>
      <c r="S423" s="31">
        <v>281639689093</v>
      </c>
      <c r="T423" s="20">
        <v>45167</v>
      </c>
      <c r="U423" s="123"/>
      <c r="V423" s="13">
        <v>427</v>
      </c>
      <c r="W423" s="29">
        <v>45167.461805555555</v>
      </c>
      <c r="X423" s="29">
        <v>45167.652777777781</v>
      </c>
      <c r="Y423" s="30">
        <f t="shared" ref="Y423:Y428" si="374">+X423-W423</f>
        <v>0.19097222222626442</v>
      </c>
      <c r="Z423" s="29">
        <v>45167.46875</v>
      </c>
      <c r="AA423" s="29">
        <v>45167.645833333336</v>
      </c>
      <c r="AB423" s="30">
        <f t="shared" ref="AB423:AB428" si="375">+AA423-Z423</f>
        <v>0.17708333333575865</v>
      </c>
    </row>
    <row r="424" spans="1:28" x14ac:dyDescent="0.25">
      <c r="A424" s="12">
        <v>45139</v>
      </c>
      <c r="B424" s="13" t="s">
        <v>901</v>
      </c>
      <c r="C424" s="20">
        <v>45163</v>
      </c>
      <c r="D424" s="13">
        <v>7179395</v>
      </c>
      <c r="E424" s="13" t="s">
        <v>191</v>
      </c>
      <c r="F424" s="13" t="s">
        <v>135</v>
      </c>
      <c r="G424" s="13" t="s">
        <v>192</v>
      </c>
      <c r="H424" s="17">
        <v>5211013</v>
      </c>
      <c r="I424" s="17" t="s">
        <v>27</v>
      </c>
      <c r="J424" s="13" t="s">
        <v>823</v>
      </c>
      <c r="K424" s="13">
        <v>25</v>
      </c>
      <c r="L424" s="13">
        <v>60</v>
      </c>
      <c r="M424" s="13">
        <f t="shared" ref="M424" si="376">+L424*K424</f>
        <v>1500</v>
      </c>
      <c r="N424" s="20">
        <v>45167</v>
      </c>
      <c r="O424" s="13" t="s">
        <v>399</v>
      </c>
      <c r="P424" s="13" t="s">
        <v>144</v>
      </c>
      <c r="Q424" s="123" t="s">
        <v>30</v>
      </c>
      <c r="R424" s="13" t="s">
        <v>900</v>
      </c>
      <c r="S424" s="31">
        <v>281639689093</v>
      </c>
      <c r="T424" s="20">
        <v>45167</v>
      </c>
      <c r="U424" s="123"/>
      <c r="V424" s="13">
        <v>427</v>
      </c>
      <c r="W424" s="29">
        <v>45167.461805555555</v>
      </c>
      <c r="X424" s="29">
        <v>45167.652777777781</v>
      </c>
      <c r="Y424" s="30">
        <f t="shared" ref="Y424" si="377">+X424-W424</f>
        <v>0.19097222222626442</v>
      </c>
      <c r="Z424" s="29">
        <v>45167.46875</v>
      </c>
      <c r="AA424" s="29">
        <v>45167.645833333336</v>
      </c>
      <c r="AB424" s="30">
        <f t="shared" ref="AB424" si="378">+AA424-Z424</f>
        <v>0.17708333333575865</v>
      </c>
    </row>
    <row r="425" spans="1:28" x14ac:dyDescent="0.25">
      <c r="A425" s="12">
        <v>45139</v>
      </c>
      <c r="B425" s="13" t="s">
        <v>902</v>
      </c>
      <c r="C425" s="20">
        <v>45167</v>
      </c>
      <c r="D425" s="13">
        <v>6087743</v>
      </c>
      <c r="E425" s="13" t="s">
        <v>651</v>
      </c>
      <c r="F425" s="13" t="s">
        <v>215</v>
      </c>
      <c r="G425" s="13" t="s">
        <v>132</v>
      </c>
      <c r="H425" s="17">
        <v>5309040</v>
      </c>
      <c r="I425" s="17" t="s">
        <v>105</v>
      </c>
      <c r="J425" s="13" t="s">
        <v>106</v>
      </c>
      <c r="K425" s="13">
        <v>250</v>
      </c>
      <c r="L425" s="13">
        <v>36</v>
      </c>
      <c r="M425" s="13">
        <f t="shared" si="368"/>
        <v>9000</v>
      </c>
      <c r="N425" s="20">
        <v>45167</v>
      </c>
      <c r="O425" s="13" t="s">
        <v>177</v>
      </c>
      <c r="P425" s="13" t="s">
        <v>134</v>
      </c>
      <c r="Q425" s="123">
        <v>2260</v>
      </c>
      <c r="R425" s="13" t="s">
        <v>903</v>
      </c>
      <c r="S425" s="31">
        <v>271639540867</v>
      </c>
      <c r="T425" s="20">
        <v>45167</v>
      </c>
      <c r="U425" s="123"/>
      <c r="V425" s="13">
        <v>428</v>
      </c>
      <c r="W425" s="29">
        <v>45167.645833333336</v>
      </c>
      <c r="X425" s="29">
        <v>45167.6875</v>
      </c>
      <c r="Y425" s="30">
        <f t="shared" si="374"/>
        <v>4.1666666664241347E-2</v>
      </c>
      <c r="Z425" s="29">
        <v>45167.670138888891</v>
      </c>
      <c r="AA425" s="29">
        <v>45167.684027777781</v>
      </c>
      <c r="AB425" s="30">
        <f t="shared" si="375"/>
        <v>1.3888888890505768E-2</v>
      </c>
    </row>
    <row r="426" spans="1:28" x14ac:dyDescent="0.25">
      <c r="A426" s="12">
        <v>45139</v>
      </c>
      <c r="B426" s="13" t="s">
        <v>904</v>
      </c>
      <c r="C426" s="20">
        <v>45167</v>
      </c>
      <c r="D426" s="13">
        <v>6907842</v>
      </c>
      <c r="E426" s="13" t="s">
        <v>175</v>
      </c>
      <c r="F426" s="13" t="s">
        <v>135</v>
      </c>
      <c r="G426" s="13" t="s">
        <v>132</v>
      </c>
      <c r="H426" s="17">
        <v>5302847</v>
      </c>
      <c r="I426" s="17" t="s">
        <v>746</v>
      </c>
      <c r="J426" s="13" t="s">
        <v>747</v>
      </c>
      <c r="K426" s="13">
        <v>210</v>
      </c>
      <c r="L426" s="13">
        <v>5</v>
      </c>
      <c r="M426" s="13">
        <f t="shared" si="368"/>
        <v>1050</v>
      </c>
      <c r="N426" s="20">
        <v>45167</v>
      </c>
      <c r="O426" s="13" t="s">
        <v>298</v>
      </c>
      <c r="P426" s="13" t="s">
        <v>144</v>
      </c>
      <c r="Q426" s="13" t="s">
        <v>30</v>
      </c>
      <c r="R426" s="13" t="s">
        <v>180</v>
      </c>
      <c r="S426" s="31">
        <v>201639543188</v>
      </c>
      <c r="T426" s="20">
        <v>45167</v>
      </c>
      <c r="U426" s="123"/>
      <c r="V426" s="13">
        <v>429</v>
      </c>
      <c r="W426" s="29">
        <v>45167.708333333336</v>
      </c>
      <c r="X426" s="29">
        <v>45167.756944444445</v>
      </c>
      <c r="Y426" s="30">
        <f t="shared" si="374"/>
        <v>4.8611111109494232E-2</v>
      </c>
      <c r="Z426" s="29">
        <v>45167.746527777781</v>
      </c>
      <c r="AA426" s="29">
        <v>45167.753472222219</v>
      </c>
      <c r="AB426" s="30">
        <f t="shared" si="375"/>
        <v>6.9444444379769266E-3</v>
      </c>
    </row>
    <row r="427" spans="1:28" x14ac:dyDescent="0.25">
      <c r="A427" s="12">
        <v>45139</v>
      </c>
      <c r="B427" s="13" t="s">
        <v>904</v>
      </c>
      <c r="C427" s="20">
        <v>45167</v>
      </c>
      <c r="D427" s="13">
        <v>6907842</v>
      </c>
      <c r="E427" s="13" t="s">
        <v>175</v>
      </c>
      <c r="F427" s="13" t="s">
        <v>135</v>
      </c>
      <c r="G427" s="13" t="s">
        <v>132</v>
      </c>
      <c r="H427" s="17">
        <v>5302847</v>
      </c>
      <c r="I427" s="17" t="s">
        <v>746</v>
      </c>
      <c r="J427" s="13" t="s">
        <v>748</v>
      </c>
      <c r="K427" s="13">
        <v>210</v>
      </c>
      <c r="L427" s="13">
        <v>19</v>
      </c>
      <c r="M427" s="13">
        <f t="shared" ref="M427" si="379">+L427*K427</f>
        <v>3990</v>
      </c>
      <c r="N427" s="20">
        <v>45167</v>
      </c>
      <c r="O427" s="13" t="s">
        <v>298</v>
      </c>
      <c r="P427" s="13" t="s">
        <v>144</v>
      </c>
      <c r="Q427" s="13" t="s">
        <v>30</v>
      </c>
      <c r="R427" s="13" t="s">
        <v>180</v>
      </c>
      <c r="S427" s="31">
        <v>201639543188</v>
      </c>
      <c r="T427" s="20">
        <v>45167</v>
      </c>
      <c r="U427" s="123"/>
      <c r="V427" s="13">
        <v>429</v>
      </c>
      <c r="W427" s="29">
        <v>45167.708333333336</v>
      </c>
      <c r="X427" s="29">
        <v>45167.756944444445</v>
      </c>
      <c r="Y427" s="30">
        <f t="shared" ref="Y427" si="380">+X427-W427</f>
        <v>4.8611111109494232E-2</v>
      </c>
      <c r="Z427" s="29">
        <v>45167.746527777781</v>
      </c>
      <c r="AA427" s="29">
        <v>45167.753472222219</v>
      </c>
      <c r="AB427" s="30">
        <f t="shared" ref="AB427" si="381">+AA427-Z427</f>
        <v>6.9444444379769266E-3</v>
      </c>
    </row>
    <row r="428" spans="1:28" x14ac:dyDescent="0.25">
      <c r="A428" s="12">
        <v>45139</v>
      </c>
      <c r="B428" s="13" t="s">
        <v>905</v>
      </c>
      <c r="C428" s="20">
        <v>45166</v>
      </c>
      <c r="D428" s="13">
        <v>6756899</v>
      </c>
      <c r="E428" s="13" t="s">
        <v>859</v>
      </c>
      <c r="F428" s="13" t="s">
        <v>289</v>
      </c>
      <c r="G428" s="13" t="s">
        <v>192</v>
      </c>
      <c r="H428" s="17">
        <v>5210162</v>
      </c>
      <c r="I428" s="17" t="s">
        <v>24</v>
      </c>
      <c r="J428" s="13" t="s">
        <v>575</v>
      </c>
      <c r="K428" s="13">
        <v>25</v>
      </c>
      <c r="L428" s="13">
        <v>200</v>
      </c>
      <c r="M428" s="13">
        <f t="shared" si="368"/>
        <v>5000</v>
      </c>
      <c r="N428" s="20">
        <v>45167</v>
      </c>
      <c r="O428" s="13" t="s">
        <v>399</v>
      </c>
      <c r="P428" s="13" t="s">
        <v>144</v>
      </c>
      <c r="Q428" s="13" t="s">
        <v>30</v>
      </c>
      <c r="R428" s="13" t="s">
        <v>906</v>
      </c>
      <c r="S428" s="31">
        <v>251639548216</v>
      </c>
      <c r="T428" s="20">
        <v>45167</v>
      </c>
      <c r="U428" s="123"/>
      <c r="V428" s="13">
        <v>430</v>
      </c>
      <c r="W428" s="29">
        <v>45167.5</v>
      </c>
      <c r="X428" s="29">
        <v>45167.729166666664</v>
      </c>
      <c r="Y428" s="30">
        <f t="shared" si="374"/>
        <v>0.22916666666424135</v>
      </c>
      <c r="Z428" s="29">
        <v>45167.652777777781</v>
      </c>
      <c r="AA428" s="29">
        <v>45167.722222222219</v>
      </c>
      <c r="AB428" s="30">
        <f t="shared" si="375"/>
        <v>6.9444444437976927E-2</v>
      </c>
    </row>
    <row r="429" spans="1:28" x14ac:dyDescent="0.25">
      <c r="A429" s="12">
        <v>45139</v>
      </c>
      <c r="B429" s="13" t="s">
        <v>905</v>
      </c>
      <c r="C429" s="20">
        <v>45166</v>
      </c>
      <c r="D429" s="13">
        <v>7179395</v>
      </c>
      <c r="E429" s="13" t="s">
        <v>859</v>
      </c>
      <c r="F429" s="13" t="s">
        <v>289</v>
      </c>
      <c r="G429" s="13" t="s">
        <v>192</v>
      </c>
      <c r="H429" s="17">
        <v>5211013</v>
      </c>
      <c r="I429" s="17" t="s">
        <v>27</v>
      </c>
      <c r="J429" s="13" t="s">
        <v>823</v>
      </c>
      <c r="K429" s="13">
        <v>25</v>
      </c>
      <c r="L429" s="13">
        <v>600</v>
      </c>
      <c r="M429" s="13">
        <f t="shared" ref="M429:M434" si="382">+L429*K429</f>
        <v>15000</v>
      </c>
      <c r="N429" s="20">
        <v>45167</v>
      </c>
      <c r="O429" s="13" t="s">
        <v>399</v>
      </c>
      <c r="P429" s="13" t="s">
        <v>144</v>
      </c>
      <c r="Q429" s="13" t="s">
        <v>30</v>
      </c>
      <c r="R429" s="13" t="s">
        <v>906</v>
      </c>
      <c r="S429" s="31">
        <v>251639548216</v>
      </c>
      <c r="T429" s="20">
        <v>45167</v>
      </c>
      <c r="U429" s="123"/>
      <c r="V429" s="13">
        <v>430</v>
      </c>
      <c r="W429" s="29">
        <v>45167.5</v>
      </c>
      <c r="X429" s="29">
        <v>45167.729166666664</v>
      </c>
      <c r="Y429" s="30">
        <f t="shared" ref="Y429:Y434" si="383">+X429-W429</f>
        <v>0.22916666666424135</v>
      </c>
      <c r="Z429" s="29">
        <v>45167.652777777781</v>
      </c>
      <c r="AA429" s="29">
        <v>45167.722222222219</v>
      </c>
      <c r="AB429" s="30">
        <f t="shared" ref="AB429:AB434" si="384">+AA429-Z429</f>
        <v>6.9444444437976927E-2</v>
      </c>
    </row>
    <row r="430" spans="1:28" x14ac:dyDescent="0.25">
      <c r="A430" s="12">
        <v>45139</v>
      </c>
      <c r="B430" s="13" t="s">
        <v>905</v>
      </c>
      <c r="C430" s="20">
        <v>45166</v>
      </c>
      <c r="D430" s="13">
        <v>5512760</v>
      </c>
      <c r="E430" s="13" t="s">
        <v>859</v>
      </c>
      <c r="F430" s="13" t="s">
        <v>289</v>
      </c>
      <c r="G430" s="13" t="s">
        <v>192</v>
      </c>
      <c r="H430" s="17">
        <v>5212256</v>
      </c>
      <c r="I430" s="17" t="s">
        <v>22</v>
      </c>
      <c r="J430" s="13" t="s">
        <v>75</v>
      </c>
      <c r="K430" s="13">
        <v>25</v>
      </c>
      <c r="L430" s="13">
        <v>80</v>
      </c>
      <c r="M430" s="13">
        <f t="shared" si="382"/>
        <v>2000</v>
      </c>
      <c r="N430" s="20">
        <v>45167</v>
      </c>
      <c r="O430" s="13" t="s">
        <v>399</v>
      </c>
      <c r="P430" s="13" t="s">
        <v>144</v>
      </c>
      <c r="Q430" s="13" t="s">
        <v>30</v>
      </c>
      <c r="R430" s="13" t="s">
        <v>906</v>
      </c>
      <c r="S430" s="31">
        <v>251639548216</v>
      </c>
      <c r="T430" s="20">
        <v>45167</v>
      </c>
      <c r="U430" s="123"/>
      <c r="V430" s="13">
        <v>430</v>
      </c>
      <c r="W430" s="29">
        <v>45167.5</v>
      </c>
      <c r="X430" s="29">
        <v>45167.729166666664</v>
      </c>
      <c r="Y430" s="30">
        <f t="shared" si="383"/>
        <v>0.22916666666424135</v>
      </c>
      <c r="Z430" s="29">
        <v>45167.652777777781</v>
      </c>
      <c r="AA430" s="29">
        <v>45167.722222222219</v>
      </c>
      <c r="AB430" s="30">
        <f t="shared" si="384"/>
        <v>6.9444444437976927E-2</v>
      </c>
    </row>
    <row r="431" spans="1:28" x14ac:dyDescent="0.25">
      <c r="A431" s="12">
        <v>45139</v>
      </c>
      <c r="B431" s="13" t="s">
        <v>905</v>
      </c>
      <c r="C431" s="20">
        <v>45166</v>
      </c>
      <c r="D431" s="13">
        <v>6907748</v>
      </c>
      <c r="E431" s="13" t="s">
        <v>859</v>
      </c>
      <c r="F431" s="13" t="s">
        <v>289</v>
      </c>
      <c r="G431" s="13" t="s">
        <v>192</v>
      </c>
      <c r="H431" s="17">
        <v>5212259</v>
      </c>
      <c r="I431" s="17" t="s">
        <v>26</v>
      </c>
      <c r="J431" s="13" t="s">
        <v>703</v>
      </c>
      <c r="K431" s="13">
        <v>25</v>
      </c>
      <c r="L431" s="13">
        <v>288</v>
      </c>
      <c r="M431" s="13">
        <f t="shared" si="382"/>
        <v>7200</v>
      </c>
      <c r="N431" s="20">
        <v>45167</v>
      </c>
      <c r="O431" s="13" t="s">
        <v>399</v>
      </c>
      <c r="P431" s="13" t="s">
        <v>144</v>
      </c>
      <c r="Q431" s="13" t="s">
        <v>30</v>
      </c>
      <c r="R431" s="13" t="s">
        <v>906</v>
      </c>
      <c r="S431" s="31">
        <v>251639548216</v>
      </c>
      <c r="T431" s="20">
        <v>45167</v>
      </c>
      <c r="U431" s="123"/>
      <c r="V431" s="13">
        <v>430</v>
      </c>
      <c r="W431" s="29">
        <v>45167.5</v>
      </c>
      <c r="X431" s="29">
        <v>45167.729166666664</v>
      </c>
      <c r="Y431" s="30">
        <f t="shared" si="383"/>
        <v>0.22916666666424135</v>
      </c>
      <c r="Z431" s="29">
        <v>45167.652777777781</v>
      </c>
      <c r="AA431" s="29">
        <v>45167.722222222219</v>
      </c>
      <c r="AB431" s="30">
        <f t="shared" si="384"/>
        <v>6.9444444437976927E-2</v>
      </c>
    </row>
    <row r="432" spans="1:28" x14ac:dyDescent="0.25">
      <c r="A432" s="12">
        <v>45139</v>
      </c>
      <c r="B432" s="13" t="s">
        <v>905</v>
      </c>
      <c r="C432" s="20">
        <v>45166</v>
      </c>
      <c r="D432" s="13">
        <v>6335482</v>
      </c>
      <c r="E432" s="13" t="s">
        <v>859</v>
      </c>
      <c r="F432" s="13" t="s">
        <v>289</v>
      </c>
      <c r="G432" s="13" t="s">
        <v>192</v>
      </c>
      <c r="H432" s="17">
        <v>5212259</v>
      </c>
      <c r="I432" s="17" t="s">
        <v>26</v>
      </c>
      <c r="J432" s="13" t="s">
        <v>45</v>
      </c>
      <c r="K432" s="13">
        <v>25</v>
      </c>
      <c r="L432" s="13">
        <v>32</v>
      </c>
      <c r="M432" s="13">
        <f t="shared" ref="M432" si="385">+L432*K432</f>
        <v>800</v>
      </c>
      <c r="N432" s="20">
        <v>45167</v>
      </c>
      <c r="O432" s="13" t="s">
        <v>399</v>
      </c>
      <c r="P432" s="13" t="s">
        <v>144</v>
      </c>
      <c r="Q432" s="13" t="s">
        <v>30</v>
      </c>
      <c r="R432" s="13" t="s">
        <v>906</v>
      </c>
      <c r="S432" s="31">
        <v>251639548216</v>
      </c>
      <c r="T432" s="20">
        <v>45167</v>
      </c>
      <c r="U432" s="123"/>
      <c r="V432" s="13">
        <v>430</v>
      </c>
      <c r="W432" s="29">
        <v>45167.5</v>
      </c>
      <c r="X432" s="29">
        <v>45167.729166666664</v>
      </c>
      <c r="Y432" s="30">
        <f t="shared" ref="Y432" si="386">+X432-W432</f>
        <v>0.22916666666424135</v>
      </c>
      <c r="Z432" s="29">
        <v>45167.652777777781</v>
      </c>
      <c r="AA432" s="29">
        <v>45167.722222222219</v>
      </c>
      <c r="AB432" s="30">
        <f t="shared" ref="AB432" si="387">+AA432-Z432</f>
        <v>6.9444444437976927E-2</v>
      </c>
    </row>
    <row r="433" spans="1:28" x14ac:dyDescent="0.25">
      <c r="A433" s="12">
        <v>45139</v>
      </c>
      <c r="B433" s="13" t="s">
        <v>907</v>
      </c>
      <c r="C433" s="20">
        <v>45167</v>
      </c>
      <c r="D433" s="13">
        <v>6146274</v>
      </c>
      <c r="E433" s="13" t="s">
        <v>908</v>
      </c>
      <c r="F433" s="13" t="s">
        <v>909</v>
      </c>
      <c r="G433" s="13" t="s">
        <v>192</v>
      </c>
      <c r="H433" s="17">
        <v>5205449</v>
      </c>
      <c r="I433" s="17" t="str">
        <f>VLOOKUP(H433,[1]MASTER!$A:$B,2,0)</f>
        <v>PVC-WH1000F-Premium-Bag-25KG</v>
      </c>
      <c r="J433" s="13">
        <v>2230237822</v>
      </c>
      <c r="K433" s="13" t="s">
        <v>30</v>
      </c>
      <c r="L433" s="13" t="s">
        <v>30</v>
      </c>
      <c r="M433" s="13">
        <v>1</v>
      </c>
      <c r="N433" s="20">
        <v>45167</v>
      </c>
      <c r="O433" s="13" t="s">
        <v>30</v>
      </c>
      <c r="P433" s="13" t="s">
        <v>911</v>
      </c>
      <c r="Q433" s="13" t="s">
        <v>912</v>
      </c>
      <c r="R433" s="13" t="s">
        <v>910</v>
      </c>
      <c r="S433" s="31" t="s">
        <v>913</v>
      </c>
      <c r="T433" s="20">
        <v>45167</v>
      </c>
      <c r="U433" s="123"/>
      <c r="V433" s="13">
        <v>431</v>
      </c>
      <c r="W433" s="29">
        <v>45167.625</v>
      </c>
      <c r="X433" s="29">
        <v>45167.631944444445</v>
      </c>
      <c r="Y433" s="30">
        <f t="shared" si="383"/>
        <v>6.9444444452528842E-3</v>
      </c>
      <c r="Z433" s="29">
        <v>45167.625</v>
      </c>
      <c r="AA433" s="29">
        <v>45167.631944444445</v>
      </c>
      <c r="AB433" s="30">
        <f t="shared" si="384"/>
        <v>6.9444444452528842E-3</v>
      </c>
    </row>
    <row r="434" spans="1:28" x14ac:dyDescent="0.25">
      <c r="A434" s="12">
        <v>45139</v>
      </c>
      <c r="B434" s="13" t="s">
        <v>914</v>
      </c>
      <c r="C434" s="20">
        <v>45167</v>
      </c>
      <c r="D434" s="13">
        <v>5936674</v>
      </c>
      <c r="E434" s="13" t="s">
        <v>191</v>
      </c>
      <c r="F434" s="13" t="s">
        <v>135</v>
      </c>
      <c r="G434" s="13" t="s">
        <v>192</v>
      </c>
      <c r="H434" s="17">
        <v>5211014</v>
      </c>
      <c r="I434" s="17" t="s">
        <v>38</v>
      </c>
      <c r="J434" s="13" t="s">
        <v>94</v>
      </c>
      <c r="K434" s="13">
        <v>25</v>
      </c>
      <c r="L434" s="13">
        <v>80</v>
      </c>
      <c r="M434" s="13">
        <f t="shared" si="382"/>
        <v>2000</v>
      </c>
      <c r="N434" s="20">
        <v>45167</v>
      </c>
      <c r="O434" s="13" t="s">
        <v>399</v>
      </c>
      <c r="P434" s="13" t="s">
        <v>144</v>
      </c>
      <c r="Q434" s="13" t="s">
        <v>30</v>
      </c>
      <c r="R434" s="13" t="s">
        <v>621</v>
      </c>
      <c r="S434" s="31">
        <v>291639682446</v>
      </c>
      <c r="T434" s="20">
        <v>45167</v>
      </c>
      <c r="U434" s="123"/>
      <c r="V434" s="13">
        <v>432</v>
      </c>
      <c r="W434" s="29">
        <v>45167.513888888891</v>
      </c>
      <c r="X434" s="29">
        <v>45167.833333333336</v>
      </c>
      <c r="Y434" s="30">
        <f t="shared" si="383"/>
        <v>0.31944444444525288</v>
      </c>
      <c r="Z434" s="29">
        <v>45167.732638888891</v>
      </c>
      <c r="AA434" s="29">
        <v>45167.826388888891</v>
      </c>
      <c r="AB434" s="30">
        <f t="shared" si="384"/>
        <v>9.375E-2</v>
      </c>
    </row>
    <row r="435" spans="1:28" x14ac:dyDescent="0.25">
      <c r="A435" s="12">
        <v>45139</v>
      </c>
      <c r="B435" s="13" t="s">
        <v>914</v>
      </c>
      <c r="C435" s="20">
        <v>45167</v>
      </c>
      <c r="D435" s="13">
        <v>6134297</v>
      </c>
      <c r="E435" s="13" t="s">
        <v>191</v>
      </c>
      <c r="F435" s="13" t="s">
        <v>135</v>
      </c>
      <c r="G435" s="13" t="s">
        <v>192</v>
      </c>
      <c r="H435" s="17">
        <v>5211014</v>
      </c>
      <c r="I435" s="17" t="s">
        <v>38</v>
      </c>
      <c r="J435" s="13" t="s">
        <v>338</v>
      </c>
      <c r="K435" s="13">
        <v>25</v>
      </c>
      <c r="L435" s="13">
        <v>160</v>
      </c>
      <c r="M435" s="13">
        <f t="shared" ref="M435:M438" si="388">+L435*K435</f>
        <v>4000</v>
      </c>
      <c r="N435" s="20">
        <v>45167</v>
      </c>
      <c r="O435" s="13" t="s">
        <v>399</v>
      </c>
      <c r="P435" s="13" t="s">
        <v>144</v>
      </c>
      <c r="Q435" s="13" t="s">
        <v>30</v>
      </c>
      <c r="R435" s="13" t="s">
        <v>621</v>
      </c>
      <c r="S435" s="31">
        <v>291639682446</v>
      </c>
      <c r="T435" s="20">
        <v>45167</v>
      </c>
      <c r="U435" s="123"/>
      <c r="V435" s="13">
        <v>432</v>
      </c>
      <c r="W435" s="29">
        <v>45167.513888888891</v>
      </c>
      <c r="X435" s="29">
        <v>45167.833333333336</v>
      </c>
      <c r="Y435" s="30">
        <f t="shared" ref="Y435:Y438" si="389">+X435-W435</f>
        <v>0.31944444444525288</v>
      </c>
      <c r="Z435" s="29">
        <v>45167.732638888891</v>
      </c>
      <c r="AA435" s="29">
        <v>45167.826388888891</v>
      </c>
      <c r="AB435" s="30">
        <f t="shared" ref="AB435:AB438" si="390">+AA435-Z435</f>
        <v>9.375E-2</v>
      </c>
    </row>
    <row r="436" spans="1:28" x14ac:dyDescent="0.25">
      <c r="A436" s="12">
        <v>45139</v>
      </c>
      <c r="B436" s="13" t="s">
        <v>914</v>
      </c>
      <c r="C436" s="20">
        <v>45167</v>
      </c>
      <c r="D436" s="13">
        <v>5743038</v>
      </c>
      <c r="E436" s="13" t="s">
        <v>191</v>
      </c>
      <c r="F436" s="13" t="s">
        <v>135</v>
      </c>
      <c r="G436" s="13" t="s">
        <v>192</v>
      </c>
      <c r="H436" s="17">
        <v>5211014</v>
      </c>
      <c r="I436" s="17" t="s">
        <v>38</v>
      </c>
      <c r="J436" s="13" t="s">
        <v>88</v>
      </c>
      <c r="K436" s="13">
        <v>25</v>
      </c>
      <c r="L436" s="13">
        <v>480</v>
      </c>
      <c r="M436" s="13">
        <f t="shared" si="388"/>
        <v>12000</v>
      </c>
      <c r="N436" s="20">
        <v>45167</v>
      </c>
      <c r="O436" s="13" t="s">
        <v>399</v>
      </c>
      <c r="P436" s="13" t="s">
        <v>144</v>
      </c>
      <c r="Q436" s="13" t="s">
        <v>30</v>
      </c>
      <c r="R436" s="13" t="s">
        <v>621</v>
      </c>
      <c r="S436" s="31">
        <v>291639682446</v>
      </c>
      <c r="T436" s="20">
        <v>45167</v>
      </c>
      <c r="U436" s="123"/>
      <c r="V436" s="13">
        <v>432</v>
      </c>
      <c r="W436" s="29">
        <v>45167.513888888891</v>
      </c>
      <c r="X436" s="29">
        <v>45167.833333333336</v>
      </c>
      <c r="Y436" s="30">
        <f t="shared" si="389"/>
        <v>0.31944444444525288</v>
      </c>
      <c r="Z436" s="29">
        <v>45167.732638888891</v>
      </c>
      <c r="AA436" s="29">
        <v>45167.826388888891</v>
      </c>
      <c r="AB436" s="30">
        <f t="shared" si="390"/>
        <v>9.375E-2</v>
      </c>
    </row>
    <row r="437" spans="1:28" x14ac:dyDescent="0.25">
      <c r="A437" s="12">
        <v>45139</v>
      </c>
      <c r="B437" s="13" t="s">
        <v>914</v>
      </c>
      <c r="C437" s="20">
        <v>45167</v>
      </c>
      <c r="D437" s="13">
        <v>5851097</v>
      </c>
      <c r="E437" s="13" t="s">
        <v>191</v>
      </c>
      <c r="F437" s="13" t="s">
        <v>135</v>
      </c>
      <c r="G437" s="13" t="s">
        <v>192</v>
      </c>
      <c r="H437" s="17">
        <v>5211014</v>
      </c>
      <c r="I437" s="17" t="s">
        <v>38</v>
      </c>
      <c r="J437" s="13" t="s">
        <v>94</v>
      </c>
      <c r="K437" s="13">
        <v>25</v>
      </c>
      <c r="L437" s="13">
        <v>50</v>
      </c>
      <c r="M437" s="13">
        <f t="shared" si="388"/>
        <v>1250</v>
      </c>
      <c r="N437" s="20">
        <v>45167</v>
      </c>
      <c r="O437" s="13" t="s">
        <v>399</v>
      </c>
      <c r="P437" s="13" t="s">
        <v>144</v>
      </c>
      <c r="Q437" s="13" t="s">
        <v>30</v>
      </c>
      <c r="R437" s="13" t="s">
        <v>621</v>
      </c>
      <c r="S437" s="31">
        <v>291639682446</v>
      </c>
      <c r="T437" s="20">
        <v>45167</v>
      </c>
      <c r="U437" s="123"/>
      <c r="V437" s="13">
        <v>432</v>
      </c>
      <c r="W437" s="29">
        <v>45167.513888888891</v>
      </c>
      <c r="X437" s="29">
        <v>45167.833333333336</v>
      </c>
      <c r="Y437" s="30">
        <f t="shared" si="389"/>
        <v>0.31944444444525288</v>
      </c>
      <c r="Z437" s="29">
        <v>45167.732638888891</v>
      </c>
      <c r="AA437" s="29">
        <v>45167.826388888891</v>
      </c>
      <c r="AB437" s="30">
        <f t="shared" si="390"/>
        <v>9.375E-2</v>
      </c>
    </row>
    <row r="438" spans="1:28" x14ac:dyDescent="0.25">
      <c r="A438" s="12">
        <v>45139</v>
      </c>
      <c r="B438" s="13" t="s">
        <v>914</v>
      </c>
      <c r="C438" s="20">
        <v>45167</v>
      </c>
      <c r="D438" s="13">
        <v>5566306</v>
      </c>
      <c r="E438" s="13" t="s">
        <v>191</v>
      </c>
      <c r="F438" s="13" t="s">
        <v>135</v>
      </c>
      <c r="G438" s="13" t="s">
        <v>192</v>
      </c>
      <c r="H438" s="17">
        <v>5211014</v>
      </c>
      <c r="I438" s="17" t="s">
        <v>38</v>
      </c>
      <c r="J438" s="14" t="s">
        <v>72</v>
      </c>
      <c r="K438" s="13">
        <v>25</v>
      </c>
      <c r="L438" s="13">
        <v>30</v>
      </c>
      <c r="M438" s="13">
        <f t="shared" si="388"/>
        <v>750</v>
      </c>
      <c r="N438" s="20">
        <v>45167</v>
      </c>
      <c r="O438" s="13" t="s">
        <v>399</v>
      </c>
      <c r="P438" s="13" t="s">
        <v>144</v>
      </c>
      <c r="Q438" s="13" t="s">
        <v>30</v>
      </c>
      <c r="R438" s="13" t="s">
        <v>621</v>
      </c>
      <c r="S438" s="31">
        <v>291639682446</v>
      </c>
      <c r="T438" s="20">
        <v>45167</v>
      </c>
      <c r="U438" s="123"/>
      <c r="V438" s="13">
        <v>432</v>
      </c>
      <c r="W438" s="29">
        <v>45167.513888888891</v>
      </c>
      <c r="X438" s="29">
        <v>45167.833333333336</v>
      </c>
      <c r="Y438" s="30">
        <f t="shared" si="389"/>
        <v>0.31944444444525288</v>
      </c>
      <c r="Z438" s="29">
        <v>45167.732638888891</v>
      </c>
      <c r="AA438" s="29">
        <v>45167.826388888891</v>
      </c>
      <c r="AB438" s="30">
        <f t="shared" si="390"/>
        <v>9.375E-2</v>
      </c>
    </row>
    <row r="439" spans="1:28" x14ac:dyDescent="0.25">
      <c r="A439" s="12">
        <v>45139</v>
      </c>
      <c r="B439" s="13" t="s">
        <v>915</v>
      </c>
      <c r="C439" s="20">
        <v>45167</v>
      </c>
      <c r="D439" s="13">
        <v>6335482</v>
      </c>
      <c r="E439" s="13" t="s">
        <v>191</v>
      </c>
      <c r="F439" s="13" t="s">
        <v>135</v>
      </c>
      <c r="G439" s="13" t="s">
        <v>192</v>
      </c>
      <c r="H439" s="17">
        <v>5212259</v>
      </c>
      <c r="I439" s="17" t="s">
        <v>26</v>
      </c>
      <c r="J439" s="13" t="s">
        <v>445</v>
      </c>
      <c r="K439" s="13">
        <v>25</v>
      </c>
      <c r="L439" s="13">
        <v>528</v>
      </c>
      <c r="M439" s="13">
        <f t="shared" ref="M439" si="391">+L439*K439</f>
        <v>13200</v>
      </c>
      <c r="N439" s="20">
        <v>45167</v>
      </c>
      <c r="O439" s="13" t="s">
        <v>399</v>
      </c>
      <c r="P439" s="13" t="s">
        <v>144</v>
      </c>
      <c r="Q439" s="13" t="s">
        <v>30</v>
      </c>
      <c r="R439" s="13" t="s">
        <v>621</v>
      </c>
      <c r="S439" s="31">
        <v>271639683980</v>
      </c>
      <c r="T439" s="20">
        <v>45167</v>
      </c>
      <c r="U439" s="123"/>
      <c r="V439" s="13">
        <v>432</v>
      </c>
      <c r="W439" s="29">
        <v>45167.513888888891</v>
      </c>
      <c r="X439" s="29">
        <v>45167.833333333336</v>
      </c>
      <c r="Y439" s="30">
        <f t="shared" ref="Y439" si="392">+X439-W439</f>
        <v>0.31944444444525288</v>
      </c>
      <c r="Z439" s="29">
        <v>45167.732638888891</v>
      </c>
      <c r="AA439" s="29">
        <v>45167.826388888891</v>
      </c>
      <c r="AB439" s="30">
        <f t="shared" ref="AB439" si="393">+AA439-Z439</f>
        <v>9.375E-2</v>
      </c>
    </row>
    <row r="440" spans="1:28" x14ac:dyDescent="0.25">
      <c r="A440" s="12">
        <v>45139</v>
      </c>
      <c r="B440" s="13" t="s">
        <v>915</v>
      </c>
      <c r="C440" s="20">
        <v>45167</v>
      </c>
      <c r="D440" s="13">
        <v>6907748</v>
      </c>
      <c r="E440" s="13" t="s">
        <v>191</v>
      </c>
      <c r="F440" s="13" t="s">
        <v>135</v>
      </c>
      <c r="G440" s="13" t="s">
        <v>192</v>
      </c>
      <c r="H440" s="17">
        <v>5212259</v>
      </c>
      <c r="I440" s="17" t="s">
        <v>26</v>
      </c>
      <c r="J440" s="13" t="s">
        <v>703</v>
      </c>
      <c r="K440" s="13">
        <v>25</v>
      </c>
      <c r="L440" s="13">
        <v>152</v>
      </c>
      <c r="M440" s="13">
        <f t="shared" ref="M440:M452" si="394">+L440*K440</f>
        <v>3800</v>
      </c>
      <c r="N440" s="20">
        <v>45167</v>
      </c>
      <c r="O440" s="13" t="s">
        <v>399</v>
      </c>
      <c r="P440" s="13" t="s">
        <v>144</v>
      </c>
      <c r="Q440" s="13" t="s">
        <v>30</v>
      </c>
      <c r="R440" s="13" t="s">
        <v>621</v>
      </c>
      <c r="S440" s="31">
        <v>271639683980</v>
      </c>
      <c r="T440" s="20">
        <v>45167</v>
      </c>
      <c r="U440" s="123"/>
      <c r="V440" s="13">
        <v>432</v>
      </c>
      <c r="W440" s="29">
        <v>45167.513888888891</v>
      </c>
      <c r="X440" s="29">
        <v>45167.833333333336</v>
      </c>
      <c r="Y440" s="30">
        <f t="shared" ref="Y440:Y450" si="395">+X440-W440</f>
        <v>0.31944444444525288</v>
      </c>
      <c r="Z440" s="29">
        <v>45167.732638888891</v>
      </c>
      <c r="AA440" s="29">
        <v>45167.826388888891</v>
      </c>
      <c r="AB440" s="30">
        <f t="shared" ref="AB440:AB450" si="396">+AA440-Z440</f>
        <v>9.375E-2</v>
      </c>
    </row>
    <row r="441" spans="1:28" x14ac:dyDescent="0.25">
      <c r="A441" s="12">
        <v>45139</v>
      </c>
      <c r="B441" s="13" t="s">
        <v>916</v>
      </c>
      <c r="C441" s="20">
        <v>45167</v>
      </c>
      <c r="D441" s="13">
        <v>6907842</v>
      </c>
      <c r="E441" s="13" t="s">
        <v>917</v>
      </c>
      <c r="F441" s="13" t="s">
        <v>524</v>
      </c>
      <c r="G441" s="13" t="s">
        <v>132</v>
      </c>
      <c r="H441" s="17">
        <v>5302847</v>
      </c>
      <c r="I441" s="17" t="s">
        <v>746</v>
      </c>
      <c r="J441" s="13" t="s">
        <v>747</v>
      </c>
      <c r="K441" s="13">
        <v>210</v>
      </c>
      <c r="L441" s="13">
        <v>40</v>
      </c>
      <c r="M441" s="13">
        <f t="shared" si="394"/>
        <v>8400</v>
      </c>
      <c r="N441" s="20">
        <v>45167</v>
      </c>
      <c r="O441" s="13" t="s">
        <v>177</v>
      </c>
      <c r="P441" s="13" t="s">
        <v>134</v>
      </c>
      <c r="Q441" s="123">
        <v>2261</v>
      </c>
      <c r="R441" s="13" t="s">
        <v>918</v>
      </c>
      <c r="S441" s="31">
        <v>221639747603</v>
      </c>
      <c r="T441" s="20">
        <v>45167</v>
      </c>
      <c r="U441" s="123"/>
      <c r="V441" s="13">
        <v>433</v>
      </c>
      <c r="W441" s="29">
        <v>45167.868055555555</v>
      </c>
      <c r="X441" s="29">
        <v>45167.895833333336</v>
      </c>
      <c r="Y441" s="30">
        <f t="shared" si="395"/>
        <v>2.7777777781011537E-2</v>
      </c>
      <c r="Z441" s="29">
        <v>45167.875</v>
      </c>
      <c r="AA441" s="29">
        <v>45167.895833333336</v>
      </c>
      <c r="AB441" s="30">
        <f t="shared" si="396"/>
        <v>2.0833333335758653E-2</v>
      </c>
    </row>
    <row r="442" spans="1:28" x14ac:dyDescent="0.25">
      <c r="A442" s="12">
        <v>45139</v>
      </c>
      <c r="B442" s="13" t="s">
        <v>926</v>
      </c>
      <c r="C442" s="20">
        <v>45166</v>
      </c>
      <c r="D442" s="13">
        <v>7179395</v>
      </c>
      <c r="E442" s="13" t="s">
        <v>395</v>
      </c>
      <c r="F442" s="13" t="s">
        <v>396</v>
      </c>
      <c r="G442" s="13" t="s">
        <v>192</v>
      </c>
      <c r="H442" s="17">
        <v>5211013</v>
      </c>
      <c r="I442" s="17" t="s">
        <v>27</v>
      </c>
      <c r="J442" s="13" t="s">
        <v>823</v>
      </c>
      <c r="K442" s="13">
        <v>25</v>
      </c>
      <c r="L442" s="13">
        <v>80</v>
      </c>
      <c r="M442" s="13">
        <f t="shared" si="394"/>
        <v>2000</v>
      </c>
      <c r="N442" s="20">
        <v>45169</v>
      </c>
      <c r="O442" s="13" t="s">
        <v>193</v>
      </c>
      <c r="P442" s="13" t="s">
        <v>144</v>
      </c>
      <c r="Q442" s="13" t="s">
        <v>30</v>
      </c>
      <c r="R442" s="13" t="s">
        <v>408</v>
      </c>
      <c r="S442" s="31">
        <v>241640417522</v>
      </c>
      <c r="T442" s="20">
        <v>45169</v>
      </c>
      <c r="U442" s="123"/>
      <c r="V442" s="13">
        <v>434</v>
      </c>
      <c r="W442" s="29">
        <v>45169.520833333336</v>
      </c>
      <c r="X442" s="29">
        <v>45169.545138888891</v>
      </c>
      <c r="Y442" s="30">
        <f t="shared" si="395"/>
        <v>2.4305555554747116E-2</v>
      </c>
      <c r="Z442" s="29">
        <v>45169.527777777781</v>
      </c>
      <c r="AA442" s="29">
        <v>45169.538194444445</v>
      </c>
      <c r="AB442" s="30">
        <f t="shared" si="396"/>
        <v>1.0416666664241347E-2</v>
      </c>
    </row>
    <row r="443" spans="1:28" x14ac:dyDescent="0.25">
      <c r="A443" s="12">
        <v>45139</v>
      </c>
      <c r="B443" s="13" t="s">
        <v>927</v>
      </c>
      <c r="C443" s="20">
        <v>45169</v>
      </c>
      <c r="D443" s="13">
        <v>6087743</v>
      </c>
      <c r="E443" s="13" t="s">
        <v>679</v>
      </c>
      <c r="F443" s="13" t="s">
        <v>680</v>
      </c>
      <c r="G443" s="13" t="s">
        <v>132</v>
      </c>
      <c r="H443" s="17">
        <v>5309040</v>
      </c>
      <c r="I443" s="17" t="s">
        <v>105</v>
      </c>
      <c r="J443" s="13" t="s">
        <v>106</v>
      </c>
      <c r="K443" s="13">
        <v>250</v>
      </c>
      <c r="L443" s="13">
        <v>80</v>
      </c>
      <c r="M443" s="13">
        <f t="shared" si="394"/>
        <v>20000</v>
      </c>
      <c r="N443" s="20">
        <v>45169</v>
      </c>
      <c r="O443" s="13" t="s">
        <v>425</v>
      </c>
      <c r="P443" s="13" t="s">
        <v>144</v>
      </c>
      <c r="Q443" s="13" t="s">
        <v>30</v>
      </c>
      <c r="R443" s="13" t="s">
        <v>928</v>
      </c>
      <c r="S443" s="31">
        <v>231640598895</v>
      </c>
      <c r="T443" s="20">
        <v>45169</v>
      </c>
      <c r="U443" s="123"/>
      <c r="V443" s="13">
        <v>435</v>
      </c>
      <c r="W443" s="29">
        <v>45169.576388888891</v>
      </c>
      <c r="X443" s="29">
        <v>45169.690972222219</v>
      </c>
      <c r="Y443" s="30">
        <f t="shared" si="395"/>
        <v>0.11458333332848269</v>
      </c>
      <c r="Z443" s="29">
        <v>45169.583333333336</v>
      </c>
      <c r="AA443" s="29">
        <v>45169.628472222219</v>
      </c>
      <c r="AB443" s="30">
        <f t="shared" si="396"/>
        <v>4.5138888883229811E-2</v>
      </c>
    </row>
    <row r="444" spans="1:28" x14ac:dyDescent="0.25">
      <c r="A444" s="12">
        <v>45139</v>
      </c>
      <c r="B444" s="13" t="s">
        <v>929</v>
      </c>
      <c r="C444" s="20">
        <v>45163</v>
      </c>
      <c r="D444" s="13">
        <v>7179395</v>
      </c>
      <c r="E444" s="13" t="s">
        <v>191</v>
      </c>
      <c r="F444" s="13" t="s">
        <v>135</v>
      </c>
      <c r="G444" s="13" t="s">
        <v>192</v>
      </c>
      <c r="H444" s="17">
        <v>5211013</v>
      </c>
      <c r="I444" s="17" t="s">
        <v>27</v>
      </c>
      <c r="J444" s="13" t="s">
        <v>823</v>
      </c>
      <c r="K444" s="13">
        <v>25</v>
      </c>
      <c r="L444" s="13">
        <v>300</v>
      </c>
      <c r="M444" s="13">
        <f t="shared" si="394"/>
        <v>7500</v>
      </c>
      <c r="N444" s="20">
        <v>45169</v>
      </c>
      <c r="O444" s="13" t="s">
        <v>136</v>
      </c>
      <c r="P444" s="13" t="s">
        <v>144</v>
      </c>
      <c r="Q444" s="13" t="s">
        <v>30</v>
      </c>
      <c r="R444" s="13" t="s">
        <v>930</v>
      </c>
      <c r="S444" s="31">
        <v>271640530688</v>
      </c>
      <c r="T444" s="20">
        <v>45169</v>
      </c>
      <c r="U444" s="123"/>
      <c r="V444" s="13">
        <v>436</v>
      </c>
      <c r="W444" s="29">
        <v>45169.576388888891</v>
      </c>
      <c r="X444" s="29">
        <v>45169.631944444445</v>
      </c>
      <c r="Y444" s="30">
        <f t="shared" si="395"/>
        <v>5.5555555554747116E-2</v>
      </c>
      <c r="Z444" s="29">
        <v>45169.583333333336</v>
      </c>
      <c r="AA444" s="29">
        <v>45169.625</v>
      </c>
      <c r="AB444" s="30">
        <f t="shared" si="396"/>
        <v>4.1666666664241347E-2</v>
      </c>
    </row>
    <row r="445" spans="1:28" x14ac:dyDescent="0.25">
      <c r="A445" s="12">
        <v>45139</v>
      </c>
      <c r="B445" s="13" t="s">
        <v>929</v>
      </c>
      <c r="C445" s="20">
        <v>45163</v>
      </c>
      <c r="D445" s="13">
        <v>7179395</v>
      </c>
      <c r="E445" s="13" t="s">
        <v>191</v>
      </c>
      <c r="F445" s="13" t="s">
        <v>135</v>
      </c>
      <c r="G445" s="13" t="s">
        <v>192</v>
      </c>
      <c r="H445" s="17">
        <v>5211013</v>
      </c>
      <c r="I445" s="17" t="s">
        <v>27</v>
      </c>
      <c r="J445" s="13" t="s">
        <v>824</v>
      </c>
      <c r="K445" s="13">
        <v>25</v>
      </c>
      <c r="L445" s="13">
        <v>100</v>
      </c>
      <c r="M445" s="13">
        <f t="shared" ref="M445" si="397">+L445*K445</f>
        <v>2500</v>
      </c>
      <c r="N445" s="20">
        <v>45169</v>
      </c>
      <c r="O445" s="13" t="s">
        <v>136</v>
      </c>
      <c r="P445" s="13" t="s">
        <v>144</v>
      </c>
      <c r="Q445" s="13" t="s">
        <v>30</v>
      </c>
      <c r="R445" s="13" t="s">
        <v>930</v>
      </c>
      <c r="S445" s="31">
        <v>271640530688</v>
      </c>
      <c r="T445" s="20">
        <v>45169</v>
      </c>
      <c r="U445" s="123"/>
      <c r="V445" s="13">
        <v>436</v>
      </c>
      <c r="W445" s="29">
        <v>45169.576388888891</v>
      </c>
      <c r="X445" s="29">
        <v>45169.631944444445</v>
      </c>
      <c r="Y445" s="30">
        <f t="shared" ref="Y445" si="398">+X445-W445</f>
        <v>5.5555555554747116E-2</v>
      </c>
      <c r="Z445" s="29">
        <v>45169.583333333336</v>
      </c>
      <c r="AA445" s="29">
        <v>45169.625</v>
      </c>
      <c r="AB445" s="30">
        <f t="shared" ref="AB445" si="399">+AA445-Z445</f>
        <v>4.1666666664241347E-2</v>
      </c>
    </row>
    <row r="446" spans="1:28" x14ac:dyDescent="0.25">
      <c r="A446" s="12">
        <v>45139</v>
      </c>
      <c r="B446" s="13" t="s">
        <v>931</v>
      </c>
      <c r="C446" s="20">
        <v>45169</v>
      </c>
      <c r="D446" s="13">
        <v>6087743</v>
      </c>
      <c r="E446" s="13" t="s">
        <v>267</v>
      </c>
      <c r="F446" s="13" t="s">
        <v>240</v>
      </c>
      <c r="G446" s="13" t="s">
        <v>132</v>
      </c>
      <c r="H446" s="17">
        <v>5309040</v>
      </c>
      <c r="I446" s="17" t="s">
        <v>105</v>
      </c>
      <c r="J446" s="13" t="s">
        <v>107</v>
      </c>
      <c r="K446" s="13">
        <v>250</v>
      </c>
      <c r="L446" s="13">
        <v>40</v>
      </c>
      <c r="M446" s="13">
        <f t="shared" si="394"/>
        <v>10000</v>
      </c>
      <c r="N446" s="20">
        <v>45169</v>
      </c>
      <c r="O446" s="13" t="s">
        <v>136</v>
      </c>
      <c r="P446" s="13" t="s">
        <v>144</v>
      </c>
      <c r="Q446" s="13" t="s">
        <v>30</v>
      </c>
      <c r="R446" s="13" t="s">
        <v>594</v>
      </c>
      <c r="S446" s="31">
        <v>241640626074</v>
      </c>
      <c r="T446" s="20">
        <v>45169</v>
      </c>
      <c r="U446" s="123"/>
      <c r="V446" s="13">
        <v>437</v>
      </c>
      <c r="W446" s="29">
        <v>45169.604166666664</v>
      </c>
      <c r="X446" s="29">
        <v>45169.680555555555</v>
      </c>
      <c r="Y446" s="30">
        <f t="shared" si="395"/>
        <v>7.6388888890505768E-2</v>
      </c>
      <c r="Z446" s="29">
        <v>45169.652777777781</v>
      </c>
      <c r="AA446" s="29">
        <v>45169.673611111109</v>
      </c>
      <c r="AB446" s="30">
        <f t="shared" si="396"/>
        <v>2.0833333328482695E-2</v>
      </c>
    </row>
    <row r="447" spans="1:28" x14ac:dyDescent="0.25">
      <c r="A447" s="12">
        <v>45139</v>
      </c>
      <c r="B447" s="13" t="s">
        <v>932</v>
      </c>
      <c r="C447" s="20">
        <v>45169</v>
      </c>
      <c r="D447" s="13">
        <v>6087743</v>
      </c>
      <c r="E447" s="13" t="s">
        <v>679</v>
      </c>
      <c r="F447" s="13" t="s">
        <v>135</v>
      </c>
      <c r="G447" s="13" t="s">
        <v>132</v>
      </c>
      <c r="H447" s="17">
        <v>5309040</v>
      </c>
      <c r="I447" s="17" t="s">
        <v>105</v>
      </c>
      <c r="J447" s="13" t="s">
        <v>107</v>
      </c>
      <c r="K447" s="13">
        <v>250</v>
      </c>
      <c r="L447" s="13">
        <v>40</v>
      </c>
      <c r="M447" s="13">
        <f t="shared" si="394"/>
        <v>10000</v>
      </c>
      <c r="N447" s="20">
        <v>45169</v>
      </c>
      <c r="O447" s="13" t="s">
        <v>136</v>
      </c>
      <c r="P447" s="13" t="s">
        <v>144</v>
      </c>
      <c r="Q447" s="13" t="s">
        <v>30</v>
      </c>
      <c r="R447" s="13" t="s">
        <v>381</v>
      </c>
      <c r="S447" s="31">
        <v>241640669516</v>
      </c>
      <c r="T447" s="20">
        <v>45169</v>
      </c>
      <c r="U447" s="123"/>
      <c r="V447" s="13">
        <v>438</v>
      </c>
      <c r="W447" s="29">
        <v>45169.625</v>
      </c>
      <c r="X447" s="29">
        <v>45169.715277777781</v>
      </c>
      <c r="Y447" s="30">
        <f t="shared" si="395"/>
        <v>9.0277777781011537E-2</v>
      </c>
      <c r="Z447" s="29">
        <v>45169.680555555555</v>
      </c>
      <c r="AA447" s="29">
        <v>45169.708333333336</v>
      </c>
      <c r="AB447" s="30">
        <f t="shared" si="396"/>
        <v>2.7777777781011537E-2</v>
      </c>
    </row>
    <row r="448" spans="1:28" x14ac:dyDescent="0.25">
      <c r="A448" s="12">
        <v>45139</v>
      </c>
      <c r="B448" s="13" t="s">
        <v>933</v>
      </c>
      <c r="C448" s="20">
        <v>45169</v>
      </c>
      <c r="D448" s="13">
        <v>6907842</v>
      </c>
      <c r="E448" s="13" t="s">
        <v>917</v>
      </c>
      <c r="F448" s="13" t="s">
        <v>524</v>
      </c>
      <c r="G448" s="13" t="s">
        <v>132</v>
      </c>
      <c r="H448" s="17">
        <v>5302847</v>
      </c>
      <c r="I448" s="17" t="s">
        <v>746</v>
      </c>
      <c r="J448" s="13" t="s">
        <v>747</v>
      </c>
      <c r="K448" s="13">
        <v>210</v>
      </c>
      <c r="L448" s="13">
        <v>40</v>
      </c>
      <c r="M448" s="13">
        <f t="shared" si="394"/>
        <v>8400</v>
      </c>
      <c r="N448" s="20">
        <v>45169</v>
      </c>
      <c r="O448" s="13" t="s">
        <v>177</v>
      </c>
      <c r="P448" s="13" t="s">
        <v>144</v>
      </c>
      <c r="Q448" s="13" t="s">
        <v>30</v>
      </c>
      <c r="R448" s="13" t="s">
        <v>934</v>
      </c>
      <c r="S448" s="31">
        <v>281640682573</v>
      </c>
      <c r="T448" s="20">
        <v>45169</v>
      </c>
      <c r="U448" s="123"/>
      <c r="V448" s="13">
        <v>439</v>
      </c>
      <c r="W448" s="29">
        <v>45169.666666666664</v>
      </c>
      <c r="X448" s="29">
        <v>45169.708333333336</v>
      </c>
      <c r="Y448" s="30">
        <f t="shared" si="395"/>
        <v>4.1666666671517305E-2</v>
      </c>
      <c r="Z448" s="29">
        <v>45169.694444444445</v>
      </c>
      <c r="AA448" s="29">
        <v>45169.701388888891</v>
      </c>
      <c r="AB448" s="30">
        <f t="shared" si="396"/>
        <v>6.9444444452528842E-3</v>
      </c>
    </row>
    <row r="449" spans="1:28" x14ac:dyDescent="0.25">
      <c r="A449" s="12">
        <v>45139</v>
      </c>
      <c r="B449" s="13" t="s">
        <v>935</v>
      </c>
      <c r="C449" s="20">
        <v>45169</v>
      </c>
      <c r="D449" s="13">
        <v>7258855</v>
      </c>
      <c r="E449" s="13" t="s">
        <v>191</v>
      </c>
      <c r="F449" s="13" t="s">
        <v>135</v>
      </c>
      <c r="G449" s="13" t="s">
        <v>192</v>
      </c>
      <c r="H449" s="17">
        <v>5212252</v>
      </c>
      <c r="I449" s="17" t="s">
        <v>23</v>
      </c>
      <c r="J449" s="13" t="s">
        <v>920</v>
      </c>
      <c r="K449" s="13">
        <v>25</v>
      </c>
      <c r="L449" s="123">
        <v>628</v>
      </c>
      <c r="M449" s="13">
        <f t="shared" si="394"/>
        <v>15700</v>
      </c>
      <c r="N449" s="20">
        <v>45169</v>
      </c>
      <c r="O449" s="13" t="s">
        <v>833</v>
      </c>
      <c r="P449" s="13" t="s">
        <v>144</v>
      </c>
      <c r="Q449" s="13" t="s">
        <v>30</v>
      </c>
      <c r="R449" s="13" t="s">
        <v>936</v>
      </c>
      <c r="S449" s="31">
        <v>291640751850</v>
      </c>
      <c r="T449" s="20">
        <v>45169</v>
      </c>
      <c r="U449" s="123"/>
      <c r="V449" s="13">
        <v>440</v>
      </c>
      <c r="W449" s="29">
        <v>45169.729166666664</v>
      </c>
      <c r="X449" s="29">
        <v>45169.809027777781</v>
      </c>
      <c r="Y449" s="30">
        <f t="shared" si="395"/>
        <v>7.9861111116770189E-2</v>
      </c>
      <c r="Z449" s="29">
        <v>45169.767361111109</v>
      </c>
      <c r="AA449" s="29">
        <v>45169.802083333336</v>
      </c>
      <c r="AB449" s="30">
        <f t="shared" si="396"/>
        <v>3.4722222226264421E-2</v>
      </c>
    </row>
    <row r="450" spans="1:28" x14ac:dyDescent="0.25">
      <c r="A450" s="12">
        <v>45139</v>
      </c>
      <c r="B450" s="13" t="s">
        <v>937</v>
      </c>
      <c r="C450" s="20">
        <v>45169</v>
      </c>
      <c r="D450" s="13">
        <v>6907842</v>
      </c>
      <c r="E450" s="13" t="s">
        <v>175</v>
      </c>
      <c r="F450" s="13" t="s">
        <v>135</v>
      </c>
      <c r="G450" s="13" t="s">
        <v>132</v>
      </c>
      <c r="H450" s="17">
        <v>5302847</v>
      </c>
      <c r="I450" s="17" t="s">
        <v>746</v>
      </c>
      <c r="J450" s="13" t="s">
        <v>747</v>
      </c>
      <c r="K450" s="13">
        <v>210</v>
      </c>
      <c r="L450" s="13">
        <v>40</v>
      </c>
      <c r="M450" s="13">
        <f t="shared" si="394"/>
        <v>8400</v>
      </c>
      <c r="N450" s="20">
        <v>45169</v>
      </c>
      <c r="O450" s="13" t="s">
        <v>136</v>
      </c>
      <c r="P450" s="13" t="s">
        <v>144</v>
      </c>
      <c r="Q450" s="13" t="s">
        <v>30</v>
      </c>
      <c r="R450" s="13" t="s">
        <v>938</v>
      </c>
      <c r="S450" s="31">
        <v>251640695358</v>
      </c>
      <c r="T450" s="20">
        <v>45169</v>
      </c>
      <c r="U450" s="123"/>
      <c r="V450" s="13">
        <v>441</v>
      </c>
      <c r="W450" s="29">
        <v>45169.6875</v>
      </c>
      <c r="X450" s="29">
        <v>45169.822916666664</v>
      </c>
      <c r="Y450" s="30">
        <f t="shared" si="395"/>
        <v>0.13541666666424135</v>
      </c>
      <c r="Z450" s="29">
        <v>45169.770833333336</v>
      </c>
      <c r="AA450" s="29">
        <v>45169.815972222219</v>
      </c>
      <c r="AB450" s="30">
        <f t="shared" si="396"/>
        <v>4.5138888883229811E-2</v>
      </c>
    </row>
    <row r="451" spans="1:28" x14ac:dyDescent="0.25">
      <c r="A451" s="12">
        <v>45139</v>
      </c>
      <c r="B451" s="13" t="s">
        <v>939</v>
      </c>
      <c r="C451" s="20">
        <v>45169</v>
      </c>
      <c r="D451" s="13">
        <v>6907842</v>
      </c>
      <c r="E451" s="13" t="s">
        <v>175</v>
      </c>
      <c r="F451" s="13" t="s">
        <v>135</v>
      </c>
      <c r="G451" s="13" t="s">
        <v>132</v>
      </c>
      <c r="H451" s="17">
        <v>5302847</v>
      </c>
      <c r="I451" s="17" t="s">
        <v>746</v>
      </c>
      <c r="J451" s="13" t="s">
        <v>747</v>
      </c>
      <c r="K451" s="13">
        <v>210</v>
      </c>
      <c r="L451" s="13">
        <v>8</v>
      </c>
      <c r="M451" s="13">
        <f t="shared" si="394"/>
        <v>1680</v>
      </c>
      <c r="N451" s="20">
        <v>45169</v>
      </c>
      <c r="O451" s="13" t="s">
        <v>136</v>
      </c>
      <c r="P451" s="13" t="s">
        <v>144</v>
      </c>
      <c r="Q451" s="13" t="s">
        <v>30</v>
      </c>
      <c r="R451" s="13" t="s">
        <v>938</v>
      </c>
      <c r="S451" s="31">
        <v>271640730671</v>
      </c>
      <c r="T451" s="20">
        <v>45169</v>
      </c>
      <c r="U451" s="123"/>
      <c r="V451" s="13">
        <v>441</v>
      </c>
      <c r="W451" s="29">
        <v>45169.6875</v>
      </c>
      <c r="X451" s="29">
        <v>45169.822916666664</v>
      </c>
      <c r="Y451" s="30">
        <f t="shared" ref="Y451:Y452" si="400">+X451-W451</f>
        <v>0.13541666666424135</v>
      </c>
      <c r="Z451" s="29">
        <v>45169.770833333336</v>
      </c>
      <c r="AA451" s="29">
        <v>45169.815972222219</v>
      </c>
      <c r="AB451" s="30">
        <f t="shared" ref="AB451:AB452" si="401">+AA451-Z451</f>
        <v>4.5138888883229811E-2</v>
      </c>
    </row>
    <row r="452" spans="1:28" x14ac:dyDescent="0.25">
      <c r="A452" s="12">
        <v>45139</v>
      </c>
      <c r="B452" s="13" t="s">
        <v>940</v>
      </c>
      <c r="C452" s="20">
        <v>45169</v>
      </c>
      <c r="D452" s="13">
        <v>5936674</v>
      </c>
      <c r="E452" s="13" t="s">
        <v>191</v>
      </c>
      <c r="F452" s="13" t="s">
        <v>135</v>
      </c>
      <c r="G452" s="13" t="s">
        <v>192</v>
      </c>
      <c r="H452" s="17">
        <v>5212256</v>
      </c>
      <c r="I452" s="17" t="s">
        <v>22</v>
      </c>
      <c r="J452" s="13" t="s">
        <v>104</v>
      </c>
      <c r="K452" s="13">
        <v>25</v>
      </c>
      <c r="L452" s="123">
        <v>588</v>
      </c>
      <c r="M452" s="13">
        <f t="shared" si="394"/>
        <v>14700</v>
      </c>
      <c r="N452" s="20">
        <v>45169</v>
      </c>
      <c r="O452" s="13" t="s">
        <v>399</v>
      </c>
      <c r="P452" s="13" t="s">
        <v>144</v>
      </c>
      <c r="Q452" s="13" t="s">
        <v>30</v>
      </c>
      <c r="R452" s="13" t="s">
        <v>941</v>
      </c>
      <c r="S452" s="31">
        <v>201640764369</v>
      </c>
      <c r="T452" s="20">
        <v>45169</v>
      </c>
      <c r="U452" s="123"/>
      <c r="V452" s="13">
        <v>442</v>
      </c>
      <c r="W452" s="29">
        <v>45169.701388888891</v>
      </c>
      <c r="X452" s="29">
        <v>45169.916666666664</v>
      </c>
      <c r="Y452" s="30">
        <f t="shared" si="400"/>
        <v>0.21527777777373558</v>
      </c>
      <c r="Z452" s="29">
        <v>45169.826388888891</v>
      </c>
      <c r="AA452" s="29">
        <v>45169.916666666664</v>
      </c>
      <c r="AB452" s="30">
        <f t="shared" si="401"/>
        <v>9.0277777773735579E-2</v>
      </c>
    </row>
    <row r="453" spans="1:28" x14ac:dyDescent="0.25">
      <c r="A453" s="12">
        <v>45139</v>
      </c>
      <c r="B453" s="13" t="s">
        <v>942</v>
      </c>
      <c r="C453" s="20">
        <v>45163</v>
      </c>
      <c r="D453" s="13">
        <v>7179395</v>
      </c>
      <c r="E453" s="13" t="s">
        <v>191</v>
      </c>
      <c r="F453" s="13" t="s">
        <v>135</v>
      </c>
      <c r="G453" s="13" t="s">
        <v>192</v>
      </c>
      <c r="H453" s="17">
        <v>5211013</v>
      </c>
      <c r="I453" s="17" t="s">
        <v>27</v>
      </c>
      <c r="J453" s="13" t="s">
        <v>828</v>
      </c>
      <c r="K453" s="13">
        <v>25</v>
      </c>
      <c r="L453" s="123">
        <v>617</v>
      </c>
      <c r="M453" s="13">
        <f t="shared" ref="M453:M472" si="402">+L453*K453</f>
        <v>15425</v>
      </c>
      <c r="N453" s="20">
        <v>45169</v>
      </c>
      <c r="O453" s="13" t="s">
        <v>399</v>
      </c>
      <c r="P453" s="13" t="s">
        <v>144</v>
      </c>
      <c r="Q453" s="13" t="s">
        <v>30</v>
      </c>
      <c r="R453" s="13" t="s">
        <v>941</v>
      </c>
      <c r="S453" s="31">
        <v>201640764369</v>
      </c>
      <c r="T453" s="20">
        <v>45169</v>
      </c>
      <c r="U453" s="123"/>
      <c r="V453" s="13">
        <v>442</v>
      </c>
      <c r="W453" s="29">
        <v>45169.701388888891</v>
      </c>
      <c r="X453" s="29">
        <v>45169.916666666664</v>
      </c>
      <c r="Y453" s="30">
        <f t="shared" ref="Y453:Y455" si="403">+X453-W453</f>
        <v>0.21527777777373558</v>
      </c>
      <c r="Z453" s="29">
        <v>45169.826388888891</v>
      </c>
      <c r="AA453" s="29">
        <v>45169.916666666664</v>
      </c>
      <c r="AB453" s="30">
        <f t="shared" ref="AB453:AB455" si="404">+AA453-Z453</f>
        <v>9.0277777773735579E-2</v>
      </c>
    </row>
    <row r="454" spans="1:28" x14ac:dyDescent="0.25">
      <c r="A454" s="12">
        <v>45170</v>
      </c>
      <c r="B454" s="13" t="s">
        <v>943</v>
      </c>
      <c r="C454" s="20">
        <v>45169</v>
      </c>
      <c r="D454" s="13">
        <v>7258855</v>
      </c>
      <c r="E454" s="13" t="s">
        <v>191</v>
      </c>
      <c r="F454" s="13" t="s">
        <v>135</v>
      </c>
      <c r="G454" s="13" t="s">
        <v>192</v>
      </c>
      <c r="H454" s="17">
        <v>5212252</v>
      </c>
      <c r="I454" s="17" t="s">
        <v>23</v>
      </c>
      <c r="J454" s="13" t="s">
        <v>920</v>
      </c>
      <c r="K454" s="13">
        <v>25</v>
      </c>
      <c r="L454" s="123">
        <v>212</v>
      </c>
      <c r="M454" s="13">
        <f t="shared" si="402"/>
        <v>5300</v>
      </c>
      <c r="N454" s="20">
        <v>45170</v>
      </c>
      <c r="O454" s="13" t="s">
        <v>298</v>
      </c>
      <c r="P454" s="13" t="s">
        <v>144</v>
      </c>
      <c r="Q454" s="13" t="s">
        <v>30</v>
      </c>
      <c r="R454" s="13" t="s">
        <v>944</v>
      </c>
      <c r="S454" s="31">
        <v>241641015325</v>
      </c>
      <c r="T454" s="20">
        <v>45170</v>
      </c>
      <c r="U454" s="123"/>
      <c r="V454" s="13">
        <v>443</v>
      </c>
      <c r="W454" s="29">
        <v>45170.465277777781</v>
      </c>
      <c r="X454" s="29">
        <v>45170.5</v>
      </c>
      <c r="Y454" s="30">
        <f t="shared" si="403"/>
        <v>3.4722222218988463E-2</v>
      </c>
      <c r="Z454" s="29">
        <v>45170.472222222219</v>
      </c>
      <c r="AA454" s="29">
        <v>45170.493055555555</v>
      </c>
      <c r="AB454" s="30">
        <f t="shared" si="404"/>
        <v>2.0833333335758653E-2</v>
      </c>
    </row>
    <row r="455" spans="1:28" x14ac:dyDescent="0.25">
      <c r="A455" s="12">
        <v>45170</v>
      </c>
      <c r="B455" s="13" t="s">
        <v>945</v>
      </c>
      <c r="C455" s="20">
        <v>45167</v>
      </c>
      <c r="D455" s="13">
        <v>7179395</v>
      </c>
      <c r="E455" s="13" t="s">
        <v>420</v>
      </c>
      <c r="F455" s="13" t="s">
        <v>423</v>
      </c>
      <c r="G455" s="13" t="s">
        <v>192</v>
      </c>
      <c r="H455" s="17">
        <v>5211013</v>
      </c>
      <c r="I455" s="17" t="s">
        <v>27</v>
      </c>
      <c r="J455" s="13" t="s">
        <v>824</v>
      </c>
      <c r="K455" s="13">
        <v>25</v>
      </c>
      <c r="L455" s="13">
        <v>190</v>
      </c>
      <c r="M455" s="13">
        <f t="shared" si="402"/>
        <v>4750</v>
      </c>
      <c r="N455" s="20">
        <v>45170</v>
      </c>
      <c r="O455" s="13" t="s">
        <v>425</v>
      </c>
      <c r="P455" s="13" t="s">
        <v>134</v>
      </c>
      <c r="Q455" s="123">
        <v>2262</v>
      </c>
      <c r="R455" s="13" t="s">
        <v>946</v>
      </c>
      <c r="S455" s="31">
        <v>291641301711</v>
      </c>
      <c r="T455" s="20">
        <v>45170</v>
      </c>
      <c r="U455" s="123"/>
      <c r="V455" s="13">
        <v>444</v>
      </c>
      <c r="W455" s="29">
        <v>45170.701388888891</v>
      </c>
      <c r="X455" s="29">
        <v>45170.795138888891</v>
      </c>
      <c r="Y455" s="30">
        <f t="shared" si="403"/>
        <v>9.375E-2</v>
      </c>
      <c r="Z455" s="29">
        <v>45170.708333333336</v>
      </c>
      <c r="AA455" s="29">
        <v>45170.788194444445</v>
      </c>
      <c r="AB455" s="30">
        <f t="shared" si="404"/>
        <v>7.9861111109494232E-2</v>
      </c>
    </row>
    <row r="456" spans="1:28" x14ac:dyDescent="0.25">
      <c r="A456" s="12">
        <v>45170</v>
      </c>
      <c r="B456" s="13" t="s">
        <v>945</v>
      </c>
      <c r="C456" s="20">
        <v>45167</v>
      </c>
      <c r="D456" s="13">
        <v>7179395</v>
      </c>
      <c r="E456" s="13" t="s">
        <v>420</v>
      </c>
      <c r="F456" s="13" t="s">
        <v>423</v>
      </c>
      <c r="G456" s="13" t="s">
        <v>192</v>
      </c>
      <c r="H456" s="17">
        <v>5211013</v>
      </c>
      <c r="I456" s="17" t="s">
        <v>27</v>
      </c>
      <c r="J456" s="13" t="s">
        <v>823</v>
      </c>
      <c r="K456" s="13">
        <v>25</v>
      </c>
      <c r="L456" s="13">
        <v>18</v>
      </c>
      <c r="M456" s="13">
        <f t="shared" ref="M456:M458" si="405">+L456*K456</f>
        <v>450</v>
      </c>
      <c r="N456" s="20">
        <v>45170</v>
      </c>
      <c r="O456" s="13" t="s">
        <v>425</v>
      </c>
      <c r="P456" s="13" t="s">
        <v>134</v>
      </c>
      <c r="Q456" s="123">
        <v>2262</v>
      </c>
      <c r="R456" s="13" t="s">
        <v>946</v>
      </c>
      <c r="S456" s="31">
        <v>291641301711</v>
      </c>
      <c r="T456" s="20">
        <v>45170</v>
      </c>
      <c r="U456" s="123"/>
      <c r="V456" s="13">
        <v>444</v>
      </c>
      <c r="W456" s="29">
        <v>45170.701388888891</v>
      </c>
      <c r="X456" s="29">
        <v>45170.795138888891</v>
      </c>
      <c r="Y456" s="30">
        <f t="shared" ref="Y456:Y458" si="406">+X456-W456</f>
        <v>9.375E-2</v>
      </c>
      <c r="Z456" s="29">
        <v>45170.708333333336</v>
      </c>
      <c r="AA456" s="29">
        <v>45170.788194444445</v>
      </c>
      <c r="AB456" s="30">
        <f t="shared" ref="AB456:AB458" si="407">+AA456-Z456</f>
        <v>7.9861111109494232E-2</v>
      </c>
    </row>
    <row r="457" spans="1:28" x14ac:dyDescent="0.25">
      <c r="A457" s="12">
        <v>45170</v>
      </c>
      <c r="B457" s="13" t="s">
        <v>945</v>
      </c>
      <c r="C457" s="20">
        <v>45167</v>
      </c>
      <c r="D457" s="13">
        <v>7179395</v>
      </c>
      <c r="E457" s="13" t="s">
        <v>420</v>
      </c>
      <c r="F457" s="13" t="s">
        <v>423</v>
      </c>
      <c r="G457" s="13" t="s">
        <v>192</v>
      </c>
      <c r="H457" s="17">
        <v>5211013</v>
      </c>
      <c r="I457" s="17" t="s">
        <v>27</v>
      </c>
      <c r="J457" s="13" t="s">
        <v>828</v>
      </c>
      <c r="K457" s="13">
        <v>25</v>
      </c>
      <c r="L457" s="13">
        <v>115</v>
      </c>
      <c r="M457" s="13">
        <f t="shared" si="405"/>
        <v>2875</v>
      </c>
      <c r="N457" s="20">
        <v>45170</v>
      </c>
      <c r="O457" s="13" t="s">
        <v>425</v>
      </c>
      <c r="P457" s="13" t="s">
        <v>134</v>
      </c>
      <c r="Q457" s="123">
        <v>2262</v>
      </c>
      <c r="R457" s="13" t="s">
        <v>946</v>
      </c>
      <c r="S457" s="31">
        <v>291641301711</v>
      </c>
      <c r="T457" s="20">
        <v>45170</v>
      </c>
      <c r="U457" s="123"/>
      <c r="V457" s="13">
        <v>444</v>
      </c>
      <c r="W457" s="29">
        <v>45170.701388888891</v>
      </c>
      <c r="X457" s="29">
        <v>45170.795138888891</v>
      </c>
      <c r="Y457" s="30">
        <f t="shared" si="406"/>
        <v>9.375E-2</v>
      </c>
      <c r="Z457" s="29">
        <v>45170.708333333336</v>
      </c>
      <c r="AA457" s="29">
        <v>45170.788194444445</v>
      </c>
      <c r="AB457" s="30">
        <f t="shared" si="407"/>
        <v>7.9861111109494232E-2</v>
      </c>
    </row>
    <row r="458" spans="1:28" x14ac:dyDescent="0.25">
      <c r="A458" s="12">
        <v>45170</v>
      </c>
      <c r="B458" s="13" t="s">
        <v>945</v>
      </c>
      <c r="C458" s="20">
        <v>45167</v>
      </c>
      <c r="D458" s="13">
        <v>7197680</v>
      </c>
      <c r="E458" s="13" t="s">
        <v>420</v>
      </c>
      <c r="F458" s="13" t="s">
        <v>423</v>
      </c>
      <c r="G458" s="13" t="s">
        <v>192</v>
      </c>
      <c r="H458" s="17">
        <v>5211013</v>
      </c>
      <c r="I458" s="17" t="s">
        <v>27</v>
      </c>
      <c r="J458" s="13" t="s">
        <v>848</v>
      </c>
      <c r="K458" s="13">
        <v>25</v>
      </c>
      <c r="L458" s="13">
        <v>477</v>
      </c>
      <c r="M458" s="13">
        <f t="shared" si="405"/>
        <v>11925</v>
      </c>
      <c r="N458" s="20">
        <v>45170</v>
      </c>
      <c r="O458" s="13" t="s">
        <v>425</v>
      </c>
      <c r="P458" s="13" t="s">
        <v>134</v>
      </c>
      <c r="Q458" s="123">
        <v>2262</v>
      </c>
      <c r="R458" s="13" t="s">
        <v>946</v>
      </c>
      <c r="S458" s="31">
        <v>291641301711</v>
      </c>
      <c r="T458" s="20">
        <v>45170</v>
      </c>
      <c r="U458" s="123"/>
      <c r="V458" s="13">
        <v>444</v>
      </c>
      <c r="W458" s="29">
        <v>45170.701388888891</v>
      </c>
      <c r="X458" s="29">
        <v>45170.795138888891</v>
      </c>
      <c r="Y458" s="30">
        <f t="shared" si="406"/>
        <v>9.375E-2</v>
      </c>
      <c r="Z458" s="29">
        <v>45170.708333333336</v>
      </c>
      <c r="AA458" s="29">
        <v>45170.788194444445</v>
      </c>
      <c r="AB458" s="30">
        <f t="shared" si="407"/>
        <v>7.9861111109494232E-2</v>
      </c>
    </row>
    <row r="459" spans="1:28" x14ac:dyDescent="0.25">
      <c r="A459" s="12">
        <v>45170</v>
      </c>
      <c r="B459" s="13" t="s">
        <v>947</v>
      </c>
      <c r="C459" s="20">
        <v>45169</v>
      </c>
      <c r="D459" s="13">
        <v>5512760</v>
      </c>
      <c r="E459" s="13" t="s">
        <v>420</v>
      </c>
      <c r="F459" s="13" t="s">
        <v>423</v>
      </c>
      <c r="G459" s="13" t="s">
        <v>192</v>
      </c>
      <c r="H459" s="17">
        <v>5212256</v>
      </c>
      <c r="I459" s="17" t="s">
        <v>22</v>
      </c>
      <c r="J459" s="13" t="s">
        <v>75</v>
      </c>
      <c r="K459" s="13">
        <v>25</v>
      </c>
      <c r="L459" s="13">
        <v>1</v>
      </c>
      <c r="M459" s="13">
        <f t="shared" si="402"/>
        <v>25</v>
      </c>
      <c r="N459" s="20">
        <v>45170</v>
      </c>
      <c r="O459" s="13" t="s">
        <v>425</v>
      </c>
      <c r="P459" s="13" t="s">
        <v>134</v>
      </c>
      <c r="Q459" s="123">
        <v>2262</v>
      </c>
      <c r="R459" s="13" t="s">
        <v>946</v>
      </c>
      <c r="S459" s="31">
        <v>201641298416</v>
      </c>
      <c r="T459" s="20">
        <v>45170</v>
      </c>
      <c r="U459" s="123"/>
      <c r="V459" s="13">
        <v>444</v>
      </c>
      <c r="W459" s="29">
        <v>45170.701388888891</v>
      </c>
      <c r="X459" s="29">
        <v>45170.795138888891</v>
      </c>
      <c r="Y459" s="30">
        <f t="shared" ref="Y459:Y472" si="408">+X459-W459</f>
        <v>9.375E-2</v>
      </c>
      <c r="Z459" s="29">
        <v>45170.708333333336</v>
      </c>
      <c r="AA459" s="29">
        <v>45170.788194444445</v>
      </c>
      <c r="AB459" s="30">
        <f t="shared" ref="AB459:AB472" si="409">+AA459-Z459</f>
        <v>7.9861111109494232E-2</v>
      </c>
    </row>
    <row r="460" spans="1:28" x14ac:dyDescent="0.25">
      <c r="A460" s="12">
        <v>45170</v>
      </c>
      <c r="B460" s="13" t="s">
        <v>948</v>
      </c>
      <c r="C460" s="20">
        <v>45167</v>
      </c>
      <c r="D460" s="13">
        <v>5851097</v>
      </c>
      <c r="E460" s="13" t="s">
        <v>280</v>
      </c>
      <c r="F460" s="13" t="s">
        <v>176</v>
      </c>
      <c r="G460" s="13" t="s">
        <v>192</v>
      </c>
      <c r="H460" s="17">
        <v>5211014</v>
      </c>
      <c r="I460" s="17" t="s">
        <v>38</v>
      </c>
      <c r="J460" s="13" t="s">
        <v>94</v>
      </c>
      <c r="K460" s="13">
        <v>25</v>
      </c>
      <c r="L460" s="13">
        <v>4</v>
      </c>
      <c r="M460" s="13">
        <f t="shared" si="402"/>
        <v>100</v>
      </c>
      <c r="N460" s="20">
        <v>45170</v>
      </c>
      <c r="O460" s="13" t="s">
        <v>186</v>
      </c>
      <c r="P460" s="13" t="s">
        <v>187</v>
      </c>
      <c r="Q460" s="13" t="s">
        <v>30</v>
      </c>
      <c r="R460" s="13" t="s">
        <v>233</v>
      </c>
      <c r="S460" s="31" t="s">
        <v>949</v>
      </c>
      <c r="T460" s="20">
        <v>45170</v>
      </c>
      <c r="U460" s="123"/>
      <c r="V460" s="13">
        <v>445</v>
      </c>
      <c r="W460" s="29">
        <v>45170.708333333336</v>
      </c>
      <c r="X460" s="29">
        <v>45170.722222222219</v>
      </c>
      <c r="Y460" s="30">
        <f t="shared" si="408"/>
        <v>1.3888888883229811E-2</v>
      </c>
      <c r="Z460" s="29">
        <v>45170.708333333336</v>
      </c>
      <c r="AA460" s="29">
        <v>45170.71875</v>
      </c>
      <c r="AB460" s="30">
        <f t="shared" si="409"/>
        <v>1.0416666664241347E-2</v>
      </c>
    </row>
    <row r="461" spans="1:28" x14ac:dyDescent="0.25">
      <c r="A461" s="12">
        <v>45170</v>
      </c>
      <c r="B461" s="13" t="s">
        <v>950</v>
      </c>
      <c r="C461" s="20">
        <v>45173</v>
      </c>
      <c r="D461" s="13">
        <v>6336464</v>
      </c>
      <c r="E461" s="13" t="s">
        <v>651</v>
      </c>
      <c r="F461" s="13" t="s">
        <v>215</v>
      </c>
      <c r="G461" s="13" t="s">
        <v>132</v>
      </c>
      <c r="H461" s="17">
        <v>5309040</v>
      </c>
      <c r="I461" s="17" t="s">
        <v>105</v>
      </c>
      <c r="J461" s="13" t="s">
        <v>106</v>
      </c>
      <c r="K461" s="13">
        <v>250</v>
      </c>
      <c r="L461" s="13">
        <v>36</v>
      </c>
      <c r="M461" s="13">
        <f t="shared" si="402"/>
        <v>9000</v>
      </c>
      <c r="N461" s="20">
        <v>45173</v>
      </c>
      <c r="O461" s="13" t="s">
        <v>177</v>
      </c>
      <c r="P461" s="13" t="s">
        <v>134</v>
      </c>
      <c r="Q461" s="13">
        <v>2263</v>
      </c>
      <c r="R461" s="13" t="s">
        <v>951</v>
      </c>
      <c r="S461" s="31">
        <v>281642244355</v>
      </c>
      <c r="T461" s="20">
        <v>45173</v>
      </c>
      <c r="U461" s="123"/>
      <c r="V461" s="13">
        <v>446</v>
      </c>
      <c r="W461" s="29">
        <v>45173.618055555555</v>
      </c>
      <c r="X461" s="29">
        <v>45173.645833333336</v>
      </c>
      <c r="Y461" s="30">
        <f t="shared" si="408"/>
        <v>2.7777777781011537E-2</v>
      </c>
      <c r="Z461" s="29">
        <v>45173.625</v>
      </c>
      <c r="AA461" s="29">
        <v>45173.638888888891</v>
      </c>
      <c r="AB461" s="30">
        <f t="shared" si="409"/>
        <v>1.3888888890505768E-2</v>
      </c>
    </row>
    <row r="462" spans="1:28" x14ac:dyDescent="0.25">
      <c r="A462" s="12">
        <v>45170</v>
      </c>
      <c r="B462" s="13" t="s">
        <v>952</v>
      </c>
      <c r="C462" s="20">
        <v>45173</v>
      </c>
      <c r="D462" s="13">
        <v>6087743</v>
      </c>
      <c r="E462" s="13" t="s">
        <v>679</v>
      </c>
      <c r="F462" s="13" t="s">
        <v>135</v>
      </c>
      <c r="G462" s="13" t="s">
        <v>132</v>
      </c>
      <c r="H462" s="17">
        <v>5309040</v>
      </c>
      <c r="I462" s="17" t="s">
        <v>105</v>
      </c>
      <c r="J462" s="13" t="s">
        <v>106</v>
      </c>
      <c r="K462" s="13">
        <v>250</v>
      </c>
      <c r="L462" s="13">
        <v>40</v>
      </c>
      <c r="M462" s="13">
        <f t="shared" si="402"/>
        <v>10000</v>
      </c>
      <c r="N462" s="20">
        <v>45173</v>
      </c>
      <c r="O462" s="13" t="s">
        <v>136</v>
      </c>
      <c r="P462" s="13" t="s">
        <v>144</v>
      </c>
      <c r="Q462" s="123" t="s">
        <v>30</v>
      </c>
      <c r="R462" s="13" t="s">
        <v>953</v>
      </c>
      <c r="S462" s="31">
        <v>281642377747</v>
      </c>
      <c r="T462" s="20">
        <v>45173</v>
      </c>
      <c r="U462" s="123"/>
      <c r="V462" s="13">
        <v>447</v>
      </c>
      <c r="W462" s="29">
        <v>45173.729166666664</v>
      </c>
      <c r="X462" s="29">
        <v>45173.777777777781</v>
      </c>
      <c r="Y462" s="30">
        <f t="shared" si="408"/>
        <v>4.8611111116770189E-2</v>
      </c>
      <c r="Z462" s="29">
        <v>45173.746527777781</v>
      </c>
      <c r="AA462" s="29">
        <v>45173.770833333336</v>
      </c>
      <c r="AB462" s="30">
        <f t="shared" si="409"/>
        <v>2.4305555554747116E-2</v>
      </c>
    </row>
    <row r="463" spans="1:28" x14ac:dyDescent="0.25">
      <c r="A463" s="12">
        <v>45170</v>
      </c>
      <c r="B463" s="13" t="s">
        <v>957</v>
      </c>
      <c r="C463" s="20">
        <v>45173</v>
      </c>
      <c r="D463" s="13">
        <v>6336464</v>
      </c>
      <c r="E463" s="13" t="s">
        <v>191</v>
      </c>
      <c r="F463" s="13" t="s">
        <v>135</v>
      </c>
      <c r="G463" s="13" t="s">
        <v>192</v>
      </c>
      <c r="H463" s="17">
        <v>5212259</v>
      </c>
      <c r="I463" s="17" t="s">
        <v>26</v>
      </c>
      <c r="J463" s="13" t="s">
        <v>363</v>
      </c>
      <c r="K463" s="13">
        <v>25</v>
      </c>
      <c r="L463" s="13">
        <v>1040</v>
      </c>
      <c r="M463" s="13">
        <f t="shared" si="402"/>
        <v>26000</v>
      </c>
      <c r="N463" s="20">
        <v>45174</v>
      </c>
      <c r="O463" s="13" t="s">
        <v>399</v>
      </c>
      <c r="P463" s="13" t="s">
        <v>144</v>
      </c>
      <c r="Q463" s="123" t="s">
        <v>30</v>
      </c>
      <c r="R463" s="13" t="s">
        <v>958</v>
      </c>
      <c r="S463" s="31">
        <v>211642800789</v>
      </c>
      <c r="T463" s="20">
        <v>45174</v>
      </c>
      <c r="U463" s="123"/>
      <c r="V463" s="13">
        <v>448</v>
      </c>
      <c r="W463" s="29">
        <v>45174.395833333336</v>
      </c>
      <c r="X463" s="29">
        <v>45174.5</v>
      </c>
      <c r="Y463" s="30">
        <f t="shared" si="408"/>
        <v>0.10416666666424135</v>
      </c>
      <c r="Z463" s="29">
        <v>45174.399305555555</v>
      </c>
      <c r="AA463" s="29">
        <v>45174.5</v>
      </c>
      <c r="AB463" s="30">
        <f t="shared" si="409"/>
        <v>0.10069444444525288</v>
      </c>
    </row>
    <row r="464" spans="1:28" x14ac:dyDescent="0.25">
      <c r="A464" s="12">
        <v>45170</v>
      </c>
      <c r="B464" s="13" t="s">
        <v>957</v>
      </c>
      <c r="C464" s="20">
        <v>45173</v>
      </c>
      <c r="D464" s="13">
        <v>6335482</v>
      </c>
      <c r="E464" s="13" t="s">
        <v>191</v>
      </c>
      <c r="F464" s="13" t="s">
        <v>135</v>
      </c>
      <c r="G464" s="13" t="s">
        <v>192</v>
      </c>
      <c r="H464" s="17">
        <v>5212259</v>
      </c>
      <c r="I464" s="17" t="s">
        <v>26</v>
      </c>
      <c r="J464" s="13" t="s">
        <v>445</v>
      </c>
      <c r="K464" s="13">
        <v>25</v>
      </c>
      <c r="L464" s="13">
        <v>160</v>
      </c>
      <c r="M464" s="13">
        <f t="shared" ref="M464" si="410">+L464*K464</f>
        <v>4000</v>
      </c>
      <c r="N464" s="20">
        <v>45174</v>
      </c>
      <c r="O464" s="13" t="s">
        <v>399</v>
      </c>
      <c r="P464" s="13" t="s">
        <v>144</v>
      </c>
      <c r="Q464" s="123" t="s">
        <v>30</v>
      </c>
      <c r="R464" s="13" t="s">
        <v>958</v>
      </c>
      <c r="S464" s="31">
        <v>211642800789</v>
      </c>
      <c r="T464" s="20">
        <v>45174</v>
      </c>
      <c r="U464" s="123"/>
      <c r="V464" s="13">
        <v>448</v>
      </c>
      <c r="W464" s="29">
        <v>45174.395833333336</v>
      </c>
      <c r="X464" s="29">
        <v>45174.5</v>
      </c>
      <c r="Y464" s="30">
        <f t="shared" ref="Y464" si="411">+X464-W464</f>
        <v>0.10416666666424135</v>
      </c>
      <c r="Z464" s="29">
        <v>45174.399305555555</v>
      </c>
      <c r="AA464" s="29">
        <v>45174.5</v>
      </c>
      <c r="AB464" s="30">
        <f t="shared" ref="AB464" si="412">+AA464-Z464</f>
        <v>0.10069444444525288</v>
      </c>
    </row>
    <row r="465" spans="1:28" x14ac:dyDescent="0.25">
      <c r="A465" s="12">
        <v>45170</v>
      </c>
      <c r="B465" s="13" t="s">
        <v>959</v>
      </c>
      <c r="C465" s="20">
        <v>45173</v>
      </c>
      <c r="D465" s="13">
        <v>7556097</v>
      </c>
      <c r="E465" s="13" t="s">
        <v>191</v>
      </c>
      <c r="F465" s="13" t="s">
        <v>135</v>
      </c>
      <c r="G465" s="13" t="s">
        <v>192</v>
      </c>
      <c r="H465" s="17">
        <v>5212252</v>
      </c>
      <c r="I465" s="17" t="s">
        <v>23</v>
      </c>
      <c r="J465" s="13" t="s">
        <v>923</v>
      </c>
      <c r="K465" s="13">
        <v>25</v>
      </c>
      <c r="L465" s="13">
        <v>400</v>
      </c>
      <c r="M465" s="13">
        <f t="shared" si="402"/>
        <v>10000</v>
      </c>
      <c r="N465" s="20">
        <v>45174</v>
      </c>
      <c r="O465" s="13" t="s">
        <v>204</v>
      </c>
      <c r="P465" s="13" t="s">
        <v>144</v>
      </c>
      <c r="Q465" s="123" t="s">
        <v>30</v>
      </c>
      <c r="R465" s="13" t="s">
        <v>960</v>
      </c>
      <c r="S465" s="31">
        <v>231642724373</v>
      </c>
      <c r="T465" s="20">
        <v>45174</v>
      </c>
      <c r="U465" s="123"/>
      <c r="V465" s="13">
        <v>449</v>
      </c>
      <c r="W465" s="29">
        <v>45174.416666666664</v>
      </c>
      <c r="X465" s="29">
        <v>45174.541666666664</v>
      </c>
      <c r="Y465" s="30">
        <f t="shared" si="408"/>
        <v>0.125</v>
      </c>
      <c r="Z465" s="29">
        <v>45174.454861111109</v>
      </c>
      <c r="AA465" s="29">
        <v>45174.538194444445</v>
      </c>
      <c r="AB465" s="30">
        <f t="shared" si="409"/>
        <v>8.3333333335758653E-2</v>
      </c>
    </row>
    <row r="466" spans="1:28" x14ac:dyDescent="0.25">
      <c r="A466" s="12">
        <v>45170</v>
      </c>
      <c r="B466" s="13" t="s">
        <v>961</v>
      </c>
      <c r="C466" s="20">
        <v>45173</v>
      </c>
      <c r="D466" s="13">
        <v>7556097</v>
      </c>
      <c r="E466" s="13" t="s">
        <v>191</v>
      </c>
      <c r="F466" s="13" t="s">
        <v>135</v>
      </c>
      <c r="G466" s="13" t="s">
        <v>192</v>
      </c>
      <c r="H466" s="17">
        <v>5212252</v>
      </c>
      <c r="I466" s="17" t="s">
        <v>23</v>
      </c>
      <c r="J466" s="13" t="s">
        <v>923</v>
      </c>
      <c r="K466" s="13">
        <v>25</v>
      </c>
      <c r="L466" s="13">
        <v>1000</v>
      </c>
      <c r="M466" s="13">
        <f t="shared" si="402"/>
        <v>25000</v>
      </c>
      <c r="N466" s="20">
        <v>45174</v>
      </c>
      <c r="O466" s="13" t="s">
        <v>204</v>
      </c>
      <c r="P466" s="13" t="s">
        <v>144</v>
      </c>
      <c r="Q466" s="123" t="s">
        <v>30</v>
      </c>
      <c r="R466" s="13" t="s">
        <v>960</v>
      </c>
      <c r="S466" s="31">
        <v>221642722288</v>
      </c>
      <c r="T466" s="20">
        <v>45174</v>
      </c>
      <c r="U466" s="123"/>
      <c r="V466" s="13">
        <v>449</v>
      </c>
      <c r="W466" s="29">
        <v>45174.416666666664</v>
      </c>
      <c r="X466" s="29">
        <v>45174.541666666664</v>
      </c>
      <c r="Y466" s="30">
        <f t="shared" si="408"/>
        <v>0.125</v>
      </c>
      <c r="Z466" s="29">
        <v>45174.454861111109</v>
      </c>
      <c r="AA466" s="29">
        <v>45174.538194444445</v>
      </c>
      <c r="AB466" s="30">
        <f t="shared" si="409"/>
        <v>8.3333333335758653E-2</v>
      </c>
    </row>
    <row r="467" spans="1:28" x14ac:dyDescent="0.25">
      <c r="A467" s="12">
        <v>45170</v>
      </c>
      <c r="B467" s="13" t="s">
        <v>962</v>
      </c>
      <c r="C467" s="20">
        <v>45173</v>
      </c>
      <c r="D467" s="13">
        <v>7447959</v>
      </c>
      <c r="E467" s="13" t="s">
        <v>385</v>
      </c>
      <c r="F467" s="13" t="s">
        <v>963</v>
      </c>
      <c r="G467" s="13" t="s">
        <v>192</v>
      </c>
      <c r="H467" s="17">
        <v>5212252</v>
      </c>
      <c r="I467" s="17" t="s">
        <v>23</v>
      </c>
      <c r="J467" s="13" t="s">
        <v>955</v>
      </c>
      <c r="K467" s="13">
        <v>25</v>
      </c>
      <c r="L467" s="13">
        <v>400</v>
      </c>
      <c r="M467" s="13">
        <f t="shared" si="402"/>
        <v>10000</v>
      </c>
      <c r="N467" s="20">
        <v>45174</v>
      </c>
      <c r="O467" s="13" t="s">
        <v>136</v>
      </c>
      <c r="P467" s="13" t="s">
        <v>144</v>
      </c>
      <c r="Q467" s="123" t="s">
        <v>30</v>
      </c>
      <c r="R467" s="13" t="s">
        <v>964</v>
      </c>
      <c r="S467" s="31">
        <v>221642796353</v>
      </c>
      <c r="T467" s="20">
        <v>45174</v>
      </c>
      <c r="U467" s="123"/>
      <c r="V467" s="13">
        <v>450</v>
      </c>
      <c r="W467" s="29">
        <v>45174.534722222219</v>
      </c>
      <c r="X467" s="29">
        <v>45174.565972222219</v>
      </c>
      <c r="Y467" s="30">
        <f t="shared" si="408"/>
        <v>3.125E-2</v>
      </c>
      <c r="Z467" s="29">
        <v>45174.541666666664</v>
      </c>
      <c r="AA467" s="29">
        <v>45174.559027777781</v>
      </c>
      <c r="AB467" s="30">
        <f t="shared" si="409"/>
        <v>1.7361111116770189E-2</v>
      </c>
    </row>
    <row r="468" spans="1:28" x14ac:dyDescent="0.25">
      <c r="A468" s="12">
        <v>45170</v>
      </c>
      <c r="B468" s="13" t="s">
        <v>965</v>
      </c>
      <c r="C468" s="20">
        <v>45175</v>
      </c>
      <c r="D468" s="13">
        <v>6087743</v>
      </c>
      <c r="E468" s="13" t="s">
        <v>651</v>
      </c>
      <c r="F468" s="13" t="s">
        <v>215</v>
      </c>
      <c r="G468" s="13" t="s">
        <v>132</v>
      </c>
      <c r="H468" s="17">
        <v>5309040</v>
      </c>
      <c r="I468" s="17" t="s">
        <v>105</v>
      </c>
      <c r="J468" s="13" t="s">
        <v>106</v>
      </c>
      <c r="K468" s="13">
        <v>250</v>
      </c>
      <c r="L468" s="13">
        <v>36</v>
      </c>
      <c r="M468" s="13">
        <f t="shared" si="402"/>
        <v>9000</v>
      </c>
      <c r="N468" s="20">
        <v>45175</v>
      </c>
      <c r="O468" s="13" t="s">
        <v>136</v>
      </c>
      <c r="P468" s="13" t="s">
        <v>134</v>
      </c>
      <c r="Q468" s="123">
        <v>2264</v>
      </c>
      <c r="R468" s="13" t="s">
        <v>903</v>
      </c>
      <c r="S468" s="31">
        <v>291643380383</v>
      </c>
      <c r="T468" s="20">
        <v>45175</v>
      </c>
      <c r="U468" s="123"/>
      <c r="V468" s="13">
        <v>451</v>
      </c>
      <c r="W468" s="29">
        <v>45175.645833333336</v>
      </c>
      <c r="X468" s="29">
        <v>45175.684027777781</v>
      </c>
      <c r="Y468" s="30">
        <f t="shared" si="408"/>
        <v>3.8194444445252884E-2</v>
      </c>
      <c r="Z468" s="29">
        <v>45175.666666666664</v>
      </c>
      <c r="AA468" s="29">
        <v>45175.677083333336</v>
      </c>
      <c r="AB468" s="30">
        <f t="shared" si="409"/>
        <v>1.0416666671517305E-2</v>
      </c>
    </row>
    <row r="469" spans="1:28" x14ac:dyDescent="0.25">
      <c r="A469" s="12">
        <v>45170</v>
      </c>
      <c r="B469" s="13" t="s">
        <v>966</v>
      </c>
      <c r="C469" s="20">
        <v>45173</v>
      </c>
      <c r="D469" s="13">
        <v>7258855</v>
      </c>
      <c r="E469" s="13" t="s">
        <v>859</v>
      </c>
      <c r="F469" s="13" t="s">
        <v>289</v>
      </c>
      <c r="G469" s="13" t="s">
        <v>192</v>
      </c>
      <c r="H469" s="17">
        <v>5212252</v>
      </c>
      <c r="I469" s="17" t="s">
        <v>23</v>
      </c>
      <c r="J469" s="13" t="s">
        <v>920</v>
      </c>
      <c r="K469" s="13">
        <v>25</v>
      </c>
      <c r="L469" s="13">
        <v>400</v>
      </c>
      <c r="M469" s="13">
        <f t="shared" si="402"/>
        <v>10000</v>
      </c>
      <c r="N469" s="20">
        <v>45178</v>
      </c>
      <c r="O469" s="13" t="s">
        <v>136</v>
      </c>
      <c r="P469" s="13" t="s">
        <v>144</v>
      </c>
      <c r="Q469" s="13" t="s">
        <v>30</v>
      </c>
      <c r="R469" s="13" t="s">
        <v>736</v>
      </c>
      <c r="S469" s="31">
        <v>251644642574</v>
      </c>
      <c r="T469" s="20">
        <v>45178</v>
      </c>
      <c r="U469" s="123"/>
      <c r="V469" s="13">
        <v>452</v>
      </c>
      <c r="W469" s="29">
        <v>45178.5</v>
      </c>
      <c r="X469" s="29">
        <v>45178.538194444445</v>
      </c>
      <c r="Y469" s="30">
        <f t="shared" si="408"/>
        <v>3.8194444445252884E-2</v>
      </c>
      <c r="Z469" s="29">
        <v>45178.506944444445</v>
      </c>
      <c r="AA469" s="29">
        <v>45178.53125</v>
      </c>
      <c r="AB469" s="30">
        <f t="shared" si="409"/>
        <v>2.4305555554747116E-2</v>
      </c>
    </row>
    <row r="470" spans="1:28" x14ac:dyDescent="0.25">
      <c r="A470" s="12">
        <v>45170</v>
      </c>
      <c r="B470" s="13" t="s">
        <v>967</v>
      </c>
      <c r="C470" s="20">
        <v>45180</v>
      </c>
      <c r="D470" s="13">
        <v>7197680</v>
      </c>
      <c r="E470" s="13" t="s">
        <v>395</v>
      </c>
      <c r="F470" s="13" t="s">
        <v>396</v>
      </c>
      <c r="G470" s="13" t="s">
        <v>192</v>
      </c>
      <c r="H470" s="17">
        <v>5211013</v>
      </c>
      <c r="I470" s="17" t="s">
        <v>27</v>
      </c>
      <c r="J470" s="13" t="s">
        <v>848</v>
      </c>
      <c r="K470" s="13">
        <v>25</v>
      </c>
      <c r="L470" s="13">
        <v>163</v>
      </c>
      <c r="M470" s="13">
        <f t="shared" si="402"/>
        <v>4075</v>
      </c>
      <c r="N470" s="20">
        <v>45180</v>
      </c>
      <c r="O470" s="13" t="s">
        <v>699</v>
      </c>
      <c r="P470" s="13" t="s">
        <v>144</v>
      </c>
      <c r="Q470" s="13" t="s">
        <v>30</v>
      </c>
      <c r="R470" s="13" t="s">
        <v>968</v>
      </c>
      <c r="S470" s="31">
        <v>261645431015</v>
      </c>
      <c r="T470" s="20">
        <v>45180</v>
      </c>
      <c r="U470" s="123"/>
      <c r="V470" s="13">
        <v>453</v>
      </c>
      <c r="W470" s="29">
        <v>45180.659722222219</v>
      </c>
      <c r="X470" s="29">
        <v>45180.6875</v>
      </c>
      <c r="Y470" s="30">
        <f t="shared" si="408"/>
        <v>2.7777777781011537E-2</v>
      </c>
      <c r="Z470" s="29">
        <v>45180.670138888891</v>
      </c>
      <c r="AA470" s="29">
        <v>45180.680555555555</v>
      </c>
      <c r="AB470" s="30">
        <f t="shared" si="409"/>
        <v>1.0416666664241347E-2</v>
      </c>
    </row>
    <row r="471" spans="1:28" x14ac:dyDescent="0.25">
      <c r="A471" s="12">
        <v>45170</v>
      </c>
      <c r="B471" s="13" t="s">
        <v>969</v>
      </c>
      <c r="C471" s="20">
        <v>45180</v>
      </c>
      <c r="D471" s="13">
        <v>6907842</v>
      </c>
      <c r="E471" s="13" t="s">
        <v>175</v>
      </c>
      <c r="F471" s="13" t="s">
        <v>135</v>
      </c>
      <c r="G471" s="13" t="s">
        <v>132</v>
      </c>
      <c r="H471" s="17">
        <v>5302847</v>
      </c>
      <c r="I471" s="17" t="s">
        <v>746</v>
      </c>
      <c r="J471" s="13" t="s">
        <v>747</v>
      </c>
      <c r="K471" s="13">
        <v>210</v>
      </c>
      <c r="L471" s="13">
        <v>18</v>
      </c>
      <c r="M471" s="13">
        <f t="shared" si="402"/>
        <v>3780</v>
      </c>
      <c r="N471" s="20">
        <v>45180</v>
      </c>
      <c r="O471" s="13" t="s">
        <v>259</v>
      </c>
      <c r="P471" s="13" t="s">
        <v>144</v>
      </c>
      <c r="Q471" s="13" t="s">
        <v>30</v>
      </c>
      <c r="R471" s="13" t="s">
        <v>970</v>
      </c>
      <c r="S471" s="31">
        <v>291645475434</v>
      </c>
      <c r="T471" s="20">
        <v>45180</v>
      </c>
      <c r="U471" s="123"/>
      <c r="V471" s="13">
        <v>454</v>
      </c>
      <c r="W471" s="29">
        <v>45180.722222222219</v>
      </c>
      <c r="X471" s="29">
        <v>45180.736111111109</v>
      </c>
      <c r="Y471" s="30">
        <f t="shared" si="408"/>
        <v>1.3888888890505768E-2</v>
      </c>
      <c r="Z471" s="29">
        <v>45180.725694444445</v>
      </c>
      <c r="AA471" s="29">
        <v>45180.732638888891</v>
      </c>
      <c r="AB471" s="30">
        <f t="shared" si="409"/>
        <v>6.9444444452528842E-3</v>
      </c>
    </row>
    <row r="472" spans="1:28" x14ac:dyDescent="0.25">
      <c r="A472" s="12">
        <v>45170</v>
      </c>
      <c r="B472" s="13" t="s">
        <v>971</v>
      </c>
      <c r="C472" s="20">
        <v>45180</v>
      </c>
      <c r="D472" s="13">
        <v>7556097</v>
      </c>
      <c r="E472" s="13" t="s">
        <v>859</v>
      </c>
      <c r="F472" s="13" t="s">
        <v>289</v>
      </c>
      <c r="G472" s="13" t="s">
        <v>192</v>
      </c>
      <c r="H472" s="17">
        <v>5212252</v>
      </c>
      <c r="I472" s="17" t="s">
        <v>23</v>
      </c>
      <c r="J472" s="13" t="s">
        <v>845</v>
      </c>
      <c r="K472" s="13">
        <v>25</v>
      </c>
      <c r="L472" s="13">
        <v>400</v>
      </c>
      <c r="M472" s="13">
        <f t="shared" si="402"/>
        <v>10000</v>
      </c>
      <c r="N472" s="20">
        <v>45181</v>
      </c>
      <c r="O472" s="13" t="s">
        <v>399</v>
      </c>
      <c r="P472" s="13" t="s">
        <v>144</v>
      </c>
      <c r="Q472" s="13" t="s">
        <v>30</v>
      </c>
      <c r="R472" s="13" t="s">
        <v>972</v>
      </c>
      <c r="S472" s="31">
        <v>271645908202</v>
      </c>
      <c r="T472" s="20">
        <v>45181</v>
      </c>
      <c r="U472" s="123"/>
      <c r="V472" s="13">
        <v>455</v>
      </c>
      <c r="W472" s="29">
        <v>45181.423611111109</v>
      </c>
      <c r="X472" s="29">
        <v>45181.659722222219</v>
      </c>
      <c r="Y472" s="30">
        <f t="shared" si="408"/>
        <v>0.23611111110949423</v>
      </c>
      <c r="Z472" s="29">
        <v>45181.430555555555</v>
      </c>
      <c r="AA472" s="29">
        <v>45181.652777777781</v>
      </c>
      <c r="AB472" s="30">
        <f t="shared" si="409"/>
        <v>0.22222222222626442</v>
      </c>
    </row>
    <row r="473" spans="1:28" x14ac:dyDescent="0.25">
      <c r="A473" s="12">
        <v>45170</v>
      </c>
      <c r="B473" s="13" t="s">
        <v>971</v>
      </c>
      <c r="C473" s="20">
        <v>45180</v>
      </c>
      <c r="D473" s="13">
        <v>6025360</v>
      </c>
      <c r="E473" s="13" t="s">
        <v>859</v>
      </c>
      <c r="F473" s="13" t="s">
        <v>289</v>
      </c>
      <c r="G473" s="13" t="s">
        <v>192</v>
      </c>
      <c r="H473" s="17">
        <v>5212259</v>
      </c>
      <c r="I473" s="17" t="s">
        <v>26</v>
      </c>
      <c r="J473" s="13" t="s">
        <v>208</v>
      </c>
      <c r="K473" s="13">
        <v>25</v>
      </c>
      <c r="L473" s="13">
        <v>320</v>
      </c>
      <c r="M473" s="13">
        <f t="shared" ref="M473:M478" si="413">+L473*K473</f>
        <v>8000</v>
      </c>
      <c r="N473" s="20">
        <v>45181</v>
      </c>
      <c r="O473" s="13" t="s">
        <v>399</v>
      </c>
      <c r="P473" s="13" t="s">
        <v>144</v>
      </c>
      <c r="Q473" s="13" t="s">
        <v>30</v>
      </c>
      <c r="R473" s="13" t="s">
        <v>972</v>
      </c>
      <c r="S473" s="31">
        <v>271645908202</v>
      </c>
      <c r="T473" s="20">
        <v>45181</v>
      </c>
      <c r="U473" s="123"/>
      <c r="V473" s="13">
        <v>455</v>
      </c>
      <c r="W473" s="29">
        <v>45181.423611111109</v>
      </c>
      <c r="X473" s="29">
        <v>45181.659722222219</v>
      </c>
      <c r="Y473" s="30">
        <f t="shared" ref="Y473:Y478" si="414">+X473-W473</f>
        <v>0.23611111110949423</v>
      </c>
      <c r="Z473" s="29">
        <v>45181.430555555555</v>
      </c>
      <c r="AA473" s="29">
        <v>45181.652777777781</v>
      </c>
      <c r="AB473" s="30">
        <f t="shared" ref="AB473:AB478" si="415">+AA473-Z473</f>
        <v>0.22222222222626442</v>
      </c>
    </row>
    <row r="474" spans="1:28" x14ac:dyDescent="0.25">
      <c r="A474" s="12">
        <v>45170</v>
      </c>
      <c r="B474" s="13" t="s">
        <v>971</v>
      </c>
      <c r="C474" s="20">
        <v>45180</v>
      </c>
      <c r="D474" s="13">
        <v>5851097</v>
      </c>
      <c r="E474" s="13" t="s">
        <v>859</v>
      </c>
      <c r="F474" s="13" t="s">
        <v>289</v>
      </c>
      <c r="G474" s="13" t="s">
        <v>192</v>
      </c>
      <c r="H474" s="17">
        <v>5211014</v>
      </c>
      <c r="I474" s="17" t="s">
        <v>38</v>
      </c>
      <c r="J474" s="13" t="s">
        <v>94</v>
      </c>
      <c r="K474" s="13">
        <v>25</v>
      </c>
      <c r="L474" s="13">
        <v>80</v>
      </c>
      <c r="M474" s="13">
        <f t="shared" si="413"/>
        <v>2000</v>
      </c>
      <c r="N474" s="20">
        <v>45181</v>
      </c>
      <c r="O474" s="13" t="s">
        <v>399</v>
      </c>
      <c r="P474" s="13" t="s">
        <v>144</v>
      </c>
      <c r="Q474" s="13" t="s">
        <v>30</v>
      </c>
      <c r="R474" s="13" t="s">
        <v>972</v>
      </c>
      <c r="S474" s="31">
        <v>271645908202</v>
      </c>
      <c r="T474" s="20">
        <v>45181</v>
      </c>
      <c r="U474" s="123"/>
      <c r="V474" s="13">
        <v>455</v>
      </c>
      <c r="W474" s="29">
        <v>45181.423611111109</v>
      </c>
      <c r="X474" s="29">
        <v>45181.659722222219</v>
      </c>
      <c r="Y474" s="30">
        <f t="shared" si="414"/>
        <v>0.23611111110949423</v>
      </c>
      <c r="Z474" s="29">
        <v>45181.430555555555</v>
      </c>
      <c r="AA474" s="29">
        <v>45181.652777777781</v>
      </c>
      <c r="AB474" s="30">
        <f t="shared" si="415"/>
        <v>0.22222222222626442</v>
      </c>
    </row>
    <row r="475" spans="1:28" x14ac:dyDescent="0.25">
      <c r="A475" s="12">
        <v>45170</v>
      </c>
      <c r="B475" s="13" t="s">
        <v>971</v>
      </c>
      <c r="C475" s="20">
        <v>45180</v>
      </c>
      <c r="D475" s="13">
        <v>5743038</v>
      </c>
      <c r="E475" s="13" t="s">
        <v>859</v>
      </c>
      <c r="F475" s="13" t="s">
        <v>289</v>
      </c>
      <c r="G475" s="13" t="s">
        <v>192</v>
      </c>
      <c r="H475" s="17">
        <v>5210451</v>
      </c>
      <c r="I475" s="17" t="s">
        <v>29</v>
      </c>
      <c r="J475" s="13" t="s">
        <v>80</v>
      </c>
      <c r="K475" s="13">
        <v>25</v>
      </c>
      <c r="L475" s="13">
        <v>400</v>
      </c>
      <c r="M475" s="13">
        <f t="shared" si="413"/>
        <v>10000</v>
      </c>
      <c r="N475" s="20">
        <v>45181</v>
      </c>
      <c r="O475" s="13" t="s">
        <v>399</v>
      </c>
      <c r="P475" s="13" t="s">
        <v>144</v>
      </c>
      <c r="Q475" s="13" t="s">
        <v>30</v>
      </c>
      <c r="R475" s="13" t="s">
        <v>972</v>
      </c>
      <c r="S475" s="31">
        <v>271645908202</v>
      </c>
      <c r="T475" s="20">
        <v>45181</v>
      </c>
      <c r="U475" s="123"/>
      <c r="V475" s="13">
        <v>455</v>
      </c>
      <c r="W475" s="29">
        <v>45181.423611111109</v>
      </c>
      <c r="X475" s="29">
        <v>45181.659722222219</v>
      </c>
      <c r="Y475" s="30">
        <f t="shared" si="414"/>
        <v>0.23611111110949423</v>
      </c>
      <c r="Z475" s="29">
        <v>45181.430555555555</v>
      </c>
      <c r="AA475" s="29">
        <v>45181.652777777781</v>
      </c>
      <c r="AB475" s="30">
        <f t="shared" si="415"/>
        <v>0.22222222222626442</v>
      </c>
    </row>
    <row r="476" spans="1:28" x14ac:dyDescent="0.25">
      <c r="A476" s="12">
        <v>45170</v>
      </c>
      <c r="B476" s="13" t="s">
        <v>973</v>
      </c>
      <c r="C476" s="20">
        <v>45181</v>
      </c>
      <c r="D476" s="13">
        <v>7258855</v>
      </c>
      <c r="E476" s="13" t="s">
        <v>191</v>
      </c>
      <c r="F476" s="13" t="s">
        <v>135</v>
      </c>
      <c r="G476" s="13" t="s">
        <v>192</v>
      </c>
      <c r="H476" s="17">
        <v>5212252</v>
      </c>
      <c r="I476" s="17" t="s">
        <v>23</v>
      </c>
      <c r="J476" s="13" t="s">
        <v>920</v>
      </c>
      <c r="K476" s="13">
        <v>25</v>
      </c>
      <c r="L476" s="13">
        <v>173</v>
      </c>
      <c r="M476" s="13">
        <f t="shared" si="413"/>
        <v>4325</v>
      </c>
      <c r="N476" s="20">
        <v>45181</v>
      </c>
      <c r="O476" s="13" t="s">
        <v>259</v>
      </c>
      <c r="P476" s="13" t="s">
        <v>144</v>
      </c>
      <c r="Q476" s="13" t="s">
        <v>30</v>
      </c>
      <c r="R476" s="13" t="s">
        <v>803</v>
      </c>
      <c r="S476" s="31">
        <v>281646031414</v>
      </c>
      <c r="T476" s="20">
        <v>45181</v>
      </c>
      <c r="U476" s="123"/>
      <c r="V476" s="13">
        <v>456</v>
      </c>
      <c r="W476" s="29">
        <v>45181.583333333336</v>
      </c>
      <c r="X476" s="29">
        <v>45181.694444444445</v>
      </c>
      <c r="Y476" s="30">
        <f t="shared" si="414"/>
        <v>0.11111111110949423</v>
      </c>
      <c r="Z476" s="29">
        <v>45181.666666666664</v>
      </c>
      <c r="AA476" s="29">
        <v>45181.6875</v>
      </c>
      <c r="AB476" s="30">
        <f t="shared" si="415"/>
        <v>2.0833333335758653E-2</v>
      </c>
    </row>
    <row r="477" spans="1:28" x14ac:dyDescent="0.25">
      <c r="A477" s="12">
        <v>45170</v>
      </c>
      <c r="B477" s="13" t="s">
        <v>973</v>
      </c>
      <c r="C477" s="20">
        <v>45181</v>
      </c>
      <c r="D477" s="13">
        <v>7258855</v>
      </c>
      <c r="E477" s="13" t="s">
        <v>191</v>
      </c>
      <c r="F477" s="13" t="s">
        <v>135</v>
      </c>
      <c r="G477" s="13" t="s">
        <v>192</v>
      </c>
      <c r="H477" s="17">
        <v>5212252</v>
      </c>
      <c r="I477" s="17" t="s">
        <v>23</v>
      </c>
      <c r="J477" s="13" t="s">
        <v>921</v>
      </c>
      <c r="K477" s="13">
        <v>25</v>
      </c>
      <c r="L477" s="13">
        <v>27</v>
      </c>
      <c r="M477" s="13">
        <f t="shared" ref="M477" si="416">+L477*K477</f>
        <v>675</v>
      </c>
      <c r="N477" s="20">
        <v>45181</v>
      </c>
      <c r="O477" s="13" t="s">
        <v>259</v>
      </c>
      <c r="P477" s="13" t="s">
        <v>144</v>
      </c>
      <c r="Q477" s="13" t="s">
        <v>30</v>
      </c>
      <c r="R477" s="13" t="s">
        <v>803</v>
      </c>
      <c r="S477" s="31">
        <v>281646031414</v>
      </c>
      <c r="T477" s="20">
        <v>45181</v>
      </c>
      <c r="U477" s="123"/>
      <c r="V477" s="13">
        <v>456</v>
      </c>
      <c r="W477" s="29">
        <v>45181.583333333336</v>
      </c>
      <c r="X477" s="29">
        <v>45181.694444444445</v>
      </c>
      <c r="Y477" s="30">
        <f t="shared" ref="Y477" si="417">+X477-W477</f>
        <v>0.11111111110949423</v>
      </c>
      <c r="Z477" s="29">
        <v>45181.666666666664</v>
      </c>
      <c r="AA477" s="29">
        <v>45181.6875</v>
      </c>
      <c r="AB477" s="30">
        <f t="shared" ref="AB477" si="418">+AA477-Z477</f>
        <v>2.0833333335758653E-2</v>
      </c>
    </row>
    <row r="478" spans="1:28" x14ac:dyDescent="0.25">
      <c r="A478" s="12">
        <v>45170</v>
      </c>
      <c r="B478" s="13" t="s">
        <v>974</v>
      </c>
      <c r="C478" s="20">
        <v>45181</v>
      </c>
      <c r="D478" s="13">
        <v>7258855</v>
      </c>
      <c r="E478" s="13" t="s">
        <v>191</v>
      </c>
      <c r="F478" s="13" t="s">
        <v>135</v>
      </c>
      <c r="G478" s="13" t="s">
        <v>192</v>
      </c>
      <c r="H478" s="17">
        <v>5210451</v>
      </c>
      <c r="I478" s="17" t="s">
        <v>29</v>
      </c>
      <c r="J478" s="13" t="s">
        <v>82</v>
      </c>
      <c r="K478" s="13">
        <v>25</v>
      </c>
      <c r="L478" s="13">
        <v>40</v>
      </c>
      <c r="M478" s="13">
        <f t="shared" si="413"/>
        <v>1000</v>
      </c>
      <c r="N478" s="20">
        <v>45181</v>
      </c>
      <c r="O478" s="13" t="s">
        <v>555</v>
      </c>
      <c r="P478" s="13" t="s">
        <v>144</v>
      </c>
      <c r="Q478" s="13" t="s">
        <v>30</v>
      </c>
      <c r="R478" s="13" t="s">
        <v>975</v>
      </c>
      <c r="S478" s="31">
        <v>281646033791</v>
      </c>
      <c r="T478" s="20">
        <v>45181</v>
      </c>
      <c r="U478" s="123"/>
      <c r="V478" s="13">
        <v>457</v>
      </c>
      <c r="W478" s="29">
        <v>45181.625</v>
      </c>
      <c r="X478" s="29">
        <v>45181.756944444445</v>
      </c>
      <c r="Y478" s="30">
        <f t="shared" si="414"/>
        <v>0.13194444444525288</v>
      </c>
      <c r="Z478" s="29">
        <v>45181.736111111109</v>
      </c>
      <c r="AA478" s="29">
        <v>45181.756944444445</v>
      </c>
      <c r="AB478" s="30">
        <f t="shared" si="415"/>
        <v>2.0833333335758653E-2</v>
      </c>
    </row>
    <row r="479" spans="1:28" x14ac:dyDescent="0.25">
      <c r="A479" s="12">
        <v>45170</v>
      </c>
      <c r="B479" s="13" t="s">
        <v>974</v>
      </c>
      <c r="C479" s="20">
        <v>45181</v>
      </c>
      <c r="D479" s="13">
        <v>5851097</v>
      </c>
      <c r="E479" s="13" t="s">
        <v>191</v>
      </c>
      <c r="F479" s="13" t="s">
        <v>135</v>
      </c>
      <c r="G479" s="13" t="s">
        <v>192</v>
      </c>
      <c r="H479" s="17">
        <v>5211014</v>
      </c>
      <c r="I479" s="17" t="s">
        <v>38</v>
      </c>
      <c r="J479" s="13" t="s">
        <v>94</v>
      </c>
      <c r="K479" s="13">
        <v>25</v>
      </c>
      <c r="L479" s="13">
        <v>21</v>
      </c>
      <c r="M479" s="13">
        <f t="shared" ref="M479:M480" si="419">+L479*K479</f>
        <v>525</v>
      </c>
      <c r="N479" s="20">
        <v>45181</v>
      </c>
      <c r="O479" s="13" t="s">
        <v>555</v>
      </c>
      <c r="P479" s="13" t="s">
        <v>144</v>
      </c>
      <c r="Q479" s="13" t="s">
        <v>30</v>
      </c>
      <c r="R479" s="13" t="s">
        <v>975</v>
      </c>
      <c r="S479" s="31">
        <v>281646033791</v>
      </c>
      <c r="T479" s="20">
        <v>45181</v>
      </c>
      <c r="U479" s="123"/>
      <c r="V479" s="13">
        <v>457</v>
      </c>
      <c r="W479" s="29">
        <v>45181.625</v>
      </c>
      <c r="X479" s="29">
        <v>45181.756944444445</v>
      </c>
      <c r="Y479" s="30">
        <f t="shared" ref="Y479:Y480" si="420">+X479-W479</f>
        <v>0.13194444444525288</v>
      </c>
      <c r="Z479" s="29">
        <v>45181.736111111109</v>
      </c>
      <c r="AA479" s="29">
        <v>45181.756944444445</v>
      </c>
      <c r="AB479" s="30">
        <f t="shared" ref="AB479:AB480" si="421">+AA479-Z479</f>
        <v>2.0833333335758653E-2</v>
      </c>
    </row>
    <row r="480" spans="1:28" x14ac:dyDescent="0.25">
      <c r="A480" s="12">
        <v>45170</v>
      </c>
      <c r="B480" s="13" t="s">
        <v>976</v>
      </c>
      <c r="C480" s="20">
        <v>45181</v>
      </c>
      <c r="D480" s="13">
        <v>5743038</v>
      </c>
      <c r="E480" s="13" t="s">
        <v>191</v>
      </c>
      <c r="F480" s="13" t="s">
        <v>135</v>
      </c>
      <c r="G480" s="13" t="s">
        <v>192</v>
      </c>
      <c r="H480" s="17">
        <v>5210451</v>
      </c>
      <c r="I480" s="17" t="s">
        <v>29</v>
      </c>
      <c r="J480" s="13" t="s">
        <v>82</v>
      </c>
      <c r="K480" s="13">
        <v>25</v>
      </c>
      <c r="L480" s="13">
        <v>160</v>
      </c>
      <c r="M480" s="13">
        <f t="shared" si="419"/>
        <v>4000</v>
      </c>
      <c r="N480" s="20">
        <v>45181</v>
      </c>
      <c r="O480" s="13" t="s">
        <v>399</v>
      </c>
      <c r="P480" s="13" t="s">
        <v>144</v>
      </c>
      <c r="Q480" s="13" t="s">
        <v>30</v>
      </c>
      <c r="R480" s="13" t="s">
        <v>977</v>
      </c>
      <c r="S480" s="31">
        <v>211646097332</v>
      </c>
      <c r="T480" s="20">
        <v>45181</v>
      </c>
      <c r="U480" s="123"/>
      <c r="V480" s="13">
        <v>458</v>
      </c>
      <c r="W480" s="29">
        <v>45181.583333333336</v>
      </c>
      <c r="X480" s="29">
        <v>45181.833333333336</v>
      </c>
      <c r="Y480" s="30">
        <f t="shared" si="420"/>
        <v>0.25</v>
      </c>
      <c r="Z480" s="29">
        <v>45181.701388888891</v>
      </c>
      <c r="AA480" s="29">
        <v>45181.833333333336</v>
      </c>
      <c r="AB480" s="30">
        <f t="shared" si="421"/>
        <v>0.13194444444525288</v>
      </c>
    </row>
    <row r="481" spans="1:28" x14ac:dyDescent="0.25">
      <c r="A481" s="12">
        <v>45170</v>
      </c>
      <c r="B481" s="13" t="s">
        <v>976</v>
      </c>
      <c r="C481" s="20">
        <v>45181</v>
      </c>
      <c r="D481" s="13">
        <v>6335482</v>
      </c>
      <c r="E481" s="13" t="s">
        <v>191</v>
      </c>
      <c r="F481" s="13" t="s">
        <v>135</v>
      </c>
      <c r="G481" s="13" t="s">
        <v>192</v>
      </c>
      <c r="H481" s="17">
        <v>5212259</v>
      </c>
      <c r="I481" s="17" t="s">
        <v>26</v>
      </c>
      <c r="J481" s="13" t="s">
        <v>445</v>
      </c>
      <c r="K481" s="13">
        <v>25</v>
      </c>
      <c r="L481" s="13">
        <v>220</v>
      </c>
      <c r="M481" s="13">
        <f t="shared" ref="M481:M486" si="422">+L481*K481</f>
        <v>5500</v>
      </c>
      <c r="N481" s="20">
        <v>45181</v>
      </c>
      <c r="O481" s="13" t="s">
        <v>399</v>
      </c>
      <c r="P481" s="13" t="s">
        <v>144</v>
      </c>
      <c r="Q481" s="13" t="s">
        <v>30</v>
      </c>
      <c r="R481" s="13" t="s">
        <v>977</v>
      </c>
      <c r="S481" s="31">
        <v>211646097332</v>
      </c>
      <c r="T481" s="20">
        <v>45181</v>
      </c>
      <c r="U481" s="123"/>
      <c r="V481" s="13">
        <v>458</v>
      </c>
      <c r="W481" s="29">
        <v>45181.583333333336</v>
      </c>
      <c r="X481" s="29">
        <v>45181.833333333336</v>
      </c>
      <c r="Y481" s="30">
        <f t="shared" ref="Y481:Y486" si="423">+X481-W481</f>
        <v>0.25</v>
      </c>
      <c r="Z481" s="29">
        <v>45181.701388888891</v>
      </c>
      <c r="AA481" s="29">
        <v>45181.833333333336</v>
      </c>
      <c r="AB481" s="30">
        <f t="shared" ref="AB481:AB486" si="424">+AA481-Z481</f>
        <v>0.13194444444525288</v>
      </c>
    </row>
    <row r="482" spans="1:28" x14ac:dyDescent="0.25">
      <c r="A482" s="12">
        <v>45170</v>
      </c>
      <c r="B482" s="13" t="s">
        <v>976</v>
      </c>
      <c r="C482" s="20">
        <v>45181</v>
      </c>
      <c r="D482" s="13">
        <v>6756899</v>
      </c>
      <c r="E482" s="13" t="s">
        <v>191</v>
      </c>
      <c r="F482" s="13" t="s">
        <v>135</v>
      </c>
      <c r="G482" s="13" t="s">
        <v>192</v>
      </c>
      <c r="H482" s="17">
        <v>5210162</v>
      </c>
      <c r="I482" s="17" t="s">
        <v>24</v>
      </c>
      <c r="J482" s="13" t="s">
        <v>575</v>
      </c>
      <c r="K482" s="13">
        <v>25</v>
      </c>
      <c r="L482" s="13">
        <v>80</v>
      </c>
      <c r="M482" s="13">
        <f t="shared" si="422"/>
        <v>2000</v>
      </c>
      <c r="N482" s="20">
        <v>45181</v>
      </c>
      <c r="O482" s="13" t="s">
        <v>399</v>
      </c>
      <c r="P482" s="13" t="s">
        <v>144</v>
      </c>
      <c r="Q482" s="13" t="s">
        <v>30</v>
      </c>
      <c r="R482" s="13" t="s">
        <v>977</v>
      </c>
      <c r="S482" s="31">
        <v>211646097332</v>
      </c>
      <c r="T482" s="20">
        <v>45181</v>
      </c>
      <c r="U482" s="123"/>
      <c r="V482" s="13">
        <v>458</v>
      </c>
      <c r="W482" s="29">
        <v>45181.583333333336</v>
      </c>
      <c r="X482" s="29">
        <v>45181.833333333336</v>
      </c>
      <c r="Y482" s="30">
        <f t="shared" si="423"/>
        <v>0.25</v>
      </c>
      <c r="Z482" s="29">
        <v>45181.701388888891</v>
      </c>
      <c r="AA482" s="29">
        <v>45181.833333333336</v>
      </c>
      <c r="AB482" s="30">
        <f t="shared" si="424"/>
        <v>0.13194444444525288</v>
      </c>
    </row>
    <row r="483" spans="1:28" x14ac:dyDescent="0.25">
      <c r="A483" s="12">
        <v>45170</v>
      </c>
      <c r="B483" s="13" t="s">
        <v>976</v>
      </c>
      <c r="C483" s="20">
        <v>45181</v>
      </c>
      <c r="D483" s="13">
        <v>7258855</v>
      </c>
      <c r="E483" s="13" t="s">
        <v>191</v>
      </c>
      <c r="F483" s="13" t="s">
        <v>135</v>
      </c>
      <c r="G483" s="13" t="s">
        <v>192</v>
      </c>
      <c r="H483" s="17">
        <v>5212252</v>
      </c>
      <c r="I483" s="17" t="s">
        <v>23</v>
      </c>
      <c r="J483" s="13" t="s">
        <v>921</v>
      </c>
      <c r="K483" s="13">
        <v>25</v>
      </c>
      <c r="L483" s="13">
        <v>253</v>
      </c>
      <c r="M483" s="13">
        <f t="shared" si="422"/>
        <v>6325</v>
      </c>
      <c r="N483" s="20">
        <v>45181</v>
      </c>
      <c r="O483" s="13" t="s">
        <v>399</v>
      </c>
      <c r="P483" s="13" t="s">
        <v>144</v>
      </c>
      <c r="Q483" s="13" t="s">
        <v>30</v>
      </c>
      <c r="R483" s="13" t="s">
        <v>977</v>
      </c>
      <c r="S483" s="31">
        <v>211646097332</v>
      </c>
      <c r="T483" s="20">
        <v>45181</v>
      </c>
      <c r="U483" s="123"/>
      <c r="V483" s="13">
        <v>458</v>
      </c>
      <c r="W483" s="29">
        <v>45181.583333333336</v>
      </c>
      <c r="X483" s="29">
        <v>45181.833333333336</v>
      </c>
      <c r="Y483" s="30">
        <f t="shared" si="423"/>
        <v>0.25</v>
      </c>
      <c r="Z483" s="29">
        <v>45181.701388888891</v>
      </c>
      <c r="AA483" s="29">
        <v>45181.833333333336</v>
      </c>
      <c r="AB483" s="30">
        <f t="shared" si="424"/>
        <v>0.13194444444525288</v>
      </c>
    </row>
    <row r="484" spans="1:28" x14ac:dyDescent="0.25">
      <c r="A484" s="12">
        <v>45170</v>
      </c>
      <c r="B484" s="13" t="s">
        <v>976</v>
      </c>
      <c r="C484" s="20">
        <v>45181</v>
      </c>
      <c r="D484" s="13">
        <v>7447959</v>
      </c>
      <c r="E484" s="13" t="s">
        <v>191</v>
      </c>
      <c r="F484" s="13" t="s">
        <v>135</v>
      </c>
      <c r="G484" s="13" t="s">
        <v>192</v>
      </c>
      <c r="H484" s="17">
        <v>5212252</v>
      </c>
      <c r="I484" s="17" t="s">
        <v>23</v>
      </c>
      <c r="J484" s="13" t="s">
        <v>955</v>
      </c>
      <c r="K484" s="13">
        <v>25</v>
      </c>
      <c r="L484" s="13">
        <v>467</v>
      </c>
      <c r="M484" s="13">
        <f t="shared" ref="M484" si="425">+L484*K484</f>
        <v>11675</v>
      </c>
      <c r="N484" s="20">
        <v>45181</v>
      </c>
      <c r="O484" s="13" t="s">
        <v>399</v>
      </c>
      <c r="P484" s="13" t="s">
        <v>144</v>
      </c>
      <c r="Q484" s="13" t="s">
        <v>30</v>
      </c>
      <c r="R484" s="13" t="s">
        <v>977</v>
      </c>
      <c r="S484" s="31">
        <v>211646097332</v>
      </c>
      <c r="T484" s="20">
        <v>45181</v>
      </c>
      <c r="U484" s="123"/>
      <c r="V484" s="13">
        <v>458</v>
      </c>
      <c r="W484" s="29">
        <v>45181.583333333336</v>
      </c>
      <c r="X484" s="29">
        <v>45181.833333333336</v>
      </c>
      <c r="Y484" s="30">
        <f t="shared" ref="Y484" si="426">+X484-W484</f>
        <v>0.25</v>
      </c>
      <c r="Z484" s="29">
        <v>45181.701388888891</v>
      </c>
      <c r="AA484" s="29">
        <v>45181.833333333336</v>
      </c>
      <c r="AB484" s="30">
        <f t="shared" ref="AB484" si="427">+AA484-Z484</f>
        <v>0.13194444444525288</v>
      </c>
    </row>
    <row r="485" spans="1:28" x14ac:dyDescent="0.25">
      <c r="A485" s="12">
        <v>45170</v>
      </c>
      <c r="B485" s="13" t="s">
        <v>976</v>
      </c>
      <c r="C485" s="20">
        <v>45181</v>
      </c>
      <c r="D485" s="13">
        <v>5743118</v>
      </c>
      <c r="E485" s="13" t="s">
        <v>191</v>
      </c>
      <c r="F485" s="13" t="s">
        <v>135</v>
      </c>
      <c r="G485" s="13" t="s">
        <v>192</v>
      </c>
      <c r="H485" s="17">
        <v>5211003</v>
      </c>
      <c r="I485" s="17" t="s">
        <v>31</v>
      </c>
      <c r="J485" s="13" t="s">
        <v>85</v>
      </c>
      <c r="K485" s="13">
        <v>25</v>
      </c>
      <c r="L485" s="13">
        <v>20</v>
      </c>
      <c r="M485" s="13">
        <f t="shared" si="422"/>
        <v>500</v>
      </c>
      <c r="N485" s="20">
        <v>45181</v>
      </c>
      <c r="O485" s="13" t="s">
        <v>399</v>
      </c>
      <c r="P485" s="13" t="s">
        <v>144</v>
      </c>
      <c r="Q485" s="13" t="s">
        <v>30</v>
      </c>
      <c r="R485" s="13" t="s">
        <v>977</v>
      </c>
      <c r="S485" s="31">
        <v>211646097332</v>
      </c>
      <c r="T485" s="20">
        <v>45181</v>
      </c>
      <c r="U485" s="123"/>
      <c r="V485" s="13">
        <v>458</v>
      </c>
      <c r="W485" s="29">
        <v>45181.583333333336</v>
      </c>
      <c r="X485" s="29">
        <v>45181.833333333336</v>
      </c>
      <c r="Y485" s="30">
        <f t="shared" si="423"/>
        <v>0.25</v>
      </c>
      <c r="Z485" s="29">
        <v>45181.701388888891</v>
      </c>
      <c r="AA485" s="29">
        <v>45181.833333333336</v>
      </c>
      <c r="AB485" s="30">
        <f t="shared" si="424"/>
        <v>0.13194444444525288</v>
      </c>
    </row>
    <row r="486" spans="1:28" x14ac:dyDescent="0.25">
      <c r="A486" s="12">
        <v>45170</v>
      </c>
      <c r="B486" s="13" t="s">
        <v>978</v>
      </c>
      <c r="C486" s="20">
        <v>45183</v>
      </c>
      <c r="D486" s="13">
        <v>6756899</v>
      </c>
      <c r="E486" s="13" t="s">
        <v>191</v>
      </c>
      <c r="F486" s="13" t="s">
        <v>135</v>
      </c>
      <c r="G486" s="13" t="s">
        <v>192</v>
      </c>
      <c r="H486" s="17">
        <v>5210162</v>
      </c>
      <c r="I486" s="17" t="s">
        <v>24</v>
      </c>
      <c r="J486" s="13" t="s">
        <v>575</v>
      </c>
      <c r="K486" s="13">
        <v>25</v>
      </c>
      <c r="L486" s="13">
        <v>40</v>
      </c>
      <c r="M486" s="13">
        <f t="shared" si="422"/>
        <v>1000</v>
      </c>
      <c r="N486" s="20">
        <v>45183</v>
      </c>
      <c r="O486" s="13" t="s">
        <v>220</v>
      </c>
      <c r="P486" s="13" t="s">
        <v>144</v>
      </c>
      <c r="Q486" s="13" t="s">
        <v>30</v>
      </c>
      <c r="R486" s="13" t="s">
        <v>979</v>
      </c>
      <c r="S486" s="31">
        <v>261646992649</v>
      </c>
      <c r="T486" s="20">
        <v>45183</v>
      </c>
      <c r="U486" s="123"/>
      <c r="V486" s="13">
        <v>459</v>
      </c>
      <c r="W486" s="29">
        <v>45183.5</v>
      </c>
      <c r="X486" s="29">
        <v>45183.638888888891</v>
      </c>
      <c r="Y486" s="30">
        <f t="shared" si="423"/>
        <v>0.13888888889050577</v>
      </c>
      <c r="Z486" s="29">
        <v>45183.59375</v>
      </c>
      <c r="AA486" s="29">
        <v>45183.631944444445</v>
      </c>
      <c r="AB486" s="30">
        <f t="shared" si="424"/>
        <v>3.8194444445252884E-2</v>
      </c>
    </row>
    <row r="487" spans="1:28" x14ac:dyDescent="0.25">
      <c r="A487" s="12">
        <v>45170</v>
      </c>
      <c r="B487" s="13" t="s">
        <v>978</v>
      </c>
      <c r="C487" s="20">
        <v>45183</v>
      </c>
      <c r="D487" s="13">
        <v>7447959</v>
      </c>
      <c r="E487" s="13" t="s">
        <v>191</v>
      </c>
      <c r="F487" s="13" t="s">
        <v>135</v>
      </c>
      <c r="G487" s="13" t="s">
        <v>192</v>
      </c>
      <c r="H487" s="17">
        <v>5212252</v>
      </c>
      <c r="I487" s="17" t="s">
        <v>23</v>
      </c>
      <c r="J487" s="13" t="s">
        <v>921</v>
      </c>
      <c r="K487" s="13">
        <v>25</v>
      </c>
      <c r="L487" s="13">
        <v>400</v>
      </c>
      <c r="M487" s="13">
        <f t="shared" ref="M487:M489" si="428">+L487*K487</f>
        <v>10000</v>
      </c>
      <c r="N487" s="20">
        <v>45183</v>
      </c>
      <c r="O487" s="13" t="s">
        <v>220</v>
      </c>
      <c r="P487" s="13" t="s">
        <v>144</v>
      </c>
      <c r="Q487" s="13" t="s">
        <v>30</v>
      </c>
      <c r="R487" s="13" t="s">
        <v>979</v>
      </c>
      <c r="S487" s="31">
        <v>261646992649</v>
      </c>
      <c r="T487" s="20">
        <v>45183</v>
      </c>
      <c r="U487" s="123"/>
      <c r="V487" s="13">
        <v>459</v>
      </c>
      <c r="W487" s="29">
        <v>45183.5</v>
      </c>
      <c r="X487" s="29">
        <v>45183.638888888891</v>
      </c>
      <c r="Y487" s="30">
        <f t="shared" ref="Y487:Y489" si="429">+X487-W487</f>
        <v>0.13888888889050577</v>
      </c>
      <c r="Z487" s="29">
        <v>45183.59375</v>
      </c>
      <c r="AA487" s="29">
        <v>45183.631944444445</v>
      </c>
      <c r="AB487" s="30">
        <f t="shared" ref="AB487:AB489" si="430">+AA487-Z487</f>
        <v>3.8194444445252884E-2</v>
      </c>
    </row>
    <row r="488" spans="1:28" x14ac:dyDescent="0.25">
      <c r="A488" s="12">
        <v>45170</v>
      </c>
      <c r="B488" s="13" t="s">
        <v>980</v>
      </c>
      <c r="C488" s="20">
        <v>45183</v>
      </c>
      <c r="D488" s="13">
        <v>7447959</v>
      </c>
      <c r="E488" s="13" t="s">
        <v>191</v>
      </c>
      <c r="F488" s="13" t="s">
        <v>135</v>
      </c>
      <c r="G488" s="13" t="s">
        <v>192</v>
      </c>
      <c r="H488" s="17">
        <v>5212252</v>
      </c>
      <c r="I488" s="17" t="s">
        <v>23</v>
      </c>
      <c r="J488" s="13" t="s">
        <v>921</v>
      </c>
      <c r="K488" s="13">
        <v>25</v>
      </c>
      <c r="L488" s="13">
        <v>200</v>
      </c>
      <c r="M488" s="13">
        <f t="shared" si="428"/>
        <v>5000</v>
      </c>
      <c r="N488" s="20">
        <v>45183</v>
      </c>
      <c r="O488" s="13" t="s">
        <v>259</v>
      </c>
      <c r="P488" s="13" t="s">
        <v>144</v>
      </c>
      <c r="Q488" s="13" t="s">
        <v>30</v>
      </c>
      <c r="R488" s="13" t="s">
        <v>981</v>
      </c>
      <c r="S488" s="31">
        <v>241646980862</v>
      </c>
      <c r="T488" s="20">
        <v>45183</v>
      </c>
      <c r="U488" s="123"/>
      <c r="V488" s="13">
        <v>460</v>
      </c>
      <c r="W488" s="29">
        <v>45183.506944444445</v>
      </c>
      <c r="X488" s="29">
        <v>45183.659722222219</v>
      </c>
      <c r="Y488" s="30">
        <f t="shared" si="429"/>
        <v>0.15277777777373558</v>
      </c>
      <c r="Z488" s="29">
        <v>45183.635416666664</v>
      </c>
      <c r="AA488" s="29">
        <v>45183.652777777781</v>
      </c>
      <c r="AB488" s="30">
        <f t="shared" si="430"/>
        <v>1.7361111116770189E-2</v>
      </c>
    </row>
    <row r="489" spans="1:28" x14ac:dyDescent="0.25">
      <c r="A489" s="12">
        <v>45170</v>
      </c>
      <c r="B489" s="13" t="s">
        <v>986</v>
      </c>
      <c r="C489" s="20">
        <v>45183</v>
      </c>
      <c r="D489" s="13">
        <v>7258855</v>
      </c>
      <c r="E489" s="13" t="s">
        <v>395</v>
      </c>
      <c r="F489" s="13" t="s">
        <v>396</v>
      </c>
      <c r="G489" s="13" t="s">
        <v>192</v>
      </c>
      <c r="H489" s="17">
        <v>5212252</v>
      </c>
      <c r="I489" s="17" t="s">
        <v>23</v>
      </c>
      <c r="J489" s="13" t="s">
        <v>845</v>
      </c>
      <c r="K489" s="13">
        <v>25</v>
      </c>
      <c r="L489" s="13">
        <v>373</v>
      </c>
      <c r="M489" s="13">
        <f t="shared" si="428"/>
        <v>9325</v>
      </c>
      <c r="N489" s="20">
        <v>45184</v>
      </c>
      <c r="O489" s="13" t="s">
        <v>136</v>
      </c>
      <c r="P489" s="13" t="s">
        <v>134</v>
      </c>
      <c r="Q489" s="13">
        <v>2265</v>
      </c>
      <c r="R489" s="13" t="s">
        <v>987</v>
      </c>
      <c r="S489" s="31">
        <v>231647429572</v>
      </c>
      <c r="T489" s="20">
        <v>45184</v>
      </c>
      <c r="U489" s="123"/>
      <c r="V489" s="13">
        <v>461</v>
      </c>
      <c r="W489" s="29">
        <v>45184.513888888891</v>
      </c>
      <c r="X489" s="29">
        <v>45184.555555555555</v>
      </c>
      <c r="Y489" s="30">
        <f t="shared" si="429"/>
        <v>4.1666666664241347E-2</v>
      </c>
      <c r="Z489" s="29">
        <v>45184.520833333336</v>
      </c>
      <c r="AA489" s="29">
        <v>45184.555555555555</v>
      </c>
      <c r="AB489" s="30">
        <f t="shared" si="430"/>
        <v>3.4722222218988463E-2</v>
      </c>
    </row>
    <row r="490" spans="1:28" x14ac:dyDescent="0.25">
      <c r="A490" s="12">
        <v>45170</v>
      </c>
      <c r="B490" s="13" t="s">
        <v>986</v>
      </c>
      <c r="C490" s="20">
        <v>45183</v>
      </c>
      <c r="D490" s="13">
        <v>7556097</v>
      </c>
      <c r="E490" s="13" t="s">
        <v>395</v>
      </c>
      <c r="F490" s="13" t="s">
        <v>396</v>
      </c>
      <c r="G490" s="13" t="s">
        <v>192</v>
      </c>
      <c r="H490" s="17">
        <v>5212252</v>
      </c>
      <c r="I490" s="17" t="s">
        <v>23</v>
      </c>
      <c r="J490" s="13" t="s">
        <v>845</v>
      </c>
      <c r="K490" s="13">
        <v>25</v>
      </c>
      <c r="L490" s="13">
        <v>27</v>
      </c>
      <c r="M490" s="13">
        <f t="shared" ref="M490:M495" si="431">+L490*K490</f>
        <v>675</v>
      </c>
      <c r="N490" s="20">
        <v>45184</v>
      </c>
      <c r="O490" s="13" t="s">
        <v>136</v>
      </c>
      <c r="P490" s="13" t="s">
        <v>134</v>
      </c>
      <c r="Q490" s="13">
        <v>2265</v>
      </c>
      <c r="R490" s="13" t="s">
        <v>987</v>
      </c>
      <c r="S490" s="31">
        <v>231647429572</v>
      </c>
      <c r="T490" s="20">
        <v>45184</v>
      </c>
      <c r="U490" s="123"/>
      <c r="V490" s="13">
        <v>461</v>
      </c>
      <c r="W490" s="29">
        <v>45184.513888888891</v>
      </c>
      <c r="X490" s="29">
        <v>45184.555555555555</v>
      </c>
      <c r="Y490" s="30">
        <f t="shared" ref="Y490:Y493" si="432">+X490-W490</f>
        <v>4.1666666664241347E-2</v>
      </c>
      <c r="Z490" s="29">
        <v>45184.520833333336</v>
      </c>
      <c r="AA490" s="29">
        <v>45184.555555555555</v>
      </c>
      <c r="AB490" s="30">
        <f t="shared" ref="AB490:AB493" si="433">+AA490-Z490</f>
        <v>3.4722222218988463E-2</v>
      </c>
    </row>
    <row r="491" spans="1:28" x14ac:dyDescent="0.25">
      <c r="A491" s="12">
        <v>45170</v>
      </c>
      <c r="B491" s="13" t="s">
        <v>988</v>
      </c>
      <c r="C491" s="20">
        <v>45185</v>
      </c>
      <c r="D491" s="13">
        <v>7556097</v>
      </c>
      <c r="E491" s="13" t="s">
        <v>385</v>
      </c>
      <c r="F491" s="13" t="s">
        <v>386</v>
      </c>
      <c r="G491" s="13" t="s">
        <v>192</v>
      </c>
      <c r="H491" s="17">
        <v>5212252</v>
      </c>
      <c r="I491" s="17" t="s">
        <v>23</v>
      </c>
      <c r="J491" s="13" t="s">
        <v>845</v>
      </c>
      <c r="K491" s="13">
        <v>25</v>
      </c>
      <c r="L491" s="13">
        <v>213</v>
      </c>
      <c r="M491" s="13">
        <f t="shared" si="431"/>
        <v>5325</v>
      </c>
      <c r="N491" s="20">
        <v>45185</v>
      </c>
      <c r="O491" s="13" t="s">
        <v>589</v>
      </c>
      <c r="P491" s="13" t="s">
        <v>144</v>
      </c>
      <c r="Q491" s="13" t="s">
        <v>30</v>
      </c>
      <c r="R491" s="13" t="s">
        <v>989</v>
      </c>
      <c r="S491" s="31">
        <v>221647951283</v>
      </c>
      <c r="T491" s="20">
        <v>45185</v>
      </c>
      <c r="U491" s="123"/>
      <c r="V491" s="13">
        <v>462</v>
      </c>
      <c r="W491" s="29">
        <v>45185.534722222219</v>
      </c>
      <c r="X491" s="29">
        <v>45185.576388888891</v>
      </c>
      <c r="Y491" s="30">
        <f t="shared" si="432"/>
        <v>4.1666666671517305E-2</v>
      </c>
      <c r="Z491" s="29">
        <v>45185.541666666664</v>
      </c>
      <c r="AA491" s="29">
        <v>45185.569444444445</v>
      </c>
      <c r="AB491" s="30">
        <f t="shared" si="433"/>
        <v>2.7777777781011537E-2</v>
      </c>
    </row>
    <row r="492" spans="1:28" x14ac:dyDescent="0.25">
      <c r="A492" s="12">
        <v>45170</v>
      </c>
      <c r="B492" s="13" t="s">
        <v>988</v>
      </c>
      <c r="C492" s="20">
        <v>45185</v>
      </c>
      <c r="D492" s="13">
        <v>7447959</v>
      </c>
      <c r="E492" s="13" t="s">
        <v>385</v>
      </c>
      <c r="F492" s="13" t="s">
        <v>386</v>
      </c>
      <c r="G492" s="13" t="s">
        <v>192</v>
      </c>
      <c r="H492" s="17">
        <v>5212252</v>
      </c>
      <c r="I492" s="17" t="s">
        <v>23</v>
      </c>
      <c r="J492" s="13" t="s">
        <v>955</v>
      </c>
      <c r="K492" s="13">
        <v>25</v>
      </c>
      <c r="L492" s="13">
        <v>87</v>
      </c>
      <c r="M492" s="13">
        <f t="shared" ref="M492" si="434">+L492*K492</f>
        <v>2175</v>
      </c>
      <c r="N492" s="20">
        <v>45185</v>
      </c>
      <c r="O492" s="13" t="s">
        <v>589</v>
      </c>
      <c r="P492" s="13" t="s">
        <v>144</v>
      </c>
      <c r="Q492" s="13" t="s">
        <v>30</v>
      </c>
      <c r="R492" s="13" t="s">
        <v>989</v>
      </c>
      <c r="S492" s="31">
        <v>221647951283</v>
      </c>
      <c r="T492" s="20">
        <v>45185</v>
      </c>
      <c r="U492" s="123"/>
      <c r="V492" s="13">
        <v>462</v>
      </c>
      <c r="W492" s="29">
        <v>45185.534722222219</v>
      </c>
      <c r="X492" s="29">
        <v>45185.576388888891</v>
      </c>
      <c r="Y492" s="30">
        <f t="shared" ref="Y492" si="435">+X492-W492</f>
        <v>4.1666666671517305E-2</v>
      </c>
      <c r="Z492" s="29">
        <v>45185.541666666664</v>
      </c>
      <c r="AA492" s="29">
        <v>45185.569444444445</v>
      </c>
      <c r="AB492" s="30">
        <f t="shared" ref="AB492" si="436">+AA492-Z492</f>
        <v>2.7777777781011537E-2</v>
      </c>
    </row>
    <row r="493" spans="1:28" x14ac:dyDescent="0.25">
      <c r="A493" s="12">
        <v>45170</v>
      </c>
      <c r="B493" s="13" t="s">
        <v>990</v>
      </c>
      <c r="C493" s="20">
        <v>45180</v>
      </c>
      <c r="D493" s="13">
        <v>6146274</v>
      </c>
      <c r="E493" s="13" t="s">
        <v>991</v>
      </c>
      <c r="F493" s="13" t="s">
        <v>268</v>
      </c>
      <c r="G493" s="13" t="s">
        <v>192</v>
      </c>
      <c r="H493" s="17">
        <v>5205449</v>
      </c>
      <c r="I493" s="17" t="str">
        <f>VLOOKUP(H493,[1]MASTER!$A:$B,2,0)</f>
        <v>PVC-WH1000F-Premium-Bag-25KG</v>
      </c>
      <c r="J493" s="13">
        <v>2230237822</v>
      </c>
      <c r="K493" s="13">
        <v>25</v>
      </c>
      <c r="L493" s="13">
        <v>10</v>
      </c>
      <c r="M493" s="13">
        <f t="shared" si="431"/>
        <v>250</v>
      </c>
      <c r="N493" s="20">
        <v>45185</v>
      </c>
      <c r="O493" s="13" t="s">
        <v>186</v>
      </c>
      <c r="P493" s="13" t="s">
        <v>144</v>
      </c>
      <c r="Q493" s="13" t="s">
        <v>30</v>
      </c>
      <c r="R493" s="13" t="s">
        <v>992</v>
      </c>
      <c r="S493" s="31">
        <v>201648058222</v>
      </c>
      <c r="T493" s="20">
        <v>45185</v>
      </c>
      <c r="U493" s="123"/>
      <c r="V493" s="13">
        <v>463</v>
      </c>
      <c r="W493" s="29">
        <v>45185.645833333336</v>
      </c>
      <c r="X493" s="29">
        <v>45185.666666666664</v>
      </c>
      <c r="Y493" s="30">
        <f t="shared" si="432"/>
        <v>2.0833333328482695E-2</v>
      </c>
      <c r="Z493" s="29">
        <v>45185.649305555555</v>
      </c>
      <c r="AA493" s="29">
        <v>45185.666666666664</v>
      </c>
      <c r="AB493" s="30">
        <f t="shared" si="433"/>
        <v>1.7361111109494232E-2</v>
      </c>
    </row>
    <row r="494" spans="1:28" x14ac:dyDescent="0.25">
      <c r="A494" s="12">
        <v>45170</v>
      </c>
      <c r="B494" s="13" t="s">
        <v>993</v>
      </c>
      <c r="C494" s="20">
        <v>45182</v>
      </c>
      <c r="D494" s="13">
        <v>7447959</v>
      </c>
      <c r="E494" s="13" t="s">
        <v>798</v>
      </c>
      <c r="F494" s="13" t="s">
        <v>386</v>
      </c>
      <c r="G494" s="13" t="s">
        <v>192</v>
      </c>
      <c r="H494" s="17">
        <v>5212252</v>
      </c>
      <c r="I494" s="17" t="s">
        <v>23</v>
      </c>
      <c r="J494" s="13" t="s">
        <v>955</v>
      </c>
      <c r="K494" s="13">
        <v>25</v>
      </c>
      <c r="L494" s="13">
        <v>4</v>
      </c>
      <c r="M494" s="13">
        <f t="shared" si="431"/>
        <v>100</v>
      </c>
      <c r="N494" s="20">
        <v>45185</v>
      </c>
      <c r="O494" s="13" t="s">
        <v>186</v>
      </c>
      <c r="P494" s="13" t="s">
        <v>187</v>
      </c>
      <c r="Q494" s="13" t="s">
        <v>30</v>
      </c>
      <c r="R494" s="13" t="s">
        <v>992</v>
      </c>
      <c r="S494" s="31">
        <v>281648061435</v>
      </c>
      <c r="T494" s="20">
        <v>45185</v>
      </c>
      <c r="U494" s="123"/>
      <c r="V494" s="13">
        <v>464</v>
      </c>
      <c r="W494" s="29">
        <v>45185.645833333336</v>
      </c>
      <c r="X494" s="29">
        <v>45185.666666666664</v>
      </c>
      <c r="Y494" s="30">
        <f t="shared" ref="Y494:Y495" si="437">+X494-W494</f>
        <v>2.0833333328482695E-2</v>
      </c>
      <c r="Z494" s="29">
        <v>45185.649305555555</v>
      </c>
      <c r="AA494" s="29">
        <v>45185.666666666664</v>
      </c>
      <c r="AB494" s="30">
        <f t="shared" ref="AB494:AB495" si="438">+AA494-Z494</f>
        <v>1.7361111109494232E-2</v>
      </c>
    </row>
    <row r="495" spans="1:28" x14ac:dyDescent="0.25">
      <c r="A495" s="12">
        <v>45170</v>
      </c>
      <c r="B495" s="13" t="s">
        <v>994</v>
      </c>
      <c r="C495" s="20">
        <v>45185</v>
      </c>
      <c r="D495" s="13">
        <v>6335852</v>
      </c>
      <c r="E495" s="13" t="s">
        <v>385</v>
      </c>
      <c r="F495" s="13" t="s">
        <v>386</v>
      </c>
      <c r="G495" s="13" t="s">
        <v>192</v>
      </c>
      <c r="H495" s="17">
        <v>5210162</v>
      </c>
      <c r="I495" s="17" t="s">
        <v>24</v>
      </c>
      <c r="J495" s="13" t="s">
        <v>376</v>
      </c>
      <c r="K495" s="13">
        <v>25</v>
      </c>
      <c r="L495" s="13">
        <v>285</v>
      </c>
      <c r="M495" s="13">
        <f t="shared" si="431"/>
        <v>7125</v>
      </c>
      <c r="N495" s="20">
        <v>45187</v>
      </c>
      <c r="O495" s="13" t="s">
        <v>136</v>
      </c>
      <c r="P495" s="13" t="s">
        <v>144</v>
      </c>
      <c r="Q495" s="13" t="s">
        <v>30</v>
      </c>
      <c r="R495" s="13" t="s">
        <v>701</v>
      </c>
      <c r="S495" s="31">
        <v>281648647839</v>
      </c>
      <c r="T495" s="20">
        <v>45187</v>
      </c>
      <c r="U495" s="123"/>
      <c r="V495" s="13">
        <v>465</v>
      </c>
      <c r="W495" s="29">
        <v>45187.493055555555</v>
      </c>
      <c r="X495" s="29">
        <v>45187.524305555555</v>
      </c>
      <c r="Y495" s="30">
        <f t="shared" si="437"/>
        <v>3.125E-2</v>
      </c>
      <c r="Z495" s="29">
        <v>45187.5</v>
      </c>
      <c r="AA495" s="29">
        <v>45187.524305555555</v>
      </c>
      <c r="AB495" s="30">
        <f t="shared" si="438"/>
        <v>2.4305555554747116E-2</v>
      </c>
    </row>
    <row r="496" spans="1:28" x14ac:dyDescent="0.25">
      <c r="A496" s="12">
        <v>45170</v>
      </c>
      <c r="B496" s="13" t="s">
        <v>994</v>
      </c>
      <c r="C496" s="20">
        <v>45185</v>
      </c>
      <c r="D496" s="13">
        <v>6756899</v>
      </c>
      <c r="E496" s="13" t="s">
        <v>385</v>
      </c>
      <c r="F496" s="13" t="s">
        <v>386</v>
      </c>
      <c r="G496" s="13" t="s">
        <v>192</v>
      </c>
      <c r="H496" s="17">
        <v>5210162</v>
      </c>
      <c r="I496" s="17" t="s">
        <v>24</v>
      </c>
      <c r="J496" s="13" t="s">
        <v>575</v>
      </c>
      <c r="K496" s="13">
        <v>25</v>
      </c>
      <c r="L496" s="13">
        <v>115</v>
      </c>
      <c r="M496" s="13">
        <f t="shared" ref="M496:M497" si="439">+L496*K496</f>
        <v>2875</v>
      </c>
      <c r="N496" s="20">
        <v>45187</v>
      </c>
      <c r="O496" s="13" t="s">
        <v>136</v>
      </c>
      <c r="P496" s="13" t="s">
        <v>144</v>
      </c>
      <c r="Q496" s="13" t="s">
        <v>30</v>
      </c>
      <c r="R496" s="13" t="s">
        <v>701</v>
      </c>
      <c r="S496" s="31">
        <v>281648647839</v>
      </c>
      <c r="T496" s="20">
        <v>45187</v>
      </c>
      <c r="U496" s="123"/>
      <c r="V496" s="13">
        <v>465</v>
      </c>
      <c r="W496" s="29">
        <v>45187.493055555555</v>
      </c>
      <c r="X496" s="29">
        <v>45187.524305555555</v>
      </c>
      <c r="Y496" s="30">
        <f t="shared" ref="Y496:Y497" si="440">+X496-W496</f>
        <v>3.125E-2</v>
      </c>
      <c r="Z496" s="29">
        <v>45187.5</v>
      </c>
      <c r="AA496" s="29">
        <v>45187.524305555555</v>
      </c>
      <c r="AB496" s="30">
        <f t="shared" ref="AB496:AB497" si="441">+AA496-Z496</f>
        <v>2.4305555554747116E-2</v>
      </c>
    </row>
    <row r="497" spans="1:28" x14ac:dyDescent="0.25">
      <c r="A497" s="12">
        <v>45170</v>
      </c>
      <c r="B497" s="13" t="s">
        <v>1006</v>
      </c>
      <c r="C497" s="20">
        <v>45188</v>
      </c>
      <c r="D497" s="13">
        <v>7447959</v>
      </c>
      <c r="E497" s="13" t="s">
        <v>859</v>
      </c>
      <c r="F497" s="13" t="s">
        <v>289</v>
      </c>
      <c r="G497" s="13" t="s">
        <v>192</v>
      </c>
      <c r="H497" s="17">
        <v>5212252</v>
      </c>
      <c r="I497" s="17" t="s">
        <v>23</v>
      </c>
      <c r="J497" s="13" t="s">
        <v>921</v>
      </c>
      <c r="K497" s="13">
        <v>25</v>
      </c>
      <c r="L497" s="13">
        <v>408</v>
      </c>
      <c r="M497" s="13">
        <f t="shared" si="439"/>
        <v>10200</v>
      </c>
      <c r="N497" s="20">
        <v>45190</v>
      </c>
      <c r="O497" s="13" t="s">
        <v>399</v>
      </c>
      <c r="P497" s="13" t="s">
        <v>144</v>
      </c>
      <c r="Q497" s="13" t="s">
        <v>30</v>
      </c>
      <c r="R497" s="13" t="s">
        <v>1007</v>
      </c>
      <c r="S497" s="31">
        <v>231649979497</v>
      </c>
      <c r="T497" s="20">
        <v>45190</v>
      </c>
      <c r="U497" s="123"/>
      <c r="V497" s="13">
        <v>466</v>
      </c>
      <c r="W497" s="29">
        <v>45190.493055555555</v>
      </c>
      <c r="X497" s="29">
        <v>45190.659722222219</v>
      </c>
      <c r="Y497" s="30">
        <f t="shared" si="440"/>
        <v>0.16666666666424135</v>
      </c>
      <c r="Z497" s="29">
        <v>45190.5</v>
      </c>
      <c r="AA497" s="29">
        <v>45190.652777777781</v>
      </c>
      <c r="AB497" s="30">
        <f t="shared" si="441"/>
        <v>0.15277777778101154</v>
      </c>
    </row>
    <row r="498" spans="1:28" x14ac:dyDescent="0.25">
      <c r="A498" s="12">
        <v>45170</v>
      </c>
      <c r="B498" s="13" t="s">
        <v>1006</v>
      </c>
      <c r="C498" s="20">
        <v>45188</v>
      </c>
      <c r="D498" s="13">
        <v>7447959</v>
      </c>
      <c r="E498" s="13" t="s">
        <v>859</v>
      </c>
      <c r="F498" s="13" t="s">
        <v>289</v>
      </c>
      <c r="G498" s="13" t="s">
        <v>192</v>
      </c>
      <c r="H498" s="17">
        <v>5212252</v>
      </c>
      <c r="I498" s="17" t="s">
        <v>23</v>
      </c>
      <c r="J498" s="13" t="s">
        <v>778</v>
      </c>
      <c r="K498" s="13">
        <v>25</v>
      </c>
      <c r="L498" s="13">
        <v>72</v>
      </c>
      <c r="M498" s="13">
        <f t="shared" ref="M498" si="442">+L498*K498</f>
        <v>1800</v>
      </c>
      <c r="N498" s="20">
        <v>45190</v>
      </c>
      <c r="O498" s="13" t="s">
        <v>399</v>
      </c>
      <c r="P498" s="13" t="s">
        <v>144</v>
      </c>
      <c r="Q498" s="13" t="s">
        <v>30</v>
      </c>
      <c r="R498" s="13" t="s">
        <v>1007</v>
      </c>
      <c r="S498" s="31">
        <v>231649979497</v>
      </c>
      <c r="T498" s="20">
        <v>45190</v>
      </c>
      <c r="U498" s="123"/>
      <c r="V498" s="13">
        <v>466</v>
      </c>
      <c r="W498" s="29">
        <v>45190.493055555555</v>
      </c>
      <c r="X498" s="29">
        <v>45190.659722222219</v>
      </c>
      <c r="Y498" s="30">
        <f t="shared" ref="Y498:Y508" si="443">+X498-W498</f>
        <v>0.16666666666424135</v>
      </c>
      <c r="Z498" s="29">
        <v>45190.5</v>
      </c>
      <c r="AA498" s="29">
        <v>45190.652777777781</v>
      </c>
      <c r="AB498" s="30">
        <f t="shared" ref="AB498:AB508" si="444">+AA498-Z498</f>
        <v>0.15277777778101154</v>
      </c>
    </row>
    <row r="499" spans="1:28" x14ac:dyDescent="0.25">
      <c r="A499" s="12">
        <v>45170</v>
      </c>
      <c r="B499" s="13" t="s">
        <v>1006</v>
      </c>
      <c r="C499" s="20">
        <v>45188</v>
      </c>
      <c r="D499" s="13">
        <v>6025360</v>
      </c>
      <c r="E499" s="13" t="s">
        <v>859</v>
      </c>
      <c r="F499" s="13" t="s">
        <v>289</v>
      </c>
      <c r="G499" s="13" t="s">
        <v>192</v>
      </c>
      <c r="H499" s="17">
        <v>5212259</v>
      </c>
      <c r="I499" s="17" t="s">
        <v>26</v>
      </c>
      <c r="J499" s="13" t="s">
        <v>208</v>
      </c>
      <c r="K499" s="13">
        <v>25</v>
      </c>
      <c r="L499" s="13">
        <v>240</v>
      </c>
      <c r="M499" s="13">
        <f t="shared" ref="M499:M501" si="445">+L499*K499</f>
        <v>6000</v>
      </c>
      <c r="N499" s="20">
        <v>45190</v>
      </c>
      <c r="O499" s="13" t="s">
        <v>399</v>
      </c>
      <c r="P499" s="13" t="s">
        <v>144</v>
      </c>
      <c r="Q499" s="13" t="s">
        <v>30</v>
      </c>
      <c r="R499" s="13" t="s">
        <v>1007</v>
      </c>
      <c r="S499" s="31">
        <v>231649979497</v>
      </c>
      <c r="T499" s="20">
        <v>45190</v>
      </c>
      <c r="U499" s="123"/>
      <c r="V499" s="13">
        <v>466</v>
      </c>
      <c r="W499" s="29">
        <v>45190.493055555555</v>
      </c>
      <c r="X499" s="29">
        <v>45190.659722222219</v>
      </c>
      <c r="Y499" s="30">
        <f t="shared" si="443"/>
        <v>0.16666666666424135</v>
      </c>
      <c r="Z499" s="29">
        <v>45190.5</v>
      </c>
      <c r="AA499" s="29">
        <v>45190.652777777781</v>
      </c>
      <c r="AB499" s="30">
        <f t="shared" si="444"/>
        <v>0.15277777778101154</v>
      </c>
    </row>
    <row r="500" spans="1:28" x14ac:dyDescent="0.25">
      <c r="A500" s="12">
        <v>45170</v>
      </c>
      <c r="B500" s="13" t="s">
        <v>1006</v>
      </c>
      <c r="C500" s="20">
        <v>45188</v>
      </c>
      <c r="D500" s="13">
        <v>5512760</v>
      </c>
      <c r="E500" s="13" t="s">
        <v>859</v>
      </c>
      <c r="F500" s="13" t="s">
        <v>289</v>
      </c>
      <c r="G500" s="13" t="s">
        <v>192</v>
      </c>
      <c r="H500" s="17">
        <v>5212256</v>
      </c>
      <c r="I500" s="17" t="s">
        <v>22</v>
      </c>
      <c r="J500" s="13" t="s">
        <v>75</v>
      </c>
      <c r="K500" s="13">
        <v>25</v>
      </c>
      <c r="L500" s="13">
        <v>80</v>
      </c>
      <c r="M500" s="13">
        <f t="shared" si="445"/>
        <v>2000</v>
      </c>
      <c r="N500" s="20">
        <v>45190</v>
      </c>
      <c r="O500" s="13" t="s">
        <v>399</v>
      </c>
      <c r="P500" s="13" t="s">
        <v>144</v>
      </c>
      <c r="Q500" s="13" t="s">
        <v>30</v>
      </c>
      <c r="R500" s="13" t="s">
        <v>1007</v>
      </c>
      <c r="S500" s="31">
        <v>231649979497</v>
      </c>
      <c r="T500" s="20">
        <v>45190</v>
      </c>
      <c r="U500" s="123"/>
      <c r="V500" s="13">
        <v>466</v>
      </c>
      <c r="W500" s="29">
        <v>45190.493055555555</v>
      </c>
      <c r="X500" s="29">
        <v>45190.659722222219</v>
      </c>
      <c r="Y500" s="30">
        <f t="shared" si="443"/>
        <v>0.16666666666424135</v>
      </c>
      <c r="Z500" s="29">
        <v>45190.5</v>
      </c>
      <c r="AA500" s="29">
        <v>45190.652777777781</v>
      </c>
      <c r="AB500" s="30">
        <f t="shared" si="444"/>
        <v>0.15277777778101154</v>
      </c>
    </row>
    <row r="501" spans="1:28" x14ac:dyDescent="0.25">
      <c r="A501" s="12">
        <v>45170</v>
      </c>
      <c r="B501" s="13" t="s">
        <v>1008</v>
      </c>
      <c r="C501" s="20">
        <v>45189</v>
      </c>
      <c r="D501" s="13">
        <v>7556097</v>
      </c>
      <c r="E501" s="13" t="s">
        <v>859</v>
      </c>
      <c r="F501" s="13" t="s">
        <v>289</v>
      </c>
      <c r="G501" s="13" t="s">
        <v>192</v>
      </c>
      <c r="H501" s="17">
        <v>5212252</v>
      </c>
      <c r="I501" s="17" t="s">
        <v>23</v>
      </c>
      <c r="J501" s="13" t="s">
        <v>923</v>
      </c>
      <c r="K501" s="13">
        <v>25</v>
      </c>
      <c r="L501" s="13">
        <v>50</v>
      </c>
      <c r="M501" s="13">
        <f t="shared" si="445"/>
        <v>1250</v>
      </c>
      <c r="N501" s="20">
        <v>45190</v>
      </c>
      <c r="O501" s="13" t="s">
        <v>399</v>
      </c>
      <c r="P501" s="13" t="s">
        <v>144</v>
      </c>
      <c r="Q501" s="13" t="s">
        <v>30</v>
      </c>
      <c r="R501" s="13" t="s">
        <v>1007</v>
      </c>
      <c r="S501" s="31">
        <v>291649978322</v>
      </c>
      <c r="T501" s="20">
        <v>45190</v>
      </c>
      <c r="U501" s="123"/>
      <c r="V501" s="13">
        <v>466</v>
      </c>
      <c r="W501" s="29">
        <v>45190.493055555555</v>
      </c>
      <c r="X501" s="29">
        <v>45190.659722222219</v>
      </c>
      <c r="Y501" s="30">
        <f t="shared" si="443"/>
        <v>0.16666666666424135</v>
      </c>
      <c r="Z501" s="29">
        <v>45190.5</v>
      </c>
      <c r="AA501" s="29">
        <v>45190.652777777781</v>
      </c>
      <c r="AB501" s="30">
        <f t="shared" si="444"/>
        <v>0.15277777778101154</v>
      </c>
    </row>
    <row r="502" spans="1:28" x14ac:dyDescent="0.25">
      <c r="A502" s="12">
        <v>45170</v>
      </c>
      <c r="B502" s="13" t="s">
        <v>1008</v>
      </c>
      <c r="C502" s="20">
        <v>45189</v>
      </c>
      <c r="D502" s="13">
        <v>7447959</v>
      </c>
      <c r="E502" s="13" t="s">
        <v>859</v>
      </c>
      <c r="F502" s="13" t="s">
        <v>289</v>
      </c>
      <c r="G502" s="13" t="s">
        <v>192</v>
      </c>
      <c r="H502" s="17">
        <v>5212252</v>
      </c>
      <c r="I502" s="17" t="s">
        <v>23</v>
      </c>
      <c r="J502" s="13" t="s">
        <v>778</v>
      </c>
      <c r="K502" s="13">
        <v>25</v>
      </c>
      <c r="L502" s="13">
        <v>30</v>
      </c>
      <c r="M502" s="13">
        <f t="shared" ref="M502" si="446">+L502*K502</f>
        <v>750</v>
      </c>
      <c r="N502" s="20">
        <v>45190</v>
      </c>
      <c r="O502" s="13" t="s">
        <v>399</v>
      </c>
      <c r="P502" s="13" t="s">
        <v>144</v>
      </c>
      <c r="Q502" s="13" t="s">
        <v>30</v>
      </c>
      <c r="R502" s="13" t="s">
        <v>1007</v>
      </c>
      <c r="S502" s="31">
        <v>291649978322</v>
      </c>
      <c r="T502" s="20">
        <v>45190</v>
      </c>
      <c r="U502" s="123"/>
      <c r="V502" s="13">
        <v>466</v>
      </c>
      <c r="W502" s="29">
        <v>45190.493055555555</v>
      </c>
      <c r="X502" s="29">
        <v>45190.659722222219</v>
      </c>
      <c r="Y502" s="30">
        <f t="shared" si="443"/>
        <v>0.16666666666424135</v>
      </c>
      <c r="Z502" s="29">
        <v>45190.5</v>
      </c>
      <c r="AA502" s="29">
        <v>45190.652777777781</v>
      </c>
      <c r="AB502" s="30">
        <f t="shared" si="444"/>
        <v>0.15277777778101154</v>
      </c>
    </row>
    <row r="503" spans="1:28" x14ac:dyDescent="0.25">
      <c r="A503" s="12">
        <v>45170</v>
      </c>
      <c r="B503" s="13" t="s">
        <v>1008</v>
      </c>
      <c r="C503" s="20">
        <v>45189</v>
      </c>
      <c r="D503" s="13">
        <v>5851097</v>
      </c>
      <c r="E503" s="13" t="s">
        <v>859</v>
      </c>
      <c r="F503" s="13" t="s">
        <v>289</v>
      </c>
      <c r="G503" s="13" t="s">
        <v>192</v>
      </c>
      <c r="H503" s="17">
        <v>5211014</v>
      </c>
      <c r="I503" s="17" t="s">
        <v>38</v>
      </c>
      <c r="J503" s="13" t="s">
        <v>94</v>
      </c>
      <c r="K503" s="13">
        <v>25</v>
      </c>
      <c r="L503" s="13">
        <v>45</v>
      </c>
      <c r="M503" s="13">
        <f t="shared" ref="M503:M508" si="447">+L503*K503</f>
        <v>1125</v>
      </c>
      <c r="N503" s="20">
        <v>45190</v>
      </c>
      <c r="O503" s="13" t="s">
        <v>399</v>
      </c>
      <c r="P503" s="13" t="s">
        <v>144</v>
      </c>
      <c r="Q503" s="13" t="s">
        <v>30</v>
      </c>
      <c r="R503" s="13" t="s">
        <v>1007</v>
      </c>
      <c r="S503" s="31">
        <v>291649978322</v>
      </c>
      <c r="T503" s="20">
        <v>45190</v>
      </c>
      <c r="U503" s="123"/>
      <c r="V503" s="13">
        <v>466</v>
      </c>
      <c r="W503" s="29">
        <v>45190.493055555555</v>
      </c>
      <c r="X503" s="29">
        <v>45190.659722222219</v>
      </c>
      <c r="Y503" s="30">
        <f t="shared" si="443"/>
        <v>0.16666666666424135</v>
      </c>
      <c r="Z503" s="29">
        <v>45190.5</v>
      </c>
      <c r="AA503" s="29">
        <v>45190.652777777781</v>
      </c>
      <c r="AB503" s="30">
        <f t="shared" si="444"/>
        <v>0.15277777778101154</v>
      </c>
    </row>
    <row r="504" spans="1:28" x14ac:dyDescent="0.25">
      <c r="A504" s="12">
        <v>45170</v>
      </c>
      <c r="B504" s="13" t="s">
        <v>1008</v>
      </c>
      <c r="C504" s="20">
        <v>45189</v>
      </c>
      <c r="D504" s="13">
        <v>5851097</v>
      </c>
      <c r="E504" s="13" t="s">
        <v>859</v>
      </c>
      <c r="F504" s="13" t="s">
        <v>289</v>
      </c>
      <c r="G504" s="13" t="s">
        <v>192</v>
      </c>
      <c r="H504" s="17">
        <v>5211014</v>
      </c>
      <c r="I504" s="17" t="s">
        <v>38</v>
      </c>
      <c r="J504" s="13" t="s">
        <v>95</v>
      </c>
      <c r="K504" s="13">
        <v>25</v>
      </c>
      <c r="L504" s="13">
        <v>35</v>
      </c>
      <c r="M504" s="13">
        <f t="shared" ref="M504" si="448">+L504*K504</f>
        <v>875</v>
      </c>
      <c r="N504" s="20">
        <v>45190</v>
      </c>
      <c r="O504" s="13" t="s">
        <v>399</v>
      </c>
      <c r="P504" s="13" t="s">
        <v>144</v>
      </c>
      <c r="Q504" s="13" t="s">
        <v>30</v>
      </c>
      <c r="R504" s="13" t="s">
        <v>1007</v>
      </c>
      <c r="S504" s="31">
        <v>291649978322</v>
      </c>
      <c r="T504" s="20">
        <v>45190</v>
      </c>
      <c r="U504" s="123"/>
      <c r="V504" s="13">
        <v>466</v>
      </c>
      <c r="W504" s="29">
        <v>45190.493055555555</v>
      </c>
      <c r="X504" s="29">
        <v>45190.659722222219</v>
      </c>
      <c r="Y504" s="30">
        <f t="shared" si="443"/>
        <v>0.16666666666424135</v>
      </c>
      <c r="Z504" s="29">
        <v>45190.5</v>
      </c>
      <c r="AA504" s="29">
        <v>45190.652777777781</v>
      </c>
      <c r="AB504" s="30">
        <f t="shared" si="444"/>
        <v>0.15277777778101154</v>
      </c>
    </row>
    <row r="505" spans="1:28" x14ac:dyDescent="0.25">
      <c r="A505" s="12">
        <v>45170</v>
      </c>
      <c r="B505" s="13" t="s">
        <v>1008</v>
      </c>
      <c r="C505" s="20">
        <v>45189</v>
      </c>
      <c r="D505" s="13">
        <v>6025360</v>
      </c>
      <c r="E505" s="13" t="s">
        <v>859</v>
      </c>
      <c r="F505" s="13" t="s">
        <v>289</v>
      </c>
      <c r="G505" s="13" t="s">
        <v>192</v>
      </c>
      <c r="H505" s="17">
        <v>5212259</v>
      </c>
      <c r="I505" s="17" t="s">
        <v>26</v>
      </c>
      <c r="J505" s="13" t="s">
        <v>208</v>
      </c>
      <c r="K505" s="13">
        <v>25</v>
      </c>
      <c r="L505" s="13">
        <v>240</v>
      </c>
      <c r="M505" s="13">
        <f t="shared" si="447"/>
        <v>6000</v>
      </c>
      <c r="N505" s="20">
        <v>45190</v>
      </c>
      <c r="O505" s="13" t="s">
        <v>399</v>
      </c>
      <c r="P505" s="13" t="s">
        <v>144</v>
      </c>
      <c r="Q505" s="13" t="s">
        <v>30</v>
      </c>
      <c r="R505" s="13" t="s">
        <v>1007</v>
      </c>
      <c r="S505" s="31">
        <v>291649978322</v>
      </c>
      <c r="T505" s="20">
        <v>45190</v>
      </c>
      <c r="U505" s="123"/>
      <c r="V505" s="13">
        <v>466</v>
      </c>
      <c r="W505" s="29">
        <v>45190.493055555555</v>
      </c>
      <c r="X505" s="29">
        <v>45190.659722222219</v>
      </c>
      <c r="Y505" s="30">
        <f t="shared" si="443"/>
        <v>0.16666666666424135</v>
      </c>
      <c r="Z505" s="29">
        <v>45190.5</v>
      </c>
      <c r="AA505" s="29">
        <v>45190.652777777781</v>
      </c>
      <c r="AB505" s="30">
        <f t="shared" si="444"/>
        <v>0.15277777778101154</v>
      </c>
    </row>
    <row r="506" spans="1:28" x14ac:dyDescent="0.25">
      <c r="A506" s="12">
        <v>45170</v>
      </c>
      <c r="B506" s="13" t="s">
        <v>1014</v>
      </c>
      <c r="C506" s="20">
        <v>45190</v>
      </c>
      <c r="D506" s="13">
        <v>7722164</v>
      </c>
      <c r="E506" s="13" t="s">
        <v>175</v>
      </c>
      <c r="F506" s="13" t="s">
        <v>135</v>
      </c>
      <c r="G506" s="13" t="s">
        <v>132</v>
      </c>
      <c r="H506" s="17">
        <v>5230087</v>
      </c>
      <c r="I506" s="17" t="s">
        <v>1011</v>
      </c>
      <c r="J506" s="14" t="s">
        <v>1013</v>
      </c>
      <c r="K506" s="13">
        <v>250</v>
      </c>
      <c r="L506" s="13">
        <v>60</v>
      </c>
      <c r="M506" s="13">
        <f t="shared" si="447"/>
        <v>15000</v>
      </c>
      <c r="N506" s="20">
        <v>45190</v>
      </c>
      <c r="O506" s="13" t="s">
        <v>425</v>
      </c>
      <c r="P506" s="13" t="s">
        <v>144</v>
      </c>
      <c r="Q506" s="13" t="s">
        <v>30</v>
      </c>
      <c r="R506" s="13" t="s">
        <v>1015</v>
      </c>
      <c r="S506" s="31">
        <v>241650111218</v>
      </c>
      <c r="T506" s="20">
        <v>45190</v>
      </c>
      <c r="U506" s="123"/>
      <c r="V506" s="13">
        <v>467</v>
      </c>
      <c r="W506" s="29">
        <v>45190.625</v>
      </c>
      <c r="X506" s="29">
        <v>45190.739583333336</v>
      </c>
      <c r="Y506" s="30">
        <f t="shared" si="443"/>
        <v>0.11458333333575865</v>
      </c>
      <c r="Z506" s="29">
        <v>45190.666666666664</v>
      </c>
      <c r="AA506" s="29">
        <v>45190.732638888891</v>
      </c>
      <c r="AB506" s="30">
        <f t="shared" si="444"/>
        <v>6.5972222226264421E-2</v>
      </c>
    </row>
    <row r="507" spans="1:28" x14ac:dyDescent="0.25">
      <c r="A507" s="12">
        <v>45170</v>
      </c>
      <c r="B507" s="13" t="s">
        <v>1016</v>
      </c>
      <c r="C507" s="20">
        <v>45190</v>
      </c>
      <c r="D507" s="13">
        <v>6087743</v>
      </c>
      <c r="E507" s="13" t="s">
        <v>897</v>
      </c>
      <c r="F507" s="13" t="s">
        <v>1017</v>
      </c>
      <c r="G507" s="13" t="s">
        <v>132</v>
      </c>
      <c r="H507" s="17">
        <v>5309040</v>
      </c>
      <c r="I507" s="17" t="s">
        <v>105</v>
      </c>
      <c r="J507" s="13" t="s">
        <v>107</v>
      </c>
      <c r="K507" s="13">
        <v>250</v>
      </c>
      <c r="L507" s="13">
        <v>32</v>
      </c>
      <c r="M507" s="13">
        <f t="shared" si="447"/>
        <v>8000</v>
      </c>
      <c r="N507" s="20">
        <v>45190</v>
      </c>
      <c r="O507" s="13" t="s">
        <v>177</v>
      </c>
      <c r="P507" s="13" t="s">
        <v>144</v>
      </c>
      <c r="Q507" s="13" t="s">
        <v>30</v>
      </c>
      <c r="R507" s="13" t="s">
        <v>898</v>
      </c>
      <c r="S507" s="31">
        <v>211650152614</v>
      </c>
      <c r="T507" s="20">
        <v>45190</v>
      </c>
      <c r="U507" s="123"/>
      <c r="V507" s="13">
        <v>468</v>
      </c>
      <c r="W507" s="29">
        <v>45190.645833333336</v>
      </c>
      <c r="X507" s="29">
        <v>45190.774305555555</v>
      </c>
      <c r="Y507" s="30">
        <f t="shared" si="443"/>
        <v>0.12847222221898846</v>
      </c>
      <c r="Z507" s="29">
        <v>45190.753472222219</v>
      </c>
      <c r="AA507" s="29">
        <v>45190.767361111109</v>
      </c>
      <c r="AB507" s="30">
        <f t="shared" si="444"/>
        <v>1.3888888890505768E-2</v>
      </c>
    </row>
    <row r="508" spans="1:28" x14ac:dyDescent="0.25">
      <c r="A508" s="12">
        <v>45170</v>
      </c>
      <c r="B508" s="13" t="s">
        <v>1018</v>
      </c>
      <c r="C508" s="20">
        <v>45190</v>
      </c>
      <c r="D508" s="13">
        <v>5512760</v>
      </c>
      <c r="E508" s="13" t="s">
        <v>191</v>
      </c>
      <c r="F508" s="13" t="s">
        <v>135</v>
      </c>
      <c r="G508" s="13" t="s">
        <v>192</v>
      </c>
      <c r="H508" s="17">
        <v>5212256</v>
      </c>
      <c r="I508" s="17" t="s">
        <v>22</v>
      </c>
      <c r="J508" s="13" t="s">
        <v>74</v>
      </c>
      <c r="K508" s="13">
        <v>25</v>
      </c>
      <c r="L508" s="13">
        <v>41</v>
      </c>
      <c r="M508" s="13">
        <f t="shared" si="447"/>
        <v>1025</v>
      </c>
      <c r="N508" s="20">
        <v>45190</v>
      </c>
      <c r="O508" s="13" t="s">
        <v>739</v>
      </c>
      <c r="P508" s="13" t="s">
        <v>144</v>
      </c>
      <c r="Q508" s="13" t="s">
        <v>30</v>
      </c>
      <c r="R508" s="13" t="s">
        <v>808</v>
      </c>
      <c r="S508" s="31">
        <v>291650173817</v>
      </c>
      <c r="T508" s="20">
        <v>45190</v>
      </c>
      <c r="U508" s="123"/>
      <c r="V508" s="13">
        <v>469</v>
      </c>
      <c r="W508" s="29">
        <v>45190.5</v>
      </c>
      <c r="X508" s="29">
        <v>45190.819444444445</v>
      </c>
      <c r="Y508" s="30">
        <f t="shared" si="443"/>
        <v>0.31944444444525288</v>
      </c>
      <c r="Z508" s="29">
        <v>45190.756944444445</v>
      </c>
      <c r="AA508" s="29">
        <v>45190.8125</v>
      </c>
      <c r="AB508" s="30">
        <f t="shared" si="444"/>
        <v>5.5555555554747116E-2</v>
      </c>
    </row>
    <row r="509" spans="1:28" x14ac:dyDescent="0.25">
      <c r="A509" s="12">
        <v>45170</v>
      </c>
      <c r="B509" s="13" t="s">
        <v>1018</v>
      </c>
      <c r="C509" s="20">
        <v>45190</v>
      </c>
      <c r="D509" s="13">
        <v>5512760</v>
      </c>
      <c r="E509" s="13" t="s">
        <v>191</v>
      </c>
      <c r="F509" s="13" t="s">
        <v>135</v>
      </c>
      <c r="G509" s="13" t="s">
        <v>192</v>
      </c>
      <c r="H509" s="17">
        <v>5212256</v>
      </c>
      <c r="I509" s="17" t="s">
        <v>22</v>
      </c>
      <c r="J509" s="13" t="s">
        <v>75</v>
      </c>
      <c r="K509" s="13">
        <v>25</v>
      </c>
      <c r="L509" s="13">
        <v>359</v>
      </c>
      <c r="M509" s="13">
        <f t="shared" ref="M509" si="449">+L509*K509</f>
        <v>8975</v>
      </c>
      <c r="N509" s="20">
        <v>45190</v>
      </c>
      <c r="O509" s="13" t="s">
        <v>739</v>
      </c>
      <c r="P509" s="13" t="s">
        <v>144</v>
      </c>
      <c r="Q509" s="13" t="s">
        <v>30</v>
      </c>
      <c r="R509" s="13" t="s">
        <v>808</v>
      </c>
      <c r="S509" s="31">
        <v>291650173817</v>
      </c>
      <c r="T509" s="20">
        <v>45190</v>
      </c>
      <c r="U509" s="123"/>
      <c r="V509" s="13">
        <v>469</v>
      </c>
      <c r="W509" s="29">
        <v>45190.5</v>
      </c>
      <c r="X509" s="29">
        <v>45190.819444444445</v>
      </c>
      <c r="Y509" s="30">
        <f t="shared" ref="Y509" si="450">+X509-W509</f>
        <v>0.31944444444525288</v>
      </c>
      <c r="Z509" s="29">
        <v>45190.756944444445</v>
      </c>
      <c r="AA509" s="29">
        <v>45190.8125</v>
      </c>
      <c r="AB509" s="30">
        <f t="shared" ref="AB509" si="451">+AA509-Z509</f>
        <v>5.5555555554747116E-2</v>
      </c>
    </row>
    <row r="510" spans="1:28" x14ac:dyDescent="0.25">
      <c r="A510" s="12">
        <v>45170</v>
      </c>
      <c r="B510" s="13" t="s">
        <v>1018</v>
      </c>
      <c r="C510" s="20">
        <v>45190</v>
      </c>
      <c r="D510" s="13">
        <v>6025360</v>
      </c>
      <c r="E510" s="13" t="s">
        <v>191</v>
      </c>
      <c r="F510" s="13" t="s">
        <v>135</v>
      </c>
      <c r="G510" s="13" t="s">
        <v>192</v>
      </c>
      <c r="H510" s="17">
        <v>5212259</v>
      </c>
      <c r="I510" s="17" t="s">
        <v>26</v>
      </c>
      <c r="J510" s="13" t="s">
        <v>208</v>
      </c>
      <c r="K510" s="13">
        <v>25</v>
      </c>
      <c r="L510" s="13">
        <v>80</v>
      </c>
      <c r="M510" s="13">
        <f t="shared" ref="M510:M513" si="452">+L510*K510</f>
        <v>2000</v>
      </c>
      <c r="N510" s="20">
        <v>45190</v>
      </c>
      <c r="O510" s="13" t="s">
        <v>739</v>
      </c>
      <c r="P510" s="13" t="s">
        <v>144</v>
      </c>
      <c r="Q510" s="13" t="s">
        <v>30</v>
      </c>
      <c r="R510" s="13" t="s">
        <v>808</v>
      </c>
      <c r="S510" s="31">
        <v>291650173817</v>
      </c>
      <c r="T510" s="20">
        <v>45190</v>
      </c>
      <c r="U510" s="123"/>
      <c r="V510" s="13">
        <v>469</v>
      </c>
      <c r="W510" s="29">
        <v>45190.5</v>
      </c>
      <c r="X510" s="29">
        <v>45190.819444444445</v>
      </c>
      <c r="Y510" s="30">
        <f t="shared" ref="Y510:Y513" si="453">+X510-W510</f>
        <v>0.31944444444525288</v>
      </c>
      <c r="Z510" s="29">
        <v>45190.756944444445</v>
      </c>
      <c r="AA510" s="29">
        <v>45190.8125</v>
      </c>
      <c r="AB510" s="30">
        <f t="shared" ref="AB510:AB513" si="454">+AA510-Z510</f>
        <v>5.5555555554747116E-2</v>
      </c>
    </row>
    <row r="511" spans="1:28" x14ac:dyDescent="0.25">
      <c r="A511" s="12">
        <v>45170</v>
      </c>
      <c r="B511" s="13" t="s">
        <v>1018</v>
      </c>
      <c r="C511" s="20">
        <v>45190</v>
      </c>
      <c r="D511" s="13">
        <v>6335482</v>
      </c>
      <c r="E511" s="13" t="s">
        <v>191</v>
      </c>
      <c r="F511" s="13" t="s">
        <v>135</v>
      </c>
      <c r="G511" s="13" t="s">
        <v>192</v>
      </c>
      <c r="H511" s="17">
        <v>5212259</v>
      </c>
      <c r="I511" s="17" t="s">
        <v>26</v>
      </c>
      <c r="J511" s="13" t="s">
        <v>445</v>
      </c>
      <c r="K511" s="13">
        <v>25</v>
      </c>
      <c r="L511" s="13">
        <v>9</v>
      </c>
      <c r="M511" s="13">
        <f t="shared" ref="M511" si="455">+L511*K511</f>
        <v>225</v>
      </c>
      <c r="N511" s="20">
        <v>45190</v>
      </c>
      <c r="O511" s="13" t="s">
        <v>739</v>
      </c>
      <c r="P511" s="13" t="s">
        <v>144</v>
      </c>
      <c r="Q511" s="13" t="s">
        <v>30</v>
      </c>
      <c r="R511" s="13" t="s">
        <v>808</v>
      </c>
      <c r="S511" s="31">
        <v>291650173817</v>
      </c>
      <c r="T511" s="20">
        <v>45190</v>
      </c>
      <c r="U511" s="123"/>
      <c r="V511" s="13">
        <v>469</v>
      </c>
      <c r="W511" s="29">
        <v>45190.5</v>
      </c>
      <c r="X511" s="29">
        <v>45190.819444444445</v>
      </c>
      <c r="Y511" s="30">
        <f t="shared" ref="Y511" si="456">+X511-W511</f>
        <v>0.31944444444525288</v>
      </c>
      <c r="Z511" s="29">
        <v>45190.756944444445</v>
      </c>
      <c r="AA511" s="29">
        <v>45190.8125</v>
      </c>
      <c r="AB511" s="30">
        <f t="shared" ref="AB511" si="457">+AA511-Z511</f>
        <v>5.5555555554747116E-2</v>
      </c>
    </row>
    <row r="512" spans="1:28" x14ac:dyDescent="0.25">
      <c r="A512" s="12">
        <v>45170</v>
      </c>
      <c r="B512" s="13" t="s">
        <v>1018</v>
      </c>
      <c r="C512" s="20">
        <v>45190</v>
      </c>
      <c r="D512" s="13">
        <v>5851097</v>
      </c>
      <c r="E512" s="13" t="s">
        <v>191</v>
      </c>
      <c r="F512" s="13" t="s">
        <v>135</v>
      </c>
      <c r="G512" s="13" t="s">
        <v>192</v>
      </c>
      <c r="H512" s="17">
        <v>5211003</v>
      </c>
      <c r="I512" s="17" t="s">
        <v>31</v>
      </c>
      <c r="J512" s="13" t="s">
        <v>97</v>
      </c>
      <c r="K512" s="13">
        <v>25</v>
      </c>
      <c r="L512" s="13">
        <v>40</v>
      </c>
      <c r="M512" s="13">
        <f t="shared" si="452"/>
        <v>1000</v>
      </c>
      <c r="N512" s="20">
        <v>45190</v>
      </c>
      <c r="O512" s="13" t="s">
        <v>739</v>
      </c>
      <c r="P512" s="13" t="s">
        <v>144</v>
      </c>
      <c r="Q512" s="13" t="s">
        <v>30</v>
      </c>
      <c r="R512" s="13" t="s">
        <v>808</v>
      </c>
      <c r="S512" s="31">
        <v>291650173817</v>
      </c>
      <c r="T512" s="20">
        <v>45190</v>
      </c>
      <c r="U512" s="123"/>
      <c r="V512" s="13">
        <v>469</v>
      </c>
      <c r="W512" s="29">
        <v>45190.5</v>
      </c>
      <c r="X512" s="29">
        <v>45190.819444444445</v>
      </c>
      <c r="Y512" s="30">
        <f t="shared" si="453"/>
        <v>0.31944444444525288</v>
      </c>
      <c r="Z512" s="29">
        <v>45190.756944444445</v>
      </c>
      <c r="AA512" s="29">
        <v>45190.8125</v>
      </c>
      <c r="AB512" s="30">
        <f t="shared" si="454"/>
        <v>5.5555555554747116E-2</v>
      </c>
    </row>
    <row r="513" spans="1:28" x14ac:dyDescent="0.25">
      <c r="A513" s="12">
        <v>45170</v>
      </c>
      <c r="B513" s="13" t="s">
        <v>1019</v>
      </c>
      <c r="C513" s="20">
        <v>45190</v>
      </c>
      <c r="D513" s="13">
        <v>6025360</v>
      </c>
      <c r="E513" s="13" t="s">
        <v>191</v>
      </c>
      <c r="F513" s="13" t="s">
        <v>135</v>
      </c>
      <c r="G513" s="13" t="s">
        <v>192</v>
      </c>
      <c r="H513" s="17">
        <v>5212259</v>
      </c>
      <c r="I513" s="17" t="s">
        <v>26</v>
      </c>
      <c r="J513" s="13" t="s">
        <v>208</v>
      </c>
      <c r="K513" s="13">
        <v>25</v>
      </c>
      <c r="L513" s="13">
        <v>136</v>
      </c>
      <c r="M513" s="13">
        <f t="shared" si="452"/>
        <v>3400</v>
      </c>
      <c r="N513" s="20">
        <v>45190</v>
      </c>
      <c r="O513" s="13" t="s">
        <v>399</v>
      </c>
      <c r="P513" s="13" t="s">
        <v>144</v>
      </c>
      <c r="Q513" s="13" t="s">
        <v>30</v>
      </c>
      <c r="R513" s="13" t="s">
        <v>1020</v>
      </c>
      <c r="S513" s="31">
        <v>241650193287</v>
      </c>
      <c r="T513" s="20">
        <v>45190</v>
      </c>
      <c r="U513" s="123"/>
      <c r="V513" s="13">
        <v>470</v>
      </c>
      <c r="W513" s="29">
        <v>45190.416666666664</v>
      </c>
      <c r="X513" s="29">
        <v>45190.895833333336</v>
      </c>
      <c r="Y513" s="30">
        <f t="shared" si="453"/>
        <v>0.47916666667151731</v>
      </c>
      <c r="Z513" s="29">
        <v>45190.770833333336</v>
      </c>
      <c r="AA513" s="29">
        <v>45190.888888888891</v>
      </c>
      <c r="AB513" s="30">
        <f t="shared" si="454"/>
        <v>0.11805555555474712</v>
      </c>
    </row>
    <row r="514" spans="1:28" x14ac:dyDescent="0.25">
      <c r="A514" s="12">
        <v>45170</v>
      </c>
      <c r="B514" s="13" t="s">
        <v>1019</v>
      </c>
      <c r="C514" s="20">
        <v>45190</v>
      </c>
      <c r="D514" s="13">
        <v>6025360</v>
      </c>
      <c r="E514" s="13" t="s">
        <v>191</v>
      </c>
      <c r="F514" s="13" t="s">
        <v>135</v>
      </c>
      <c r="G514" s="13" t="s">
        <v>192</v>
      </c>
      <c r="H514" s="17">
        <v>5212259</v>
      </c>
      <c r="I514" s="17" t="s">
        <v>26</v>
      </c>
      <c r="J514" s="13" t="s">
        <v>211</v>
      </c>
      <c r="K514" s="13">
        <v>25</v>
      </c>
      <c r="L514" s="13">
        <v>1064</v>
      </c>
      <c r="M514" s="13">
        <f t="shared" ref="M514:M519" si="458">+L514*K514</f>
        <v>26600</v>
      </c>
      <c r="N514" s="20">
        <v>45190</v>
      </c>
      <c r="O514" s="13" t="s">
        <v>399</v>
      </c>
      <c r="P514" s="13" t="s">
        <v>144</v>
      </c>
      <c r="Q514" s="13" t="s">
        <v>30</v>
      </c>
      <c r="R514" s="13" t="s">
        <v>1020</v>
      </c>
      <c r="S514" s="31">
        <v>241650193287</v>
      </c>
      <c r="T514" s="20">
        <v>45190</v>
      </c>
      <c r="U514" s="123"/>
      <c r="V514" s="13">
        <v>470</v>
      </c>
      <c r="W514" s="29">
        <v>45190.416666666664</v>
      </c>
      <c r="X514" s="29">
        <v>45190.895833333336</v>
      </c>
      <c r="Y514" s="30">
        <f t="shared" ref="Y514:Y517" si="459">+X514-W514</f>
        <v>0.47916666667151731</v>
      </c>
      <c r="Z514" s="29">
        <v>45190.770833333336</v>
      </c>
      <c r="AA514" s="29">
        <v>45190.888888888891</v>
      </c>
      <c r="AB514" s="30">
        <f t="shared" ref="AB514:AB517" si="460">+AA514-Z514</f>
        <v>0.11805555555474712</v>
      </c>
    </row>
    <row r="515" spans="1:28" x14ac:dyDescent="0.25">
      <c r="A515" s="12">
        <v>45170</v>
      </c>
      <c r="B515" s="13" t="s">
        <v>1028</v>
      </c>
      <c r="C515" s="20">
        <v>45190</v>
      </c>
      <c r="D515" s="13">
        <v>7722164</v>
      </c>
      <c r="E515" s="13" t="s">
        <v>175</v>
      </c>
      <c r="F515" s="13" t="s">
        <v>135</v>
      </c>
      <c r="G515" s="13" t="s">
        <v>132</v>
      </c>
      <c r="H515" s="17">
        <v>5230087</v>
      </c>
      <c r="I515" s="17" t="s">
        <v>1011</v>
      </c>
      <c r="J515" s="14" t="s">
        <v>1010</v>
      </c>
      <c r="K515" s="13">
        <v>250</v>
      </c>
      <c r="L515" s="13">
        <v>6</v>
      </c>
      <c r="M515" s="13">
        <f t="shared" si="458"/>
        <v>1500</v>
      </c>
      <c r="N515" s="20">
        <v>45191</v>
      </c>
      <c r="O515" s="13" t="s">
        <v>298</v>
      </c>
      <c r="P515" s="13" t="s">
        <v>144</v>
      </c>
      <c r="Q515" s="13" t="s">
        <v>30</v>
      </c>
      <c r="R515" s="13" t="s">
        <v>180</v>
      </c>
      <c r="S515" s="31">
        <v>251650396003</v>
      </c>
      <c r="T515" s="20">
        <v>45191</v>
      </c>
      <c r="U515" s="123"/>
      <c r="V515" s="13">
        <v>471</v>
      </c>
      <c r="W515" s="29">
        <v>45191.486111111109</v>
      </c>
      <c r="X515" s="29">
        <v>45191.510416666664</v>
      </c>
      <c r="Y515" s="30">
        <f t="shared" si="459"/>
        <v>2.4305555554747116E-2</v>
      </c>
      <c r="Z515" s="29">
        <v>45191.493055555555</v>
      </c>
      <c r="AA515" s="29">
        <v>45191.503472222219</v>
      </c>
      <c r="AB515" s="30">
        <f t="shared" si="460"/>
        <v>1.0416666664241347E-2</v>
      </c>
    </row>
    <row r="516" spans="1:28" x14ac:dyDescent="0.25">
      <c r="A516" s="12">
        <v>45170</v>
      </c>
      <c r="B516" s="13" t="s">
        <v>1028</v>
      </c>
      <c r="C516" s="20">
        <v>45190</v>
      </c>
      <c r="D516" s="13">
        <v>7722164</v>
      </c>
      <c r="E516" s="13" t="s">
        <v>175</v>
      </c>
      <c r="F516" s="13" t="s">
        <v>135</v>
      </c>
      <c r="G516" s="13" t="s">
        <v>132</v>
      </c>
      <c r="H516" s="17">
        <v>5230087</v>
      </c>
      <c r="I516" s="17" t="s">
        <v>1011</v>
      </c>
      <c r="J516" s="14" t="s">
        <v>1013</v>
      </c>
      <c r="K516" s="13">
        <v>250</v>
      </c>
      <c r="L516" s="13">
        <v>14</v>
      </c>
      <c r="M516" s="13">
        <f t="shared" ref="M516" si="461">+L516*K516</f>
        <v>3500</v>
      </c>
      <c r="N516" s="20">
        <v>45191</v>
      </c>
      <c r="O516" s="13" t="s">
        <v>298</v>
      </c>
      <c r="P516" s="13" t="s">
        <v>144</v>
      </c>
      <c r="Q516" s="13" t="s">
        <v>30</v>
      </c>
      <c r="R516" s="13" t="s">
        <v>180</v>
      </c>
      <c r="S516" s="31">
        <v>251650396003</v>
      </c>
      <c r="T516" s="20">
        <v>45191</v>
      </c>
      <c r="U516" s="123"/>
      <c r="V516" s="13">
        <v>471</v>
      </c>
      <c r="W516" s="29">
        <v>45191.486111111109</v>
      </c>
      <c r="X516" s="29">
        <v>45191.510416666664</v>
      </c>
      <c r="Y516" s="30">
        <f t="shared" ref="Y516" si="462">+X516-W516</f>
        <v>2.4305555554747116E-2</v>
      </c>
      <c r="Z516" s="29">
        <v>45191.493055555555</v>
      </c>
      <c r="AA516" s="29">
        <v>45191.503472222219</v>
      </c>
      <c r="AB516" s="30">
        <f t="shared" ref="AB516" si="463">+AA516-Z516</f>
        <v>1.0416666664241347E-2</v>
      </c>
    </row>
    <row r="517" spans="1:28" x14ac:dyDescent="0.25">
      <c r="A517" s="12">
        <v>45170</v>
      </c>
      <c r="B517" s="13" t="s">
        <v>1024</v>
      </c>
      <c r="C517" s="20">
        <v>45191</v>
      </c>
      <c r="D517" s="13">
        <v>5152530</v>
      </c>
      <c r="E517" s="13" t="s">
        <v>1025</v>
      </c>
      <c r="F517" s="13" t="s">
        <v>135</v>
      </c>
      <c r="G517" s="13" t="s">
        <v>132</v>
      </c>
      <c r="H517" s="17">
        <v>5215193</v>
      </c>
      <c r="I517" s="17" t="s">
        <v>66</v>
      </c>
      <c r="J517" s="14" t="s">
        <v>67</v>
      </c>
      <c r="K517" s="13">
        <v>220</v>
      </c>
      <c r="L517" s="13">
        <v>16</v>
      </c>
      <c r="M517" s="13">
        <f t="shared" si="458"/>
        <v>3520</v>
      </c>
      <c r="N517" s="20">
        <v>45191</v>
      </c>
      <c r="O517" s="13" t="s">
        <v>177</v>
      </c>
      <c r="P517" s="13" t="s">
        <v>144</v>
      </c>
      <c r="Q517" s="13" t="s">
        <v>30</v>
      </c>
      <c r="R517" s="13" t="s">
        <v>1026</v>
      </c>
      <c r="S517" s="31">
        <v>261650531805</v>
      </c>
      <c r="T517" s="20">
        <v>45191</v>
      </c>
      <c r="U517" s="123"/>
      <c r="V517" s="13">
        <v>472</v>
      </c>
      <c r="W517" s="29">
        <v>45191.607638888891</v>
      </c>
      <c r="X517" s="29">
        <v>45191.649305555555</v>
      </c>
      <c r="Y517" s="30">
        <f t="shared" si="459"/>
        <v>4.1666666664241347E-2</v>
      </c>
      <c r="Z517" s="29">
        <v>45191.614583333336</v>
      </c>
      <c r="AA517" s="29">
        <v>45191.642361111109</v>
      </c>
      <c r="AB517" s="30">
        <f t="shared" si="460"/>
        <v>2.7777777773735579E-2</v>
      </c>
    </row>
    <row r="518" spans="1:28" x14ac:dyDescent="0.25">
      <c r="A518" s="12">
        <v>45170</v>
      </c>
      <c r="B518" s="13" t="s">
        <v>1024</v>
      </c>
      <c r="C518" s="20">
        <v>45191</v>
      </c>
      <c r="D518" s="13">
        <v>5152530</v>
      </c>
      <c r="E518" s="13" t="s">
        <v>1025</v>
      </c>
      <c r="F518" s="13" t="s">
        <v>135</v>
      </c>
      <c r="G518" s="13" t="s">
        <v>132</v>
      </c>
      <c r="H518" s="17">
        <v>5215193</v>
      </c>
      <c r="I518" s="17" t="s">
        <v>66</v>
      </c>
      <c r="J518" s="14" t="s">
        <v>68</v>
      </c>
      <c r="K518" s="13">
        <v>220</v>
      </c>
      <c r="L518" s="13">
        <v>24</v>
      </c>
      <c r="M518" s="13">
        <f t="shared" si="458"/>
        <v>5280</v>
      </c>
      <c r="N518" s="20">
        <v>45191</v>
      </c>
      <c r="O518" s="13" t="s">
        <v>177</v>
      </c>
      <c r="P518" s="13" t="s">
        <v>144</v>
      </c>
      <c r="Q518" s="13" t="s">
        <v>30</v>
      </c>
      <c r="R518" s="13" t="s">
        <v>1026</v>
      </c>
      <c r="S518" s="31">
        <v>261650531805</v>
      </c>
      <c r="T518" s="20">
        <v>45191</v>
      </c>
      <c r="U518" s="123"/>
      <c r="V518" s="13">
        <v>472</v>
      </c>
      <c r="W518" s="29">
        <v>45191.607638888891</v>
      </c>
      <c r="X518" s="29">
        <v>45191.649305555555</v>
      </c>
      <c r="Y518" s="30">
        <f t="shared" ref="Y518:Y519" si="464">+X518-W518</f>
        <v>4.1666666664241347E-2</v>
      </c>
      <c r="Z518" s="29">
        <v>45191.614583333336</v>
      </c>
      <c r="AA518" s="29">
        <v>45191.642361111109</v>
      </c>
      <c r="AB518" s="30">
        <f t="shared" ref="AB518:AB519" si="465">+AA518-Z518</f>
        <v>2.7777777773735579E-2</v>
      </c>
    </row>
    <row r="519" spans="1:28" x14ac:dyDescent="0.25">
      <c r="A519" s="12">
        <v>45170</v>
      </c>
      <c r="B519" s="13" t="s">
        <v>1027</v>
      </c>
      <c r="C519" s="20">
        <v>45191</v>
      </c>
      <c r="D519" s="13">
        <v>6087743</v>
      </c>
      <c r="E519" s="13" t="s">
        <v>651</v>
      </c>
      <c r="F519" s="13" t="s">
        <v>215</v>
      </c>
      <c r="G519" s="13" t="s">
        <v>132</v>
      </c>
      <c r="H519" s="17">
        <v>5309040</v>
      </c>
      <c r="I519" s="17" t="s">
        <v>105</v>
      </c>
      <c r="J519" s="13" t="s">
        <v>106</v>
      </c>
      <c r="K519" s="13">
        <v>250</v>
      </c>
      <c r="L519" s="13">
        <v>12</v>
      </c>
      <c r="M519" s="13">
        <f t="shared" si="458"/>
        <v>3000</v>
      </c>
      <c r="N519" s="20">
        <v>45191</v>
      </c>
      <c r="O519" s="13" t="s">
        <v>136</v>
      </c>
      <c r="P519" s="13" t="s">
        <v>134</v>
      </c>
      <c r="Q519" s="123">
        <v>2266</v>
      </c>
      <c r="R519" s="123" t="s">
        <v>1029</v>
      </c>
      <c r="S519" s="31">
        <v>251650691218</v>
      </c>
      <c r="T519" s="20">
        <v>45191</v>
      </c>
      <c r="U519" s="123"/>
      <c r="V519" s="13">
        <v>473</v>
      </c>
      <c r="W519" s="29">
        <v>45191.746527777781</v>
      </c>
      <c r="X519" s="29">
        <v>45191.784722222219</v>
      </c>
      <c r="Y519" s="30">
        <f t="shared" si="464"/>
        <v>3.8194444437976927E-2</v>
      </c>
      <c r="Z519" s="29">
        <v>45191.75</v>
      </c>
      <c r="AA519" s="29">
        <v>45191.777777777781</v>
      </c>
      <c r="AB519" s="30">
        <f t="shared" si="465"/>
        <v>2.7777777781011537E-2</v>
      </c>
    </row>
    <row r="520" spans="1:28" x14ac:dyDescent="0.25">
      <c r="A520" s="12">
        <v>45170</v>
      </c>
      <c r="B520" s="13" t="s">
        <v>1027</v>
      </c>
      <c r="C520" s="20">
        <v>45191</v>
      </c>
      <c r="D520" s="13">
        <v>6087743</v>
      </c>
      <c r="E520" s="13" t="s">
        <v>651</v>
      </c>
      <c r="F520" s="13" t="s">
        <v>215</v>
      </c>
      <c r="G520" s="13" t="s">
        <v>132</v>
      </c>
      <c r="H520" s="17">
        <v>5309040</v>
      </c>
      <c r="I520" s="17" t="s">
        <v>105</v>
      </c>
      <c r="J520" s="13" t="s">
        <v>107</v>
      </c>
      <c r="K520" s="13">
        <v>250</v>
      </c>
      <c r="L520" s="13">
        <v>5</v>
      </c>
      <c r="M520" s="13">
        <f t="shared" ref="M520:M522" si="466">+L520*K520</f>
        <v>1250</v>
      </c>
      <c r="N520" s="20">
        <v>45191</v>
      </c>
      <c r="O520" s="13" t="s">
        <v>136</v>
      </c>
      <c r="P520" s="13" t="s">
        <v>134</v>
      </c>
      <c r="Q520" s="123">
        <v>2266</v>
      </c>
      <c r="R520" s="123" t="s">
        <v>1029</v>
      </c>
      <c r="S520" s="31">
        <v>251650691218</v>
      </c>
      <c r="T520" s="20">
        <v>45191</v>
      </c>
      <c r="U520" s="123"/>
      <c r="V520" s="13">
        <v>473</v>
      </c>
      <c r="W520" s="29">
        <v>45191.746527777781</v>
      </c>
      <c r="X520" s="29">
        <v>45191.784722222219</v>
      </c>
      <c r="Y520" s="30">
        <f t="shared" ref="Y520:Y522" si="467">+X520-W520</f>
        <v>3.8194444437976927E-2</v>
      </c>
      <c r="Z520" s="29">
        <v>45191.75</v>
      </c>
      <c r="AA520" s="29">
        <v>45191.777777777781</v>
      </c>
      <c r="AB520" s="30">
        <f t="shared" ref="AB520:AB522" si="468">+AA520-Z520</f>
        <v>2.7777777781011537E-2</v>
      </c>
    </row>
    <row r="521" spans="1:28" x14ac:dyDescent="0.25">
      <c r="A521" s="12">
        <v>45170</v>
      </c>
      <c r="B521" s="13" t="s">
        <v>1027</v>
      </c>
      <c r="C521" s="20">
        <v>45191</v>
      </c>
      <c r="D521" s="13">
        <v>7197282</v>
      </c>
      <c r="E521" s="13" t="s">
        <v>651</v>
      </c>
      <c r="F521" s="13" t="s">
        <v>215</v>
      </c>
      <c r="G521" s="13" t="s">
        <v>132</v>
      </c>
      <c r="H521" s="17">
        <v>5309040</v>
      </c>
      <c r="I521" s="17" t="s">
        <v>105</v>
      </c>
      <c r="J521" s="13" t="s">
        <v>811</v>
      </c>
      <c r="K521" s="13">
        <v>250</v>
      </c>
      <c r="L521" s="13">
        <v>19</v>
      </c>
      <c r="M521" s="13">
        <f t="shared" si="466"/>
        <v>4750</v>
      </c>
      <c r="N521" s="20">
        <v>45191</v>
      </c>
      <c r="O521" s="13" t="s">
        <v>136</v>
      </c>
      <c r="P521" s="13" t="s">
        <v>134</v>
      </c>
      <c r="Q521" s="123">
        <v>2266</v>
      </c>
      <c r="R521" s="123" t="s">
        <v>1029</v>
      </c>
      <c r="S521" s="31">
        <v>251650691218</v>
      </c>
      <c r="T521" s="20">
        <v>45191</v>
      </c>
      <c r="U521" s="123"/>
      <c r="V521" s="13">
        <v>473</v>
      </c>
      <c r="W521" s="29">
        <v>45191.746527777781</v>
      </c>
      <c r="X521" s="29">
        <v>45191.784722222219</v>
      </c>
      <c r="Y521" s="30">
        <f t="shared" si="467"/>
        <v>3.8194444437976927E-2</v>
      </c>
      <c r="Z521" s="29">
        <v>45191.75</v>
      </c>
      <c r="AA521" s="29">
        <v>45191.777777777781</v>
      </c>
      <c r="AB521" s="30">
        <f t="shared" si="468"/>
        <v>2.7777777781011537E-2</v>
      </c>
    </row>
    <row r="522" spans="1:28" x14ac:dyDescent="0.25">
      <c r="A522" s="12">
        <v>45170</v>
      </c>
      <c r="B522" s="13" t="s">
        <v>1030</v>
      </c>
      <c r="C522" s="20">
        <v>45191</v>
      </c>
      <c r="D522" s="13">
        <v>7447959</v>
      </c>
      <c r="E522" s="13" t="s">
        <v>859</v>
      </c>
      <c r="F522" s="13" t="s">
        <v>289</v>
      </c>
      <c r="G522" s="13" t="s">
        <v>192</v>
      </c>
      <c r="H522" s="17">
        <v>5212252</v>
      </c>
      <c r="I522" s="17" t="s">
        <v>23</v>
      </c>
      <c r="J522" s="13" t="s">
        <v>778</v>
      </c>
      <c r="K522" s="13">
        <v>25</v>
      </c>
      <c r="L522" s="13">
        <v>4</v>
      </c>
      <c r="M522" s="13">
        <f t="shared" si="466"/>
        <v>100</v>
      </c>
      <c r="N522" s="20">
        <v>45192</v>
      </c>
      <c r="O522" s="13" t="s">
        <v>425</v>
      </c>
      <c r="P522" s="13" t="s">
        <v>144</v>
      </c>
      <c r="Q522" s="123" t="s">
        <v>30</v>
      </c>
      <c r="R522" s="13" t="s">
        <v>1031</v>
      </c>
      <c r="S522" s="31">
        <v>251651020271</v>
      </c>
      <c r="T522" s="20">
        <v>45192</v>
      </c>
      <c r="U522" s="123"/>
      <c r="V522" s="13">
        <v>474</v>
      </c>
      <c r="W522" s="29">
        <v>45192.479166666664</v>
      </c>
      <c r="X522" s="29">
        <v>45192.621527777781</v>
      </c>
      <c r="Y522" s="30">
        <f t="shared" si="467"/>
        <v>0.14236111111677019</v>
      </c>
      <c r="Z522" s="29">
        <v>45192.520833333336</v>
      </c>
      <c r="AA522" s="29">
        <v>45192.621527777781</v>
      </c>
      <c r="AB522" s="30">
        <f t="shared" si="468"/>
        <v>0.10069444444525288</v>
      </c>
    </row>
    <row r="523" spans="1:28" x14ac:dyDescent="0.25">
      <c r="A523" s="12">
        <v>45170</v>
      </c>
      <c r="B523" s="13" t="s">
        <v>1030</v>
      </c>
      <c r="C523" s="20">
        <v>45191</v>
      </c>
      <c r="D523" s="13">
        <v>7447959</v>
      </c>
      <c r="E523" s="13" t="s">
        <v>859</v>
      </c>
      <c r="F523" s="13" t="s">
        <v>289</v>
      </c>
      <c r="G523" s="13" t="s">
        <v>192</v>
      </c>
      <c r="H523" s="17">
        <v>5212252</v>
      </c>
      <c r="I523" s="17" t="s">
        <v>23</v>
      </c>
      <c r="J523" s="13" t="s">
        <v>955</v>
      </c>
      <c r="K523" s="13">
        <v>25</v>
      </c>
      <c r="L523" s="13">
        <v>8</v>
      </c>
      <c r="M523" s="13">
        <f t="shared" ref="M523:M529" si="469">+L523*K523</f>
        <v>200</v>
      </c>
      <c r="N523" s="20">
        <v>45192</v>
      </c>
      <c r="O523" s="13" t="s">
        <v>425</v>
      </c>
      <c r="P523" s="13" t="s">
        <v>144</v>
      </c>
      <c r="Q523" s="123" t="s">
        <v>30</v>
      </c>
      <c r="R523" s="13" t="s">
        <v>1031</v>
      </c>
      <c r="S523" s="31">
        <v>251651020271</v>
      </c>
      <c r="T523" s="20">
        <v>45192</v>
      </c>
      <c r="U523" s="123"/>
      <c r="V523" s="13">
        <v>474</v>
      </c>
      <c r="W523" s="29">
        <v>45192.479166666664</v>
      </c>
      <c r="X523" s="29">
        <v>45192.621527777781</v>
      </c>
      <c r="Y523" s="30">
        <f t="shared" ref="Y523:Y529" si="470">+X523-W523</f>
        <v>0.14236111111677019</v>
      </c>
      <c r="Z523" s="29">
        <v>45192.520833333336</v>
      </c>
      <c r="AA523" s="29">
        <v>45192.621527777781</v>
      </c>
      <c r="AB523" s="30">
        <f t="shared" ref="AB523:AB529" si="471">+AA523-Z523</f>
        <v>0.10069444444525288</v>
      </c>
    </row>
    <row r="524" spans="1:28" x14ac:dyDescent="0.25">
      <c r="A524" s="12">
        <v>45170</v>
      </c>
      <c r="B524" s="13" t="s">
        <v>1030</v>
      </c>
      <c r="C524" s="20">
        <v>45191</v>
      </c>
      <c r="D524" s="13">
        <v>7650311</v>
      </c>
      <c r="E524" s="13" t="s">
        <v>859</v>
      </c>
      <c r="F524" s="13" t="s">
        <v>289</v>
      </c>
      <c r="G524" s="13" t="s">
        <v>192</v>
      </c>
      <c r="H524" s="17">
        <v>5212252</v>
      </c>
      <c r="I524" s="17" t="s">
        <v>23</v>
      </c>
      <c r="J524" s="13" t="s">
        <v>1023</v>
      </c>
      <c r="K524" s="13">
        <v>25</v>
      </c>
      <c r="L524" s="13">
        <v>748</v>
      </c>
      <c r="M524" s="13">
        <f t="shared" si="469"/>
        <v>18700</v>
      </c>
      <c r="N524" s="20">
        <v>45192</v>
      </c>
      <c r="O524" s="13" t="s">
        <v>425</v>
      </c>
      <c r="P524" s="13" t="s">
        <v>144</v>
      </c>
      <c r="Q524" s="123" t="s">
        <v>30</v>
      </c>
      <c r="R524" s="13" t="s">
        <v>1031</v>
      </c>
      <c r="S524" s="31">
        <v>251651020271</v>
      </c>
      <c r="T524" s="20">
        <v>45192</v>
      </c>
      <c r="U524" s="123"/>
      <c r="V524" s="13">
        <v>474</v>
      </c>
      <c r="W524" s="29">
        <v>45192.479166666664</v>
      </c>
      <c r="X524" s="29">
        <v>45192.621527777781</v>
      </c>
      <c r="Y524" s="30">
        <f t="shared" si="470"/>
        <v>0.14236111111677019</v>
      </c>
      <c r="Z524" s="29">
        <v>45192.520833333336</v>
      </c>
      <c r="AA524" s="29">
        <v>45192.621527777781</v>
      </c>
      <c r="AB524" s="30">
        <f t="shared" si="471"/>
        <v>0.10069444444525288</v>
      </c>
    </row>
    <row r="525" spans="1:28" x14ac:dyDescent="0.25">
      <c r="A525" s="12">
        <v>45170</v>
      </c>
      <c r="B525" s="13" t="s">
        <v>1032</v>
      </c>
      <c r="C525" s="20">
        <v>45194</v>
      </c>
      <c r="D525" s="13">
        <v>7197282</v>
      </c>
      <c r="E525" s="13" t="s">
        <v>897</v>
      </c>
      <c r="F525" s="13" t="s">
        <v>1017</v>
      </c>
      <c r="G525" s="13" t="s">
        <v>132</v>
      </c>
      <c r="H525" s="17">
        <v>5309040</v>
      </c>
      <c r="I525" s="17" t="s">
        <v>105</v>
      </c>
      <c r="J525" s="13" t="s">
        <v>811</v>
      </c>
      <c r="K525" s="13">
        <v>250</v>
      </c>
      <c r="L525" s="13">
        <v>32</v>
      </c>
      <c r="M525" s="13">
        <f t="shared" si="469"/>
        <v>8000</v>
      </c>
      <c r="N525" s="20">
        <v>45194</v>
      </c>
      <c r="O525" s="13" t="s">
        <v>177</v>
      </c>
      <c r="P525" s="13" t="s">
        <v>144</v>
      </c>
      <c r="Q525" s="123" t="s">
        <v>30</v>
      </c>
      <c r="R525" s="13" t="s">
        <v>898</v>
      </c>
      <c r="S525" s="31">
        <v>241651847226</v>
      </c>
      <c r="T525" s="20">
        <v>45194</v>
      </c>
      <c r="U525" s="123"/>
      <c r="V525" s="13">
        <v>475</v>
      </c>
      <c r="W525" s="29">
        <v>45194.572916666664</v>
      </c>
      <c r="X525" s="29">
        <v>45194.600694444445</v>
      </c>
      <c r="Y525" s="30">
        <f t="shared" si="470"/>
        <v>2.7777777781011537E-2</v>
      </c>
      <c r="Z525" s="29">
        <v>45194.579861111109</v>
      </c>
      <c r="AA525" s="29">
        <v>45194.59375</v>
      </c>
      <c r="AB525" s="30">
        <f t="shared" si="471"/>
        <v>1.3888888890505768E-2</v>
      </c>
    </row>
    <row r="526" spans="1:28" x14ac:dyDescent="0.25">
      <c r="A526" s="12">
        <v>45170</v>
      </c>
      <c r="B526" s="13" t="s">
        <v>1033</v>
      </c>
      <c r="C526" s="20">
        <v>45194</v>
      </c>
      <c r="D526" s="13">
        <v>5512760</v>
      </c>
      <c r="E526" s="13" t="s">
        <v>420</v>
      </c>
      <c r="F526" s="13" t="s">
        <v>423</v>
      </c>
      <c r="G526" s="13" t="s">
        <v>192</v>
      </c>
      <c r="H526" s="17">
        <v>5212252</v>
      </c>
      <c r="I526" s="17" t="s">
        <v>23</v>
      </c>
      <c r="J526" s="13" t="s">
        <v>74</v>
      </c>
      <c r="K526" s="13">
        <v>25</v>
      </c>
      <c r="L526" s="13">
        <v>8</v>
      </c>
      <c r="M526" s="13">
        <f t="shared" si="469"/>
        <v>200</v>
      </c>
      <c r="N526" s="20">
        <v>45194</v>
      </c>
      <c r="O526" s="13" t="s">
        <v>425</v>
      </c>
      <c r="P526" s="13" t="s">
        <v>134</v>
      </c>
      <c r="Q526" s="123">
        <v>2267</v>
      </c>
      <c r="R526" s="13" t="s">
        <v>1034</v>
      </c>
      <c r="S526" s="31">
        <v>261651833010</v>
      </c>
      <c r="T526" s="20">
        <v>45194</v>
      </c>
      <c r="U526" s="123"/>
      <c r="V526" s="13">
        <v>476</v>
      </c>
      <c r="W526" s="29">
        <v>45194.576388888891</v>
      </c>
      <c r="X526" s="29">
        <v>45194.642361111109</v>
      </c>
      <c r="Y526" s="30">
        <f t="shared" si="470"/>
        <v>6.5972222218988463E-2</v>
      </c>
      <c r="Z526" s="29">
        <v>45194.583333333336</v>
      </c>
      <c r="AA526" s="29">
        <v>45194.635416666664</v>
      </c>
      <c r="AB526" s="30">
        <f t="shared" si="471"/>
        <v>5.2083333328482695E-2</v>
      </c>
    </row>
    <row r="527" spans="1:28" x14ac:dyDescent="0.25">
      <c r="A527" s="12">
        <v>45170</v>
      </c>
      <c r="B527" s="13" t="s">
        <v>1033</v>
      </c>
      <c r="C527" s="20">
        <v>45194</v>
      </c>
      <c r="D527" s="13">
        <v>5772525</v>
      </c>
      <c r="E527" s="13" t="s">
        <v>420</v>
      </c>
      <c r="F527" s="13" t="s">
        <v>423</v>
      </c>
      <c r="G527" s="13" t="s">
        <v>192</v>
      </c>
      <c r="H527" s="17">
        <v>5212252</v>
      </c>
      <c r="I527" s="17" t="s">
        <v>23</v>
      </c>
      <c r="J527" s="13" t="s">
        <v>74</v>
      </c>
      <c r="K527" s="13">
        <v>25</v>
      </c>
      <c r="L527" s="13">
        <v>24</v>
      </c>
      <c r="M527" s="13">
        <f t="shared" ref="M527" si="472">+L527*K527</f>
        <v>600</v>
      </c>
      <c r="N527" s="20">
        <v>45194</v>
      </c>
      <c r="O527" s="13" t="s">
        <v>425</v>
      </c>
      <c r="P527" s="13" t="s">
        <v>134</v>
      </c>
      <c r="Q527" s="123">
        <v>2267</v>
      </c>
      <c r="R527" s="13" t="s">
        <v>1034</v>
      </c>
      <c r="S527" s="31">
        <v>261651833010</v>
      </c>
      <c r="T527" s="20">
        <v>45194</v>
      </c>
      <c r="U527" s="123"/>
      <c r="V527" s="13">
        <v>476</v>
      </c>
      <c r="W527" s="29">
        <v>45194.576388888891</v>
      </c>
      <c r="X527" s="29">
        <v>45194.642361111109</v>
      </c>
      <c r="Y527" s="30">
        <f t="shared" ref="Y527" si="473">+X527-W527</f>
        <v>6.5972222218988463E-2</v>
      </c>
      <c r="Z527" s="29">
        <v>45194.583333333336</v>
      </c>
      <c r="AA527" s="29">
        <v>45194.635416666664</v>
      </c>
      <c r="AB527" s="30">
        <f t="shared" ref="AB527" si="474">+AA527-Z527</f>
        <v>5.2083333328482695E-2</v>
      </c>
    </row>
    <row r="528" spans="1:28" x14ac:dyDescent="0.25">
      <c r="A528" s="12">
        <v>45170</v>
      </c>
      <c r="B528" s="13" t="s">
        <v>1033</v>
      </c>
      <c r="C528" s="20">
        <v>45194</v>
      </c>
      <c r="D528" s="13">
        <v>5772525</v>
      </c>
      <c r="E528" s="13" t="s">
        <v>420</v>
      </c>
      <c r="F528" s="13" t="s">
        <v>423</v>
      </c>
      <c r="G528" s="13" t="s">
        <v>192</v>
      </c>
      <c r="H528" s="17">
        <v>5212252</v>
      </c>
      <c r="I528" s="17" t="s">
        <v>23</v>
      </c>
      <c r="J528" s="13" t="s">
        <v>92</v>
      </c>
      <c r="K528" s="13">
        <v>25</v>
      </c>
      <c r="L528" s="13">
        <v>768</v>
      </c>
      <c r="M528" s="13">
        <f t="shared" ref="M528" si="475">+L528*K528</f>
        <v>19200</v>
      </c>
      <c r="N528" s="20">
        <v>45194</v>
      </c>
      <c r="O528" s="13" t="s">
        <v>425</v>
      </c>
      <c r="P528" s="13" t="s">
        <v>134</v>
      </c>
      <c r="Q528" s="123">
        <v>2267</v>
      </c>
      <c r="R528" s="13" t="s">
        <v>1034</v>
      </c>
      <c r="S528" s="31">
        <v>261651833010</v>
      </c>
      <c r="T528" s="20">
        <v>45194</v>
      </c>
      <c r="U528" s="123"/>
      <c r="V528" s="13">
        <v>476</v>
      </c>
      <c r="W528" s="29">
        <v>45194.576388888891</v>
      </c>
      <c r="X528" s="29">
        <v>45194.642361111109</v>
      </c>
      <c r="Y528" s="30">
        <f t="shared" ref="Y528" si="476">+X528-W528</f>
        <v>6.5972222218988463E-2</v>
      </c>
      <c r="Z528" s="29">
        <v>45194.583333333336</v>
      </c>
      <c r="AA528" s="29">
        <v>45194.635416666664</v>
      </c>
      <c r="AB528" s="30">
        <f t="shared" ref="AB528" si="477">+AA528-Z528</f>
        <v>5.2083333328482695E-2</v>
      </c>
    </row>
    <row r="529" spans="1:28" x14ac:dyDescent="0.25">
      <c r="A529" s="12">
        <v>45170</v>
      </c>
      <c r="B529" s="13" t="s">
        <v>1035</v>
      </c>
      <c r="C529" s="20">
        <v>45194</v>
      </c>
      <c r="D529" s="13">
        <v>5772525</v>
      </c>
      <c r="E529" s="13" t="s">
        <v>420</v>
      </c>
      <c r="F529" s="13" t="s">
        <v>423</v>
      </c>
      <c r="G529" s="13" t="s">
        <v>192</v>
      </c>
      <c r="H529" s="17">
        <v>5212252</v>
      </c>
      <c r="I529" s="17" t="s">
        <v>23</v>
      </c>
      <c r="J529" s="13" t="s">
        <v>92</v>
      </c>
      <c r="K529" s="13">
        <v>25</v>
      </c>
      <c r="L529" s="13">
        <v>248</v>
      </c>
      <c r="M529" s="13">
        <f t="shared" si="469"/>
        <v>6200</v>
      </c>
      <c r="N529" s="20">
        <v>45194</v>
      </c>
      <c r="O529" s="13" t="s">
        <v>425</v>
      </c>
      <c r="P529" s="13" t="s">
        <v>134</v>
      </c>
      <c r="Q529" s="123">
        <v>2268</v>
      </c>
      <c r="R529" s="13" t="s">
        <v>1036</v>
      </c>
      <c r="S529" s="31">
        <v>231651834085</v>
      </c>
      <c r="T529" s="20">
        <v>45194</v>
      </c>
      <c r="U529" s="123"/>
      <c r="V529" s="13">
        <v>477</v>
      </c>
      <c r="W529" s="29">
        <v>45194.618055555555</v>
      </c>
      <c r="X529" s="29">
        <v>45194.763888888891</v>
      </c>
      <c r="Y529" s="30">
        <f t="shared" si="470"/>
        <v>0.14583333333575865</v>
      </c>
      <c r="Z529" s="29">
        <v>45194.625</v>
      </c>
      <c r="AA529" s="29">
        <v>45194.756944444445</v>
      </c>
      <c r="AB529" s="30">
        <f t="shared" si="471"/>
        <v>0.13194444444525288</v>
      </c>
    </row>
    <row r="530" spans="1:28" x14ac:dyDescent="0.25">
      <c r="A530" s="12">
        <v>45170</v>
      </c>
      <c r="B530" s="13" t="s">
        <v>1035</v>
      </c>
      <c r="C530" s="20">
        <v>45194</v>
      </c>
      <c r="D530" s="13">
        <v>5936674</v>
      </c>
      <c r="E530" s="13" t="s">
        <v>420</v>
      </c>
      <c r="F530" s="13" t="s">
        <v>423</v>
      </c>
      <c r="G530" s="13" t="s">
        <v>192</v>
      </c>
      <c r="H530" s="17">
        <v>5212252</v>
      </c>
      <c r="I530" s="17" t="s">
        <v>23</v>
      </c>
      <c r="J530" s="13" t="s">
        <v>104</v>
      </c>
      <c r="K530" s="13">
        <v>25</v>
      </c>
      <c r="L530" s="13">
        <v>452</v>
      </c>
      <c r="M530" s="13">
        <f t="shared" ref="M530" si="478">+L530*K530</f>
        <v>11300</v>
      </c>
      <c r="N530" s="20">
        <v>45194</v>
      </c>
      <c r="O530" s="13" t="s">
        <v>425</v>
      </c>
      <c r="P530" s="13" t="s">
        <v>134</v>
      </c>
      <c r="Q530" s="123">
        <v>2268</v>
      </c>
      <c r="R530" s="13" t="s">
        <v>1036</v>
      </c>
      <c r="S530" s="31">
        <v>231651834085</v>
      </c>
      <c r="T530" s="20">
        <v>45194</v>
      </c>
      <c r="U530" s="123"/>
      <c r="V530" s="13">
        <v>477</v>
      </c>
      <c r="W530" s="29">
        <v>45194.618055555555</v>
      </c>
      <c r="X530" s="29">
        <v>45194.763888888891</v>
      </c>
      <c r="Y530" s="30">
        <f t="shared" ref="Y530" si="479">+X530-W530</f>
        <v>0.14583333333575865</v>
      </c>
      <c r="Z530" s="29">
        <v>45194.625</v>
      </c>
      <c r="AA530" s="29">
        <v>45194.756944444445</v>
      </c>
      <c r="AB530" s="30">
        <f t="shared" ref="AB530" si="480">+AA530-Z530</f>
        <v>0.13194444444525288</v>
      </c>
    </row>
    <row r="531" spans="1:28" x14ac:dyDescent="0.25">
      <c r="A531" s="12">
        <v>45170</v>
      </c>
      <c r="B531" s="13" t="s">
        <v>1035</v>
      </c>
      <c r="C531" s="20">
        <v>45194</v>
      </c>
      <c r="D531" s="13">
        <v>7197680</v>
      </c>
      <c r="E531" s="13" t="s">
        <v>420</v>
      </c>
      <c r="F531" s="13" t="s">
        <v>423</v>
      </c>
      <c r="G531" s="13" t="s">
        <v>192</v>
      </c>
      <c r="H531" s="17">
        <v>5212252</v>
      </c>
      <c r="I531" s="17" t="s">
        <v>23</v>
      </c>
      <c r="J531" s="13" t="s">
        <v>847</v>
      </c>
      <c r="K531" s="13">
        <v>25</v>
      </c>
      <c r="L531" s="13">
        <v>100</v>
      </c>
      <c r="M531" s="13">
        <f t="shared" ref="M531:M535" si="481">+L531*K531</f>
        <v>2500</v>
      </c>
      <c r="N531" s="20">
        <v>45194</v>
      </c>
      <c r="O531" s="13" t="s">
        <v>425</v>
      </c>
      <c r="P531" s="13" t="s">
        <v>134</v>
      </c>
      <c r="Q531" s="123">
        <v>2268</v>
      </c>
      <c r="R531" s="13" t="s">
        <v>1036</v>
      </c>
      <c r="S531" s="31">
        <v>231651834085</v>
      </c>
      <c r="T531" s="20">
        <v>45194</v>
      </c>
      <c r="U531" s="123"/>
      <c r="V531" s="13">
        <v>477</v>
      </c>
      <c r="W531" s="29">
        <v>45194.618055555555</v>
      </c>
      <c r="X531" s="29">
        <v>45194.763888888891</v>
      </c>
      <c r="Y531" s="30">
        <f t="shared" ref="Y531:Y535" si="482">+X531-W531</f>
        <v>0.14583333333575865</v>
      </c>
      <c r="Z531" s="29">
        <v>45194.625</v>
      </c>
      <c r="AA531" s="29">
        <v>45194.756944444445</v>
      </c>
      <c r="AB531" s="30">
        <f t="shared" ref="AB531:AB535" si="483">+AA531-Z531</f>
        <v>0.13194444444525288</v>
      </c>
    </row>
    <row r="532" spans="1:28" x14ac:dyDescent="0.25">
      <c r="A532" s="12">
        <v>45170</v>
      </c>
      <c r="B532" s="13" t="s">
        <v>1041</v>
      </c>
      <c r="C532" s="20">
        <v>45195</v>
      </c>
      <c r="D532" s="13">
        <v>7612640</v>
      </c>
      <c r="E532" s="13" t="s">
        <v>175</v>
      </c>
      <c r="F532" s="13" t="s">
        <v>680</v>
      </c>
      <c r="G532" s="13" t="s">
        <v>132</v>
      </c>
      <c r="H532" s="17" t="s">
        <v>30</v>
      </c>
      <c r="I532" s="17" t="s">
        <v>984</v>
      </c>
      <c r="J532" s="14" t="s">
        <v>983</v>
      </c>
      <c r="K532" s="13">
        <v>250</v>
      </c>
      <c r="L532" s="13">
        <v>60</v>
      </c>
      <c r="M532" s="13">
        <f t="shared" si="481"/>
        <v>15000</v>
      </c>
      <c r="N532" s="20">
        <v>45195</v>
      </c>
      <c r="O532" s="13" t="s">
        <v>425</v>
      </c>
      <c r="P532" s="13" t="s">
        <v>144</v>
      </c>
      <c r="Q532" s="123" t="s">
        <v>30</v>
      </c>
      <c r="R532" s="13" t="s">
        <v>1042</v>
      </c>
      <c r="S532" s="31">
        <v>251652244614</v>
      </c>
      <c r="T532" s="20">
        <v>45195</v>
      </c>
      <c r="U532" s="123"/>
      <c r="V532" s="13">
        <v>478</v>
      </c>
      <c r="W532" s="29">
        <v>45195.458333333336</v>
      </c>
      <c r="X532" s="29">
        <v>45195.520833333336</v>
      </c>
      <c r="Y532" s="30">
        <f t="shared" si="482"/>
        <v>6.25E-2</v>
      </c>
      <c r="Z532" s="29">
        <v>45195.46875</v>
      </c>
      <c r="AA532" s="29">
        <v>45195.5</v>
      </c>
      <c r="AB532" s="30">
        <f t="shared" si="483"/>
        <v>3.125E-2</v>
      </c>
    </row>
    <row r="533" spans="1:28" x14ac:dyDescent="0.25">
      <c r="A533" s="12">
        <v>45170</v>
      </c>
      <c r="B533" s="13" t="s">
        <v>1043</v>
      </c>
      <c r="C533" s="20">
        <v>45195</v>
      </c>
      <c r="D533" s="13">
        <v>7612640</v>
      </c>
      <c r="E533" s="13" t="s">
        <v>175</v>
      </c>
      <c r="F533" s="13" t="s">
        <v>680</v>
      </c>
      <c r="G533" s="13" t="s">
        <v>132</v>
      </c>
      <c r="H533" s="17" t="s">
        <v>30</v>
      </c>
      <c r="I533" s="17" t="s">
        <v>984</v>
      </c>
      <c r="J533" s="14" t="s">
        <v>983</v>
      </c>
      <c r="K533" s="13">
        <v>250</v>
      </c>
      <c r="L533" s="13">
        <v>20</v>
      </c>
      <c r="M533" s="13">
        <f t="shared" si="481"/>
        <v>5000</v>
      </c>
      <c r="N533" s="20">
        <v>45195</v>
      </c>
      <c r="O533" s="13" t="s">
        <v>259</v>
      </c>
      <c r="P533" s="13" t="s">
        <v>144</v>
      </c>
      <c r="Q533" s="123" t="s">
        <v>30</v>
      </c>
      <c r="R533" s="13" t="s">
        <v>180</v>
      </c>
      <c r="S533" s="31">
        <v>231652275522</v>
      </c>
      <c r="T533" s="20">
        <v>45195</v>
      </c>
      <c r="U533" s="123"/>
      <c r="V533" s="13">
        <v>479</v>
      </c>
      <c r="W533" s="29">
        <v>45195.638888888891</v>
      </c>
      <c r="X533" s="29">
        <v>45195.663194444445</v>
      </c>
      <c r="Y533" s="30">
        <f t="shared" si="482"/>
        <v>2.4305555554747116E-2</v>
      </c>
      <c r="Z533" s="29">
        <v>45195.645833333336</v>
      </c>
      <c r="AA533" s="29">
        <v>45195.65625</v>
      </c>
      <c r="AB533" s="30">
        <f t="shared" si="483"/>
        <v>1.0416666664241347E-2</v>
      </c>
    </row>
    <row r="534" spans="1:28" x14ac:dyDescent="0.25">
      <c r="A534" s="12">
        <v>45170</v>
      </c>
      <c r="B534" s="13" t="s">
        <v>1044</v>
      </c>
      <c r="C534" s="20">
        <v>45195</v>
      </c>
      <c r="D534" s="13">
        <v>7197282</v>
      </c>
      <c r="E534" s="13" t="s">
        <v>897</v>
      </c>
      <c r="F534" s="13" t="s">
        <v>240</v>
      </c>
      <c r="G534" s="13" t="s">
        <v>132</v>
      </c>
      <c r="H534" s="17">
        <v>5309040</v>
      </c>
      <c r="I534" s="17" t="s">
        <v>105</v>
      </c>
      <c r="J534" s="13" t="s">
        <v>811</v>
      </c>
      <c r="K534" s="13">
        <v>250</v>
      </c>
      <c r="L534" s="13">
        <v>32</v>
      </c>
      <c r="M534" s="13">
        <f t="shared" si="481"/>
        <v>8000</v>
      </c>
      <c r="N534" s="20">
        <v>45195</v>
      </c>
      <c r="O534" s="13" t="s">
        <v>177</v>
      </c>
      <c r="P534" s="13" t="s">
        <v>144</v>
      </c>
      <c r="Q534" s="123" t="s">
        <v>30</v>
      </c>
      <c r="R534" s="13" t="s">
        <v>1045</v>
      </c>
      <c r="S534" s="31">
        <v>291652282111</v>
      </c>
      <c r="T534" s="20">
        <v>45195</v>
      </c>
      <c r="U534" s="123"/>
      <c r="V534" s="13">
        <v>480</v>
      </c>
      <c r="W534" s="29">
        <v>45195.652777777781</v>
      </c>
      <c r="X534" s="29">
        <v>45195.694444444445</v>
      </c>
      <c r="Y534" s="30">
        <f t="shared" si="482"/>
        <v>4.1666666664241347E-2</v>
      </c>
      <c r="Z534" s="29">
        <v>45195.659722222219</v>
      </c>
      <c r="AA534" s="29">
        <v>45195.6875</v>
      </c>
      <c r="AB534" s="30">
        <f t="shared" si="483"/>
        <v>2.7777777781011537E-2</v>
      </c>
    </row>
    <row r="535" spans="1:28" x14ac:dyDescent="0.25">
      <c r="A535" s="12">
        <v>45170</v>
      </c>
      <c r="B535" s="13" t="s">
        <v>1046</v>
      </c>
      <c r="C535" s="20">
        <v>45194</v>
      </c>
      <c r="D535" s="13">
        <v>7650311</v>
      </c>
      <c r="E535" s="13" t="s">
        <v>385</v>
      </c>
      <c r="F535" s="13" t="s">
        <v>386</v>
      </c>
      <c r="G535" s="13" t="s">
        <v>192</v>
      </c>
      <c r="H535" s="17">
        <v>5212252</v>
      </c>
      <c r="I535" s="17" t="s">
        <v>23</v>
      </c>
      <c r="J535" s="13" t="s">
        <v>1022</v>
      </c>
      <c r="K535" s="13">
        <v>25</v>
      </c>
      <c r="L535" s="13">
        <v>300</v>
      </c>
      <c r="M535" s="13">
        <f t="shared" si="481"/>
        <v>7500</v>
      </c>
      <c r="N535" s="20">
        <v>45195</v>
      </c>
      <c r="O535" s="13" t="s">
        <v>133</v>
      </c>
      <c r="P535" s="13" t="s">
        <v>144</v>
      </c>
      <c r="Q535" s="123" t="s">
        <v>30</v>
      </c>
      <c r="R535" s="13" t="s">
        <v>1047</v>
      </c>
      <c r="S535" s="31">
        <v>281652347433</v>
      </c>
      <c r="T535" s="20">
        <v>45195</v>
      </c>
      <c r="U535" s="123"/>
      <c r="V535" s="13">
        <v>481</v>
      </c>
      <c r="W535" s="29">
        <v>45195.690972222219</v>
      </c>
      <c r="X535" s="29">
        <v>45195.729166666664</v>
      </c>
      <c r="Y535" s="30">
        <f t="shared" si="482"/>
        <v>3.8194444445252884E-2</v>
      </c>
      <c r="Z535" s="29">
        <v>45195.697916666664</v>
      </c>
      <c r="AA535" s="29">
        <v>45195.722222222219</v>
      </c>
      <c r="AB535" s="30">
        <f t="shared" si="483"/>
        <v>2.4305555554747116E-2</v>
      </c>
    </row>
    <row r="536" spans="1:28" x14ac:dyDescent="0.25">
      <c r="A536" s="12">
        <v>45170</v>
      </c>
      <c r="B536" s="13" t="s">
        <v>1046</v>
      </c>
      <c r="C536" s="20">
        <v>45194</v>
      </c>
      <c r="D536" s="13">
        <v>7650311</v>
      </c>
      <c r="E536" s="13" t="s">
        <v>385</v>
      </c>
      <c r="F536" s="13" t="s">
        <v>386</v>
      </c>
      <c r="G536" s="13" t="s">
        <v>192</v>
      </c>
      <c r="H536" s="17">
        <v>5212252</v>
      </c>
      <c r="I536" s="17" t="s">
        <v>23</v>
      </c>
      <c r="J536" s="13" t="s">
        <v>1022</v>
      </c>
      <c r="K536" s="13">
        <v>25</v>
      </c>
      <c r="L536" s="13">
        <v>200</v>
      </c>
      <c r="M536" s="13">
        <f t="shared" ref="M536:M538" si="484">+L536*K536</f>
        <v>5000</v>
      </c>
      <c r="N536" s="20">
        <v>45195</v>
      </c>
      <c r="O536" s="13" t="s">
        <v>133</v>
      </c>
      <c r="P536" s="13" t="s">
        <v>144</v>
      </c>
      <c r="Q536" s="123" t="s">
        <v>30</v>
      </c>
      <c r="R536" s="13" t="s">
        <v>590</v>
      </c>
      <c r="S536" s="31">
        <v>281652347433</v>
      </c>
      <c r="T536" s="20">
        <v>45195</v>
      </c>
      <c r="U536" s="123"/>
      <c r="V536" s="13">
        <v>482</v>
      </c>
      <c r="W536" s="29">
        <v>45195.690972222219</v>
      </c>
      <c r="X536" s="29">
        <v>45195.729166666664</v>
      </c>
      <c r="Y536" s="30">
        <f t="shared" ref="Y536:Y538" si="485">+X536-W536</f>
        <v>3.8194444445252884E-2</v>
      </c>
      <c r="Z536" s="29">
        <v>45195.697916666664</v>
      </c>
      <c r="AA536" s="29">
        <v>45195.722222222219</v>
      </c>
      <c r="AB536" s="30">
        <f t="shared" ref="AB536:AB538" si="486">+AA536-Z536</f>
        <v>2.4305555554747116E-2</v>
      </c>
    </row>
    <row r="537" spans="1:28" x14ac:dyDescent="0.25">
      <c r="A537" s="12">
        <v>45170</v>
      </c>
      <c r="B537" s="13" t="s">
        <v>1048</v>
      </c>
      <c r="C537" s="20">
        <v>45194</v>
      </c>
      <c r="D537" s="13">
        <v>7197680</v>
      </c>
      <c r="E537" s="13" t="s">
        <v>523</v>
      </c>
      <c r="F537" s="13" t="s">
        <v>524</v>
      </c>
      <c r="G537" s="13" t="s">
        <v>192</v>
      </c>
      <c r="H537" s="17">
        <v>5212256</v>
      </c>
      <c r="I537" s="17" t="s">
        <v>22</v>
      </c>
      <c r="J537" s="13" t="s">
        <v>847</v>
      </c>
      <c r="K537" s="13">
        <v>25</v>
      </c>
      <c r="L537" s="13">
        <v>300</v>
      </c>
      <c r="M537" s="13">
        <f t="shared" si="484"/>
        <v>7500</v>
      </c>
      <c r="N537" s="20">
        <v>45195</v>
      </c>
      <c r="O537" s="13" t="s">
        <v>589</v>
      </c>
      <c r="P537" s="13" t="s">
        <v>134</v>
      </c>
      <c r="Q537" s="123">
        <v>2269</v>
      </c>
      <c r="R537" s="13" t="s">
        <v>1049</v>
      </c>
      <c r="S537" s="31">
        <v>221652342401</v>
      </c>
      <c r="T537" s="20">
        <v>45195</v>
      </c>
      <c r="U537" s="123"/>
      <c r="V537" s="13">
        <v>483</v>
      </c>
      <c r="W537" s="29">
        <v>45195.65625</v>
      </c>
      <c r="X537" s="29">
        <v>45195.694444444445</v>
      </c>
      <c r="Y537" s="30">
        <f t="shared" si="485"/>
        <v>3.8194444445252884E-2</v>
      </c>
      <c r="Z537" s="29">
        <v>45195.663194444445</v>
      </c>
      <c r="AA537" s="29">
        <v>45195.694444444445</v>
      </c>
      <c r="AB537" s="30">
        <f t="shared" si="486"/>
        <v>3.125E-2</v>
      </c>
    </row>
    <row r="538" spans="1:28" x14ac:dyDescent="0.25">
      <c r="A538" s="12">
        <v>45170</v>
      </c>
      <c r="B538" s="13" t="s">
        <v>1050</v>
      </c>
      <c r="C538" s="20">
        <v>45194</v>
      </c>
      <c r="D538" s="13">
        <v>7650311</v>
      </c>
      <c r="E538" s="13" t="s">
        <v>191</v>
      </c>
      <c r="F538" s="13" t="s">
        <v>135</v>
      </c>
      <c r="G538" s="13" t="s">
        <v>192</v>
      </c>
      <c r="H538" s="17">
        <v>5212252</v>
      </c>
      <c r="I538" s="17" t="s">
        <v>23</v>
      </c>
      <c r="J538" s="13" t="s">
        <v>1023</v>
      </c>
      <c r="K538" s="13">
        <v>25</v>
      </c>
      <c r="L538" s="13">
        <v>85</v>
      </c>
      <c r="M538" s="13">
        <f t="shared" si="484"/>
        <v>2125</v>
      </c>
      <c r="N538" s="20">
        <v>45195</v>
      </c>
      <c r="O538" s="13" t="s">
        <v>425</v>
      </c>
      <c r="P538" s="13" t="s">
        <v>144</v>
      </c>
      <c r="Q538" s="123" t="s">
        <v>30</v>
      </c>
      <c r="R538" s="13" t="s">
        <v>1051</v>
      </c>
      <c r="S538" s="31">
        <v>241652385329</v>
      </c>
      <c r="T538" s="20">
        <v>45195</v>
      </c>
      <c r="U538" s="123"/>
      <c r="V538" s="13">
        <v>484</v>
      </c>
      <c r="W538" s="29">
        <v>45195.604166666664</v>
      </c>
      <c r="X538" s="29">
        <v>45195.770833333336</v>
      </c>
      <c r="Y538" s="30">
        <f t="shared" si="485"/>
        <v>0.16666666667151731</v>
      </c>
      <c r="Z538" s="29">
        <v>45195.666666666664</v>
      </c>
      <c r="AA538" s="29">
        <v>45195.770833333336</v>
      </c>
      <c r="AB538" s="30">
        <f t="shared" si="486"/>
        <v>0.10416666667151731</v>
      </c>
    </row>
    <row r="539" spans="1:28" x14ac:dyDescent="0.25">
      <c r="A539" s="12">
        <v>45170</v>
      </c>
      <c r="B539" s="13" t="s">
        <v>1050</v>
      </c>
      <c r="C539" s="20">
        <v>45194</v>
      </c>
      <c r="D539" s="13">
        <v>7650311</v>
      </c>
      <c r="E539" s="13" t="s">
        <v>191</v>
      </c>
      <c r="F539" s="13" t="s">
        <v>135</v>
      </c>
      <c r="G539" s="13" t="s">
        <v>192</v>
      </c>
      <c r="H539" s="17">
        <v>5212252</v>
      </c>
      <c r="I539" s="17" t="s">
        <v>23</v>
      </c>
      <c r="J539" s="13" t="s">
        <v>1022</v>
      </c>
      <c r="K539" s="13">
        <v>25</v>
      </c>
      <c r="L539" s="13">
        <v>715</v>
      </c>
      <c r="M539" s="13">
        <f t="shared" ref="M539:M544" si="487">+L539*K539</f>
        <v>17875</v>
      </c>
      <c r="N539" s="20">
        <v>45195</v>
      </c>
      <c r="O539" s="13" t="s">
        <v>425</v>
      </c>
      <c r="P539" s="13" t="s">
        <v>144</v>
      </c>
      <c r="Q539" s="123" t="s">
        <v>30</v>
      </c>
      <c r="R539" s="13" t="s">
        <v>1051</v>
      </c>
      <c r="S539" s="31">
        <v>241652385329</v>
      </c>
      <c r="T539" s="20">
        <v>45195</v>
      </c>
      <c r="U539" s="123"/>
      <c r="V539" s="13">
        <v>484</v>
      </c>
      <c r="W539" s="29">
        <v>45195.604166666664</v>
      </c>
      <c r="X539" s="29">
        <v>45195.770833333336</v>
      </c>
      <c r="Y539" s="30">
        <f t="shared" ref="Y539:Y544" si="488">+X539-W539</f>
        <v>0.16666666667151731</v>
      </c>
      <c r="Z539" s="29">
        <v>45195.666666666664</v>
      </c>
      <c r="AA539" s="29">
        <v>45195.770833333336</v>
      </c>
      <c r="AB539" s="30">
        <f t="shared" ref="AB539:AB544" si="489">+AA539-Z539</f>
        <v>0.10416666667151731</v>
      </c>
    </row>
    <row r="540" spans="1:28" x14ac:dyDescent="0.25">
      <c r="A540" s="12">
        <v>45170</v>
      </c>
      <c r="B540" s="13" t="s">
        <v>1052</v>
      </c>
      <c r="C540" s="20">
        <v>45195</v>
      </c>
      <c r="D540" s="13">
        <v>5152530</v>
      </c>
      <c r="E540" s="13" t="s">
        <v>1025</v>
      </c>
      <c r="F540" s="13" t="s">
        <v>453</v>
      </c>
      <c r="G540" s="13" t="s">
        <v>132</v>
      </c>
      <c r="H540" s="17">
        <v>5215193</v>
      </c>
      <c r="I540" s="17" t="s">
        <v>66</v>
      </c>
      <c r="J540" s="21" t="s">
        <v>68</v>
      </c>
      <c r="K540" s="13">
        <v>220</v>
      </c>
      <c r="L540" s="13">
        <v>40</v>
      </c>
      <c r="M540" s="13">
        <f t="shared" si="487"/>
        <v>8800</v>
      </c>
      <c r="N540" s="20">
        <v>45196</v>
      </c>
      <c r="O540" s="13" t="s">
        <v>177</v>
      </c>
      <c r="P540" s="13" t="s">
        <v>144</v>
      </c>
      <c r="Q540" s="123" t="s">
        <v>30</v>
      </c>
      <c r="R540" s="13" t="s">
        <v>1053</v>
      </c>
      <c r="S540" s="31">
        <v>251652675377</v>
      </c>
      <c r="T540" s="20">
        <v>45196</v>
      </c>
      <c r="U540" s="123"/>
      <c r="V540" s="13">
        <v>485</v>
      </c>
      <c r="W540" s="29">
        <v>45196.46875</v>
      </c>
      <c r="X540" s="29">
        <v>45196.496527777781</v>
      </c>
      <c r="Y540" s="30">
        <f t="shared" si="488"/>
        <v>2.7777777781011537E-2</v>
      </c>
      <c r="Z540" s="29">
        <v>45196.475694444445</v>
      </c>
      <c r="AA540" s="29">
        <v>45196.489583333336</v>
      </c>
      <c r="AB540" s="30">
        <f t="shared" si="489"/>
        <v>1.3888888890505768E-2</v>
      </c>
    </row>
    <row r="541" spans="1:28" x14ac:dyDescent="0.25">
      <c r="A541" s="12">
        <v>45170</v>
      </c>
      <c r="B541" s="13" t="s">
        <v>1054</v>
      </c>
      <c r="C541" s="20">
        <v>45196</v>
      </c>
      <c r="D541" s="13">
        <v>6238187</v>
      </c>
      <c r="E541" s="13" t="s">
        <v>471</v>
      </c>
      <c r="F541" s="13" t="s">
        <v>472</v>
      </c>
      <c r="G541" s="13" t="s">
        <v>192</v>
      </c>
      <c r="H541" s="17">
        <v>5205497</v>
      </c>
      <c r="I541" s="17" t="str">
        <f>VLOOKUP(H541,[1]MASTER!$A:$B,2,0)</f>
        <v>PVC-WH800-Premium-Bag-25KG</v>
      </c>
      <c r="J541" s="123">
        <v>1230192062</v>
      </c>
      <c r="K541" s="13">
        <v>25</v>
      </c>
      <c r="L541" s="13">
        <v>200</v>
      </c>
      <c r="M541" s="13">
        <f t="shared" si="487"/>
        <v>5000</v>
      </c>
      <c r="N541" s="20">
        <v>45196</v>
      </c>
      <c r="O541" s="13" t="s">
        <v>259</v>
      </c>
      <c r="P541" s="13" t="s">
        <v>144</v>
      </c>
      <c r="Q541" s="123" t="s">
        <v>30</v>
      </c>
      <c r="R541" s="13" t="s">
        <v>571</v>
      </c>
      <c r="S541" s="31">
        <v>241652794301</v>
      </c>
      <c r="T541" s="20">
        <v>45196</v>
      </c>
      <c r="U541" s="123"/>
      <c r="V541" s="13">
        <v>486</v>
      </c>
      <c r="W541" s="29">
        <v>45196.493055555555</v>
      </c>
      <c r="X541" s="29">
        <v>45196.527777777781</v>
      </c>
      <c r="Y541" s="30">
        <f t="shared" si="488"/>
        <v>3.4722222226264421E-2</v>
      </c>
      <c r="Z541" s="29">
        <v>45196.5</v>
      </c>
      <c r="AA541" s="29">
        <v>45196.520833333336</v>
      </c>
      <c r="AB541" s="30">
        <f t="shared" si="489"/>
        <v>2.0833333335758653E-2</v>
      </c>
    </row>
    <row r="542" spans="1:28" x14ac:dyDescent="0.25">
      <c r="A542" s="12">
        <v>45170</v>
      </c>
      <c r="B542" s="13" t="s">
        <v>1055</v>
      </c>
      <c r="C542" s="20">
        <v>45195</v>
      </c>
      <c r="D542" s="13">
        <v>6146274</v>
      </c>
      <c r="E542" s="13" t="s">
        <v>1056</v>
      </c>
      <c r="F542" s="13" t="s">
        <v>240</v>
      </c>
      <c r="G542" s="13" t="s">
        <v>192</v>
      </c>
      <c r="H542" s="17">
        <v>5205449</v>
      </c>
      <c r="I542" s="17" t="str">
        <f>VLOOKUP(H542,[1]MASTER!$A:$B,2,0)</f>
        <v>PVC-WH1000F-Premium-Bag-25KG</v>
      </c>
      <c r="J542" s="13">
        <v>2230237822</v>
      </c>
      <c r="K542" s="13">
        <v>25</v>
      </c>
      <c r="L542" s="13">
        <v>2</v>
      </c>
      <c r="M542" s="13">
        <f t="shared" si="487"/>
        <v>50</v>
      </c>
      <c r="N542" s="20">
        <v>45196</v>
      </c>
      <c r="O542" s="13" t="s">
        <v>259</v>
      </c>
      <c r="P542" s="13" t="s">
        <v>187</v>
      </c>
      <c r="Q542" s="123" t="s">
        <v>30</v>
      </c>
      <c r="R542" s="13" t="s">
        <v>1057</v>
      </c>
      <c r="S542" s="31">
        <v>271652726064</v>
      </c>
      <c r="T542" s="20">
        <v>45196</v>
      </c>
      <c r="U542" s="123"/>
      <c r="V542" s="13">
        <v>487</v>
      </c>
      <c r="W542" s="29">
        <v>45196.534722222219</v>
      </c>
      <c r="X542" s="29">
        <v>45196.552083333336</v>
      </c>
      <c r="Y542" s="30">
        <f t="shared" si="488"/>
        <v>1.7361111116770189E-2</v>
      </c>
      <c r="Z542" s="29">
        <v>45196.541666666664</v>
      </c>
      <c r="AA542" s="29">
        <v>45196.545138888891</v>
      </c>
      <c r="AB542" s="30">
        <f t="shared" si="489"/>
        <v>3.4722222262644209E-3</v>
      </c>
    </row>
    <row r="543" spans="1:28" x14ac:dyDescent="0.25">
      <c r="A543" s="12">
        <v>45170</v>
      </c>
      <c r="B543" s="13" t="s">
        <v>1058</v>
      </c>
      <c r="C543" s="20">
        <v>45195</v>
      </c>
      <c r="D543" s="13">
        <v>6146274</v>
      </c>
      <c r="E543" s="13" t="s">
        <v>1056</v>
      </c>
      <c r="F543" s="13" t="s">
        <v>240</v>
      </c>
      <c r="G543" s="13" t="s">
        <v>192</v>
      </c>
      <c r="H543" s="17">
        <v>5205449</v>
      </c>
      <c r="I543" s="17" t="str">
        <f>VLOOKUP(H543,[1]MASTER!$A:$B,2,0)</f>
        <v>PVC-WH1000F-Premium-Bag-25KG</v>
      </c>
      <c r="J543" s="13">
        <v>2230237822</v>
      </c>
      <c r="K543" s="13">
        <v>25</v>
      </c>
      <c r="L543" s="13">
        <v>2</v>
      </c>
      <c r="M543" s="13">
        <f t="shared" si="487"/>
        <v>50</v>
      </c>
      <c r="N543" s="20">
        <v>45196</v>
      </c>
      <c r="O543" s="13" t="s">
        <v>259</v>
      </c>
      <c r="P543" s="13" t="s">
        <v>187</v>
      </c>
      <c r="Q543" s="123" t="s">
        <v>30</v>
      </c>
      <c r="R543" s="13" t="s">
        <v>1057</v>
      </c>
      <c r="S543" s="31">
        <v>211652720240</v>
      </c>
      <c r="T543" s="20">
        <v>45196</v>
      </c>
      <c r="U543" s="123"/>
      <c r="V543" s="13">
        <v>487</v>
      </c>
      <c r="W543" s="29">
        <v>45196.534722222219</v>
      </c>
      <c r="X543" s="29">
        <v>45196.552083333336</v>
      </c>
      <c r="Y543" s="30">
        <f t="shared" si="488"/>
        <v>1.7361111116770189E-2</v>
      </c>
      <c r="Z543" s="29">
        <v>45196.541666666664</v>
      </c>
      <c r="AA543" s="29">
        <v>45196.545138888891</v>
      </c>
      <c r="AB543" s="30">
        <f t="shared" si="489"/>
        <v>3.4722222262644209E-3</v>
      </c>
    </row>
    <row r="544" spans="1:28" x14ac:dyDescent="0.25">
      <c r="A544" s="12">
        <v>45170</v>
      </c>
      <c r="B544" s="13" t="s">
        <v>1059</v>
      </c>
      <c r="C544" s="20">
        <v>45196</v>
      </c>
      <c r="D544" s="13">
        <v>5877339</v>
      </c>
      <c r="E544" s="13" t="s">
        <v>196</v>
      </c>
      <c r="F544" s="13" t="s">
        <v>453</v>
      </c>
      <c r="G544" s="13" t="s">
        <v>132</v>
      </c>
      <c r="H544" s="17">
        <v>5230831</v>
      </c>
      <c r="I544" s="17" t="s">
        <v>35</v>
      </c>
      <c r="J544" s="14" t="s">
        <v>101</v>
      </c>
      <c r="K544" s="13">
        <v>240</v>
      </c>
      <c r="L544" s="13">
        <v>4</v>
      </c>
      <c r="M544" s="13">
        <f t="shared" si="487"/>
        <v>960</v>
      </c>
      <c r="N544" s="20">
        <v>45196</v>
      </c>
      <c r="O544" s="13" t="s">
        <v>136</v>
      </c>
      <c r="P544" s="13" t="s">
        <v>144</v>
      </c>
      <c r="Q544" s="123" t="s">
        <v>30</v>
      </c>
      <c r="R544" s="13" t="s">
        <v>265</v>
      </c>
      <c r="S544" s="31">
        <v>251652823372</v>
      </c>
      <c r="T544" s="20">
        <v>45196</v>
      </c>
      <c r="U544" s="123"/>
      <c r="V544" s="13">
        <v>488</v>
      </c>
      <c r="W544" s="29">
        <v>45196.486111111109</v>
      </c>
      <c r="X544" s="29">
        <v>45196.541666666664</v>
      </c>
      <c r="Y544" s="30">
        <f t="shared" si="488"/>
        <v>5.5555555554747116E-2</v>
      </c>
      <c r="Z544" s="29">
        <v>45196.493055555555</v>
      </c>
      <c r="AA544" s="29">
        <v>45196.527777777781</v>
      </c>
      <c r="AB544" s="30">
        <f t="shared" si="489"/>
        <v>3.4722222226264421E-2</v>
      </c>
    </row>
    <row r="545" spans="1:28" x14ac:dyDescent="0.25">
      <c r="A545" s="12">
        <v>45170</v>
      </c>
      <c r="B545" s="13" t="s">
        <v>1059</v>
      </c>
      <c r="C545" s="20">
        <v>45196</v>
      </c>
      <c r="D545" s="13">
        <v>7892844</v>
      </c>
      <c r="E545" s="13" t="s">
        <v>196</v>
      </c>
      <c r="F545" s="13" t="s">
        <v>453</v>
      </c>
      <c r="G545" s="13" t="s">
        <v>132</v>
      </c>
      <c r="H545" s="17">
        <v>5230831</v>
      </c>
      <c r="I545" s="17" t="s">
        <v>35</v>
      </c>
      <c r="J545" s="21" t="s">
        <v>1038</v>
      </c>
      <c r="K545" s="13">
        <v>240</v>
      </c>
      <c r="L545" s="13">
        <v>36</v>
      </c>
      <c r="M545" s="13">
        <f t="shared" ref="M545:M549" si="490">+L545*K545</f>
        <v>8640</v>
      </c>
      <c r="N545" s="20">
        <v>45196</v>
      </c>
      <c r="O545" s="13" t="s">
        <v>136</v>
      </c>
      <c r="P545" s="13" t="s">
        <v>144</v>
      </c>
      <c r="Q545" s="123" t="s">
        <v>30</v>
      </c>
      <c r="R545" s="13" t="s">
        <v>265</v>
      </c>
      <c r="S545" s="31">
        <v>251652823372</v>
      </c>
      <c r="T545" s="20">
        <v>45196</v>
      </c>
      <c r="U545" s="123"/>
      <c r="V545" s="13">
        <v>488</v>
      </c>
      <c r="W545" s="29">
        <v>45196.486111111109</v>
      </c>
      <c r="X545" s="29">
        <v>45196.541666666664</v>
      </c>
      <c r="Y545" s="30">
        <f t="shared" ref="Y545:Y549" si="491">+X545-W545</f>
        <v>5.5555555554747116E-2</v>
      </c>
      <c r="Z545" s="29">
        <v>45196.493055555555</v>
      </c>
      <c r="AA545" s="29">
        <v>45196.527777777781</v>
      </c>
      <c r="AB545" s="30">
        <f t="shared" ref="AB545:AB549" si="492">+AA545-Z545</f>
        <v>3.4722222226264421E-2</v>
      </c>
    </row>
    <row r="546" spans="1:28" x14ac:dyDescent="0.25">
      <c r="A546" s="12">
        <v>45170</v>
      </c>
      <c r="B546" s="13" t="s">
        <v>1067</v>
      </c>
      <c r="C546" s="20">
        <v>45196</v>
      </c>
      <c r="D546" s="13">
        <v>7197282</v>
      </c>
      <c r="E546" s="13" t="s">
        <v>897</v>
      </c>
      <c r="F546" s="13" t="s">
        <v>240</v>
      </c>
      <c r="G546" s="13" t="s">
        <v>132</v>
      </c>
      <c r="H546" s="17">
        <v>5309040</v>
      </c>
      <c r="I546" s="17" t="s">
        <v>105</v>
      </c>
      <c r="J546" s="13" t="s">
        <v>811</v>
      </c>
      <c r="K546" s="13">
        <v>250</v>
      </c>
      <c r="L546" s="13">
        <v>32</v>
      </c>
      <c r="M546" s="13">
        <f t="shared" si="490"/>
        <v>8000</v>
      </c>
      <c r="N546" s="20">
        <v>45196</v>
      </c>
      <c r="O546" s="13" t="s">
        <v>177</v>
      </c>
      <c r="P546" s="13" t="s">
        <v>144</v>
      </c>
      <c r="Q546" s="123" t="s">
        <v>30</v>
      </c>
      <c r="R546" s="13" t="s">
        <v>898</v>
      </c>
      <c r="S546" s="31">
        <v>221652848219</v>
      </c>
      <c r="T546" s="20">
        <v>45196</v>
      </c>
      <c r="U546" s="123"/>
      <c r="V546" s="13">
        <v>489</v>
      </c>
      <c r="W546" s="29">
        <v>45196.625</v>
      </c>
      <c r="X546" s="29">
        <v>45196.666666666664</v>
      </c>
      <c r="Y546" s="30">
        <f t="shared" si="491"/>
        <v>4.1666666664241347E-2</v>
      </c>
      <c r="Z546" s="29">
        <v>45196.638888888891</v>
      </c>
      <c r="AA546" s="29">
        <v>45196.659722222219</v>
      </c>
      <c r="AB546" s="30">
        <f t="shared" si="492"/>
        <v>2.0833333328482695E-2</v>
      </c>
    </row>
    <row r="547" spans="1:28" x14ac:dyDescent="0.25">
      <c r="A547" s="12">
        <v>45170</v>
      </c>
      <c r="B547" s="13" t="s">
        <v>1068</v>
      </c>
      <c r="C547" s="20">
        <v>45196</v>
      </c>
      <c r="D547" s="13">
        <v>7892844</v>
      </c>
      <c r="E547" s="13" t="s">
        <v>624</v>
      </c>
      <c r="F547" s="13" t="s">
        <v>625</v>
      </c>
      <c r="G547" s="13" t="s">
        <v>132</v>
      </c>
      <c r="H547" s="17">
        <v>5230831</v>
      </c>
      <c r="I547" s="17" t="s">
        <v>35</v>
      </c>
      <c r="J547" s="21" t="s">
        <v>1038</v>
      </c>
      <c r="K547" s="13">
        <v>240</v>
      </c>
      <c r="L547" s="13">
        <v>30</v>
      </c>
      <c r="M547" s="13">
        <f t="shared" si="490"/>
        <v>7200</v>
      </c>
      <c r="N547" s="20">
        <v>45196</v>
      </c>
      <c r="O547" s="13" t="s">
        <v>589</v>
      </c>
      <c r="P547" s="13" t="s">
        <v>134</v>
      </c>
      <c r="Q547" s="123">
        <v>2270</v>
      </c>
      <c r="R547" s="13" t="s">
        <v>1069</v>
      </c>
      <c r="S547" s="31">
        <v>281652984061</v>
      </c>
      <c r="T547" s="20">
        <v>45196</v>
      </c>
      <c r="U547" s="123"/>
      <c r="V547" s="13">
        <v>490</v>
      </c>
      <c r="W547" s="29">
        <v>45196.701388888891</v>
      </c>
      <c r="X547" s="29">
        <v>45196.732638888891</v>
      </c>
      <c r="Y547" s="30">
        <f t="shared" si="491"/>
        <v>3.125E-2</v>
      </c>
      <c r="Z547" s="29">
        <v>45196.708333333336</v>
      </c>
      <c r="AA547" s="29">
        <v>45196.725694444445</v>
      </c>
      <c r="AB547" s="30">
        <f t="shared" si="492"/>
        <v>1.7361111109494232E-2</v>
      </c>
    </row>
    <row r="548" spans="1:28" x14ac:dyDescent="0.25">
      <c r="A548" s="12">
        <v>45170</v>
      </c>
      <c r="B548" s="13" t="s">
        <v>1070</v>
      </c>
      <c r="C548" s="20">
        <v>45196</v>
      </c>
      <c r="D548" s="13">
        <v>7892844</v>
      </c>
      <c r="E548" s="13" t="s">
        <v>505</v>
      </c>
      <c r="F548" s="13" t="s">
        <v>506</v>
      </c>
      <c r="G548" s="13" t="s">
        <v>132</v>
      </c>
      <c r="H548" s="17">
        <v>5230831</v>
      </c>
      <c r="I548" s="17" t="s">
        <v>35</v>
      </c>
      <c r="J548" s="21" t="s">
        <v>1038</v>
      </c>
      <c r="K548" s="13">
        <v>240</v>
      </c>
      <c r="L548" s="13">
        <v>30</v>
      </c>
      <c r="M548" s="13">
        <f t="shared" si="490"/>
        <v>7200</v>
      </c>
      <c r="N548" s="20">
        <v>45197</v>
      </c>
      <c r="O548" s="13" t="s">
        <v>589</v>
      </c>
      <c r="P548" s="13" t="s">
        <v>134</v>
      </c>
      <c r="Q548" s="123">
        <v>2271</v>
      </c>
      <c r="R548" s="13" t="s">
        <v>1071</v>
      </c>
      <c r="S548" s="31">
        <v>241653182831</v>
      </c>
      <c r="T548" s="20">
        <v>45197</v>
      </c>
      <c r="U548" s="123"/>
      <c r="V548" s="13">
        <v>491</v>
      </c>
      <c r="W548" s="29">
        <v>45197.451388888891</v>
      </c>
      <c r="X548" s="29">
        <v>45197.479166666664</v>
      </c>
      <c r="Y548" s="30">
        <f t="shared" si="491"/>
        <v>2.7777777773735579E-2</v>
      </c>
      <c r="Z548" s="29">
        <v>45197.458333333336</v>
      </c>
      <c r="AA548" s="29">
        <v>45197.46875</v>
      </c>
      <c r="AB548" s="30">
        <f t="shared" si="492"/>
        <v>1.0416666664241347E-2</v>
      </c>
    </row>
    <row r="549" spans="1:28" x14ac:dyDescent="0.25">
      <c r="A549" s="12">
        <v>45170</v>
      </c>
      <c r="B549" s="13" t="s">
        <v>1072</v>
      </c>
      <c r="C549" s="20">
        <v>45198</v>
      </c>
      <c r="D549" s="13">
        <v>7650311</v>
      </c>
      <c r="E549" s="13" t="s">
        <v>859</v>
      </c>
      <c r="F549" s="13" t="s">
        <v>289</v>
      </c>
      <c r="G549" s="13" t="s">
        <v>192</v>
      </c>
      <c r="H549" s="17">
        <v>5212252</v>
      </c>
      <c r="I549" s="17" t="s">
        <v>23</v>
      </c>
      <c r="J549" s="13" t="s">
        <v>1022</v>
      </c>
      <c r="K549" s="13">
        <v>25</v>
      </c>
      <c r="L549" s="13">
        <v>32</v>
      </c>
      <c r="M549" s="13">
        <f t="shared" si="490"/>
        <v>800</v>
      </c>
      <c r="N549" s="20">
        <v>45198</v>
      </c>
      <c r="O549" s="13" t="s">
        <v>399</v>
      </c>
      <c r="P549" s="13" t="s">
        <v>144</v>
      </c>
      <c r="Q549" s="13" t="s">
        <v>30</v>
      </c>
      <c r="R549" s="13" t="s">
        <v>972</v>
      </c>
      <c r="S549" s="31">
        <v>251653870968</v>
      </c>
      <c r="T549" s="20">
        <v>45198</v>
      </c>
      <c r="U549" s="123"/>
      <c r="V549" s="13">
        <v>492</v>
      </c>
      <c r="W549" s="29">
        <v>45198.597222222219</v>
      </c>
      <c r="X549" s="29">
        <v>45198.715277777781</v>
      </c>
      <c r="Y549" s="30">
        <f t="shared" si="491"/>
        <v>0.11805555556202307</v>
      </c>
      <c r="Z549" s="29">
        <v>45198.604166666664</v>
      </c>
      <c r="AA549" s="29">
        <v>45198.708333333336</v>
      </c>
      <c r="AB549" s="30">
        <f t="shared" si="492"/>
        <v>0.10416666667151731</v>
      </c>
    </row>
    <row r="550" spans="1:28" x14ac:dyDescent="0.25">
      <c r="A550" s="12">
        <v>45170</v>
      </c>
      <c r="B550" s="13" t="s">
        <v>1072</v>
      </c>
      <c r="C550" s="20">
        <v>45198</v>
      </c>
      <c r="D550" s="13">
        <v>7734052</v>
      </c>
      <c r="E550" s="13" t="s">
        <v>859</v>
      </c>
      <c r="F550" s="13" t="s">
        <v>289</v>
      </c>
      <c r="G550" s="13" t="s">
        <v>192</v>
      </c>
      <c r="H550" s="17">
        <v>5212252</v>
      </c>
      <c r="I550" s="17" t="s">
        <v>23</v>
      </c>
      <c r="J550" s="13" t="s">
        <v>1066</v>
      </c>
      <c r="K550" s="13">
        <v>25</v>
      </c>
      <c r="L550" s="13">
        <v>528</v>
      </c>
      <c r="M550" s="13">
        <f t="shared" ref="M550" si="493">+L550*K550</f>
        <v>13200</v>
      </c>
      <c r="N550" s="20">
        <v>45198</v>
      </c>
      <c r="O550" s="13" t="s">
        <v>399</v>
      </c>
      <c r="P550" s="13" t="s">
        <v>144</v>
      </c>
      <c r="Q550" s="13" t="s">
        <v>30</v>
      </c>
      <c r="R550" s="13" t="s">
        <v>972</v>
      </c>
      <c r="S550" s="31">
        <v>251653870968</v>
      </c>
      <c r="T550" s="20">
        <v>45198</v>
      </c>
      <c r="U550" s="123"/>
      <c r="V550" s="13">
        <v>492</v>
      </c>
      <c r="W550" s="29">
        <v>45198.597222222219</v>
      </c>
      <c r="X550" s="29">
        <v>45198.715277777781</v>
      </c>
      <c r="Y550" s="30">
        <f t="shared" ref="Y550" si="494">+X550-W550</f>
        <v>0.11805555556202307</v>
      </c>
      <c r="Z550" s="29">
        <v>45198.604166666664</v>
      </c>
      <c r="AA550" s="29">
        <v>45198.708333333336</v>
      </c>
      <c r="AB550" s="30">
        <f t="shared" ref="AB550" si="495">+AA550-Z550</f>
        <v>0.10416666667151731</v>
      </c>
    </row>
    <row r="551" spans="1:28" x14ac:dyDescent="0.25">
      <c r="A551" s="12">
        <v>45170</v>
      </c>
      <c r="B551" s="13" t="s">
        <v>1072</v>
      </c>
      <c r="C551" s="20">
        <v>45198</v>
      </c>
      <c r="D551" s="13">
        <v>5851097</v>
      </c>
      <c r="E551" s="13" t="s">
        <v>859</v>
      </c>
      <c r="F551" s="13" t="s">
        <v>289</v>
      </c>
      <c r="G551" s="13" t="s">
        <v>192</v>
      </c>
      <c r="H551" s="17">
        <v>5211014</v>
      </c>
      <c r="I551" s="17" t="s">
        <v>38</v>
      </c>
      <c r="J551" s="13" t="s">
        <v>95</v>
      </c>
      <c r="K551" s="13">
        <v>25</v>
      </c>
      <c r="L551" s="13">
        <v>160</v>
      </c>
      <c r="M551" s="13">
        <f t="shared" ref="M551:M554" si="496">+L551*K551</f>
        <v>4000</v>
      </c>
      <c r="N551" s="20">
        <v>45198</v>
      </c>
      <c r="O551" s="13" t="s">
        <v>399</v>
      </c>
      <c r="P551" s="13" t="s">
        <v>144</v>
      </c>
      <c r="Q551" s="13" t="s">
        <v>30</v>
      </c>
      <c r="R551" s="13" t="s">
        <v>972</v>
      </c>
      <c r="S551" s="31">
        <v>251653870968</v>
      </c>
      <c r="T551" s="20">
        <v>45198</v>
      </c>
      <c r="U551" s="123"/>
      <c r="V551" s="13">
        <v>492</v>
      </c>
      <c r="W551" s="29">
        <v>45198.597222222219</v>
      </c>
      <c r="X551" s="29">
        <v>45198.715277777781</v>
      </c>
      <c r="Y551" s="30">
        <f t="shared" ref="Y551:Y552" si="497">+X551-W551</f>
        <v>0.11805555556202307</v>
      </c>
      <c r="Z551" s="29">
        <v>45198.604166666664</v>
      </c>
      <c r="AA551" s="29">
        <v>45198.708333333336</v>
      </c>
      <c r="AB551" s="30">
        <f t="shared" ref="AB551:AB552" si="498">+AA551-Z551</f>
        <v>0.10416666667151731</v>
      </c>
    </row>
    <row r="552" spans="1:28" x14ac:dyDescent="0.25">
      <c r="A552" s="12">
        <v>45170</v>
      </c>
      <c r="B552" s="13" t="s">
        <v>1072</v>
      </c>
      <c r="C552" s="20">
        <v>45198</v>
      </c>
      <c r="D552" s="13">
        <v>5743038</v>
      </c>
      <c r="E552" s="13" t="s">
        <v>859</v>
      </c>
      <c r="F552" s="13" t="s">
        <v>289</v>
      </c>
      <c r="G552" s="13" t="s">
        <v>192</v>
      </c>
      <c r="H552" s="17">
        <v>5210451</v>
      </c>
      <c r="I552" s="17" t="s">
        <v>29</v>
      </c>
      <c r="J552" s="13" t="s">
        <v>82</v>
      </c>
      <c r="K552" s="13">
        <v>25</v>
      </c>
      <c r="L552" s="13">
        <v>40</v>
      </c>
      <c r="M552" s="13">
        <f t="shared" si="496"/>
        <v>1000</v>
      </c>
      <c r="N552" s="20">
        <v>45198</v>
      </c>
      <c r="O552" s="13" t="s">
        <v>399</v>
      </c>
      <c r="P552" s="13" t="s">
        <v>144</v>
      </c>
      <c r="Q552" s="13" t="s">
        <v>30</v>
      </c>
      <c r="R552" s="13" t="s">
        <v>972</v>
      </c>
      <c r="S552" s="31">
        <v>251653870968</v>
      </c>
      <c r="T552" s="20">
        <v>45198</v>
      </c>
      <c r="U552" s="123"/>
      <c r="V552" s="13">
        <v>492</v>
      </c>
      <c r="W552" s="29">
        <v>45198.597222222219</v>
      </c>
      <c r="X552" s="29">
        <v>45198.715277777781</v>
      </c>
      <c r="Y552" s="30">
        <f t="shared" si="497"/>
        <v>0.11805555556202307</v>
      </c>
      <c r="Z552" s="29">
        <v>45198.604166666664</v>
      </c>
      <c r="AA552" s="29">
        <v>45198.708333333336</v>
      </c>
      <c r="AB552" s="30">
        <f t="shared" si="498"/>
        <v>0.10416666667151731</v>
      </c>
    </row>
    <row r="553" spans="1:28" x14ac:dyDescent="0.25">
      <c r="A553" s="12">
        <v>45170</v>
      </c>
      <c r="B553" s="13" t="s">
        <v>1073</v>
      </c>
      <c r="C553" s="20">
        <v>45198</v>
      </c>
      <c r="D553" s="13">
        <v>7734052</v>
      </c>
      <c r="E553" s="13" t="s">
        <v>859</v>
      </c>
      <c r="F553" s="13" t="s">
        <v>289</v>
      </c>
      <c r="G553" s="13" t="s">
        <v>192</v>
      </c>
      <c r="H553" s="17">
        <v>5212252</v>
      </c>
      <c r="I553" s="17" t="s">
        <v>23</v>
      </c>
      <c r="J553" s="13" t="s">
        <v>1066</v>
      </c>
      <c r="K553" s="13">
        <v>25</v>
      </c>
      <c r="L553" s="13">
        <v>440</v>
      </c>
      <c r="M553" s="13">
        <f t="shared" si="496"/>
        <v>11000</v>
      </c>
      <c r="N553" s="20">
        <v>45198</v>
      </c>
      <c r="O553" s="13" t="s">
        <v>399</v>
      </c>
      <c r="P553" s="13" t="s">
        <v>144</v>
      </c>
      <c r="Q553" s="13" t="s">
        <v>30</v>
      </c>
      <c r="R553" s="13" t="s">
        <v>972</v>
      </c>
      <c r="S553" s="31">
        <v>271653868914</v>
      </c>
      <c r="T553" s="20">
        <v>45198</v>
      </c>
      <c r="U553" s="123"/>
      <c r="V553" s="13">
        <v>492</v>
      </c>
      <c r="W553" s="29">
        <v>45198.597222222219</v>
      </c>
      <c r="X553" s="29">
        <v>45198.715277777781</v>
      </c>
      <c r="Y553" s="30">
        <f t="shared" ref="Y553:Y554" si="499">+X553-W553</f>
        <v>0.11805555556202307</v>
      </c>
      <c r="Z553" s="29">
        <v>45198.604166666664</v>
      </c>
      <c r="AA553" s="29">
        <v>45198.708333333336</v>
      </c>
      <c r="AB553" s="30">
        <f t="shared" ref="AB553:AB554" si="500">+AA553-Z553</f>
        <v>0.10416666667151731</v>
      </c>
    </row>
    <row r="554" spans="1:28" x14ac:dyDescent="0.25">
      <c r="A554" s="12">
        <v>45170</v>
      </c>
      <c r="B554" s="13" t="s">
        <v>1074</v>
      </c>
      <c r="C554" s="20">
        <v>45198</v>
      </c>
      <c r="D554" s="13">
        <v>7197282</v>
      </c>
      <c r="E554" s="13" t="s">
        <v>1075</v>
      </c>
      <c r="F554" s="13" t="s">
        <v>1076</v>
      </c>
      <c r="G554" s="13" t="s">
        <v>132</v>
      </c>
      <c r="H554" s="17">
        <v>5309040</v>
      </c>
      <c r="I554" s="17" t="s">
        <v>105</v>
      </c>
      <c r="J554" s="13" t="s">
        <v>811</v>
      </c>
      <c r="K554" s="13">
        <v>250</v>
      </c>
      <c r="L554" s="13">
        <v>40</v>
      </c>
      <c r="M554" s="13">
        <f t="shared" si="496"/>
        <v>10000</v>
      </c>
      <c r="N554" s="20">
        <v>45198</v>
      </c>
      <c r="O554" s="13" t="s">
        <v>1077</v>
      </c>
      <c r="P554" s="13" t="s">
        <v>134</v>
      </c>
      <c r="Q554" s="123">
        <v>2272</v>
      </c>
      <c r="R554" s="13" t="s">
        <v>1078</v>
      </c>
      <c r="S554" s="31">
        <v>261653836215</v>
      </c>
      <c r="T554" s="20">
        <v>45198</v>
      </c>
      <c r="U554" s="123"/>
      <c r="V554" s="13">
        <v>493</v>
      </c>
      <c r="W554" s="29">
        <v>45198.673611111109</v>
      </c>
      <c r="X554" s="29">
        <v>45198.722222222219</v>
      </c>
      <c r="Y554" s="30">
        <f t="shared" si="499"/>
        <v>4.8611111109494232E-2</v>
      </c>
      <c r="Z554" s="29">
        <v>45198.680555555555</v>
      </c>
      <c r="AA554" s="29">
        <v>45198.715277777781</v>
      </c>
      <c r="AB554" s="30">
        <f t="shared" si="500"/>
        <v>3.4722222226264421E-2</v>
      </c>
    </row>
    <row r="555" spans="1:28" x14ac:dyDescent="0.25">
      <c r="A555" s="12">
        <v>45170</v>
      </c>
      <c r="B555" s="13" t="s">
        <v>1079</v>
      </c>
      <c r="C555" s="20">
        <v>45198</v>
      </c>
      <c r="D555" s="13">
        <v>7197282</v>
      </c>
      <c r="E555" s="13" t="s">
        <v>1075</v>
      </c>
      <c r="F555" s="13" t="s">
        <v>1076</v>
      </c>
      <c r="G555" s="13" t="s">
        <v>132</v>
      </c>
      <c r="H555" s="17">
        <v>5309040</v>
      </c>
      <c r="I555" s="17" t="s">
        <v>105</v>
      </c>
      <c r="J555" s="13" t="s">
        <v>811</v>
      </c>
      <c r="K555" s="13">
        <v>250</v>
      </c>
      <c r="L555" s="13">
        <v>40</v>
      </c>
      <c r="M555" s="13">
        <f t="shared" ref="M555:M564" si="501">+L555*K555</f>
        <v>10000</v>
      </c>
      <c r="N555" s="20">
        <v>45198</v>
      </c>
      <c r="O555" s="13" t="s">
        <v>1077</v>
      </c>
      <c r="P555" s="13" t="s">
        <v>134</v>
      </c>
      <c r="Q555" s="123">
        <v>2272</v>
      </c>
      <c r="R555" s="13" t="s">
        <v>784</v>
      </c>
      <c r="S555" s="31">
        <v>251653942296</v>
      </c>
      <c r="T555" s="20">
        <v>45198</v>
      </c>
      <c r="U555" s="123"/>
      <c r="V555" s="13">
        <v>494</v>
      </c>
      <c r="W555" s="29">
        <v>45198.756944444445</v>
      </c>
      <c r="X555" s="29">
        <v>45198.805555555555</v>
      </c>
      <c r="Y555" s="30">
        <f t="shared" ref="Y555:Y557" si="502">+X555-W555</f>
        <v>4.8611111109494232E-2</v>
      </c>
      <c r="Z555" s="29">
        <v>45198.763888888891</v>
      </c>
      <c r="AA555" s="29">
        <v>45198.795138888891</v>
      </c>
      <c r="AB555" s="30">
        <f t="shared" ref="AB555:AB557" si="503">+AA555-Z555</f>
        <v>3.125E-2</v>
      </c>
    </row>
    <row r="556" spans="1:28" x14ac:dyDescent="0.25">
      <c r="A556" s="12">
        <v>45170</v>
      </c>
      <c r="B556" s="13" t="s">
        <v>1083</v>
      </c>
      <c r="C556" s="20">
        <v>45198</v>
      </c>
      <c r="D556" s="13">
        <v>5743038</v>
      </c>
      <c r="E556" s="13" t="s">
        <v>837</v>
      </c>
      <c r="F556" s="13" t="s">
        <v>386</v>
      </c>
      <c r="G556" s="13" t="s">
        <v>192</v>
      </c>
      <c r="H556" s="17">
        <v>5210451</v>
      </c>
      <c r="I556" s="17" t="s">
        <v>29</v>
      </c>
      <c r="J556" s="13" t="s">
        <v>82</v>
      </c>
      <c r="K556" s="13">
        <v>25</v>
      </c>
      <c r="L556" s="13">
        <v>80</v>
      </c>
      <c r="M556" s="13">
        <f t="shared" si="501"/>
        <v>2000</v>
      </c>
      <c r="N556" s="20">
        <v>45199</v>
      </c>
      <c r="O556" s="13" t="s">
        <v>193</v>
      </c>
      <c r="P556" s="13" t="s">
        <v>144</v>
      </c>
      <c r="Q556" s="13" t="s">
        <v>30</v>
      </c>
      <c r="R556" s="13" t="s">
        <v>1084</v>
      </c>
      <c r="S556" s="31">
        <v>231654311642</v>
      </c>
      <c r="T556" s="20">
        <v>45199</v>
      </c>
      <c r="U556" s="123"/>
      <c r="V556" s="13">
        <v>495</v>
      </c>
      <c r="W556" s="29">
        <v>45199.583333333336</v>
      </c>
      <c r="X556" s="29">
        <v>45199.604166666664</v>
      </c>
      <c r="Y556" s="30">
        <f t="shared" si="502"/>
        <v>2.0833333328482695E-2</v>
      </c>
      <c r="Z556" s="29">
        <v>45199.590277777781</v>
      </c>
      <c r="AA556" s="29">
        <v>45199.597222222219</v>
      </c>
      <c r="AB556" s="30">
        <f t="shared" si="503"/>
        <v>6.9444444379769266E-3</v>
      </c>
    </row>
    <row r="557" spans="1:28" x14ac:dyDescent="0.25">
      <c r="A557" s="12">
        <v>45170</v>
      </c>
      <c r="B557" s="13" t="s">
        <v>1085</v>
      </c>
      <c r="C557" s="20">
        <v>45198</v>
      </c>
      <c r="D557" s="13">
        <v>5851097</v>
      </c>
      <c r="E557" s="13" t="s">
        <v>191</v>
      </c>
      <c r="F557" s="13" t="s">
        <v>135</v>
      </c>
      <c r="G557" s="13" t="s">
        <v>192</v>
      </c>
      <c r="H557" s="17">
        <v>5211014</v>
      </c>
      <c r="I557" s="17" t="s">
        <v>38</v>
      </c>
      <c r="J557" s="13" t="s">
        <v>95</v>
      </c>
      <c r="K557" s="13">
        <v>25</v>
      </c>
      <c r="L557" s="123">
        <v>645</v>
      </c>
      <c r="M557" s="13">
        <f t="shared" si="501"/>
        <v>16125</v>
      </c>
      <c r="N557" s="20">
        <v>45199</v>
      </c>
      <c r="O557" s="13" t="s">
        <v>204</v>
      </c>
      <c r="P557" s="13" t="s">
        <v>144</v>
      </c>
      <c r="Q557" s="13" t="s">
        <v>30</v>
      </c>
      <c r="R557" s="13" t="s">
        <v>1086</v>
      </c>
      <c r="S557" s="31">
        <v>281654370284</v>
      </c>
      <c r="T557" s="20">
        <v>45199</v>
      </c>
      <c r="U557" s="123"/>
      <c r="V557" s="13">
        <v>496</v>
      </c>
      <c r="W557" s="29">
        <v>45199.458333333336</v>
      </c>
      <c r="X557" s="29">
        <v>45199.663194444445</v>
      </c>
      <c r="Y557" s="30">
        <f t="shared" si="502"/>
        <v>0.20486111110949423</v>
      </c>
      <c r="Z557" s="29">
        <v>45199.517361111109</v>
      </c>
      <c r="AA557" s="29">
        <v>45199.65625</v>
      </c>
      <c r="AB557" s="30">
        <f t="shared" si="503"/>
        <v>0.13888888889050577</v>
      </c>
    </row>
    <row r="558" spans="1:28" x14ac:dyDescent="0.25">
      <c r="A558" s="12">
        <v>45170</v>
      </c>
      <c r="B558" s="13" t="s">
        <v>1085</v>
      </c>
      <c r="C558" s="20">
        <v>45198</v>
      </c>
      <c r="D558" s="13">
        <v>5743118</v>
      </c>
      <c r="E558" s="13" t="s">
        <v>191</v>
      </c>
      <c r="F558" s="13" t="s">
        <v>135</v>
      </c>
      <c r="G558" s="13" t="s">
        <v>192</v>
      </c>
      <c r="H558" s="17">
        <v>5210451</v>
      </c>
      <c r="I558" s="17" t="s">
        <v>29</v>
      </c>
      <c r="J558" s="13" t="s">
        <v>79</v>
      </c>
      <c r="K558" s="13">
        <v>25</v>
      </c>
      <c r="L558" s="123">
        <v>544</v>
      </c>
      <c r="M558" s="13">
        <f t="shared" si="501"/>
        <v>13600</v>
      </c>
      <c r="N558" s="20">
        <v>45199</v>
      </c>
      <c r="O558" s="13" t="s">
        <v>204</v>
      </c>
      <c r="P558" s="13" t="s">
        <v>144</v>
      </c>
      <c r="Q558" s="13" t="s">
        <v>30</v>
      </c>
      <c r="R558" s="13" t="s">
        <v>1086</v>
      </c>
      <c r="S558" s="31">
        <v>281654370284</v>
      </c>
      <c r="T558" s="20">
        <v>45199</v>
      </c>
      <c r="U558" s="123"/>
      <c r="V558" s="13">
        <v>496</v>
      </c>
      <c r="W558" s="29">
        <v>45199.458333333336</v>
      </c>
      <c r="X558" s="29">
        <v>45199.663194444445</v>
      </c>
      <c r="Y558" s="30">
        <f t="shared" ref="Y558:Y560" si="504">+X558-W558</f>
        <v>0.20486111110949423</v>
      </c>
      <c r="Z558" s="29">
        <v>45199.517361111109</v>
      </c>
      <c r="AA558" s="29">
        <v>45199.65625</v>
      </c>
      <c r="AB558" s="30">
        <f t="shared" ref="AB558:AB560" si="505">+AA558-Z558</f>
        <v>0.13888888889050577</v>
      </c>
    </row>
    <row r="559" spans="1:28" x14ac:dyDescent="0.25">
      <c r="A559" s="12">
        <v>45170</v>
      </c>
      <c r="B559" s="13" t="s">
        <v>1085</v>
      </c>
      <c r="C559" s="20">
        <v>45198</v>
      </c>
      <c r="D559" s="13">
        <v>5743118</v>
      </c>
      <c r="E559" s="13" t="s">
        <v>191</v>
      </c>
      <c r="F559" s="13" t="s">
        <v>135</v>
      </c>
      <c r="G559" s="13" t="s">
        <v>192</v>
      </c>
      <c r="H559" s="17">
        <v>5210451</v>
      </c>
      <c r="I559" s="17" t="s">
        <v>29</v>
      </c>
      <c r="J559" s="13" t="s">
        <v>80</v>
      </c>
      <c r="K559" s="13">
        <v>25</v>
      </c>
      <c r="L559" s="123">
        <v>211</v>
      </c>
      <c r="M559" s="13">
        <f t="shared" si="501"/>
        <v>5275</v>
      </c>
      <c r="N559" s="20">
        <v>45199</v>
      </c>
      <c r="O559" s="13" t="s">
        <v>204</v>
      </c>
      <c r="P559" s="13" t="s">
        <v>144</v>
      </c>
      <c r="Q559" s="13" t="s">
        <v>30</v>
      </c>
      <c r="R559" s="13" t="s">
        <v>1086</v>
      </c>
      <c r="S559" s="31">
        <v>281654370284</v>
      </c>
      <c r="T559" s="20">
        <v>45199</v>
      </c>
      <c r="U559" s="123"/>
      <c r="V559" s="13">
        <v>496</v>
      </c>
      <c r="W559" s="29">
        <v>45199.458333333336</v>
      </c>
      <c r="X559" s="29">
        <v>45199.663194444445</v>
      </c>
      <c r="Y559" s="30">
        <f t="shared" ref="Y559" si="506">+X559-W559</f>
        <v>0.20486111110949423</v>
      </c>
      <c r="Z559" s="29">
        <v>45199.517361111109</v>
      </c>
      <c r="AA559" s="29">
        <v>45199.65625</v>
      </c>
      <c r="AB559" s="30">
        <f t="shared" ref="AB559" si="507">+AA559-Z559</f>
        <v>0.13888888889050577</v>
      </c>
    </row>
    <row r="560" spans="1:28" x14ac:dyDescent="0.25">
      <c r="A560" s="12">
        <v>45170</v>
      </c>
      <c r="B560" s="13" t="s">
        <v>1087</v>
      </c>
      <c r="C560" s="20">
        <v>45198</v>
      </c>
      <c r="D560" s="13">
        <v>5743118</v>
      </c>
      <c r="E560" s="13" t="s">
        <v>191</v>
      </c>
      <c r="F560" s="13" t="s">
        <v>135</v>
      </c>
      <c r="G560" s="13" t="s">
        <v>192</v>
      </c>
      <c r="H560" s="17">
        <v>5210451</v>
      </c>
      <c r="I560" s="17" t="s">
        <v>29</v>
      </c>
      <c r="J560" s="13" t="s">
        <v>80</v>
      </c>
      <c r="K560" s="13">
        <v>25</v>
      </c>
      <c r="L560" s="123">
        <v>285</v>
      </c>
      <c r="M560" s="13">
        <f t="shared" si="501"/>
        <v>7125</v>
      </c>
      <c r="N560" s="20">
        <v>45199</v>
      </c>
      <c r="O560" s="13" t="s">
        <v>136</v>
      </c>
      <c r="P560" s="13" t="s">
        <v>144</v>
      </c>
      <c r="Q560" s="13" t="s">
        <v>30</v>
      </c>
      <c r="R560" s="13" t="s">
        <v>784</v>
      </c>
      <c r="S560" s="31">
        <v>231654363359</v>
      </c>
      <c r="T560" s="20">
        <v>45199</v>
      </c>
      <c r="U560" s="123"/>
      <c r="V560" s="13">
        <v>497</v>
      </c>
      <c r="W560" s="29">
        <v>45199.5</v>
      </c>
      <c r="X560" s="29">
        <v>45199.666666666664</v>
      </c>
      <c r="Y560" s="30">
        <f t="shared" si="504"/>
        <v>0.16666666666424135</v>
      </c>
      <c r="Z560" s="29">
        <v>45199.625</v>
      </c>
      <c r="AA560" s="29">
        <v>45199.659722222219</v>
      </c>
      <c r="AB560" s="30">
        <f t="shared" si="505"/>
        <v>3.4722222218988463E-2</v>
      </c>
    </row>
    <row r="561" spans="1:28" x14ac:dyDescent="0.25">
      <c r="A561" s="12">
        <v>45170</v>
      </c>
      <c r="B561" s="13" t="s">
        <v>1087</v>
      </c>
      <c r="C561" s="20">
        <v>45198</v>
      </c>
      <c r="D561" s="13">
        <v>5743038</v>
      </c>
      <c r="E561" s="13" t="s">
        <v>191</v>
      </c>
      <c r="F561" s="13" t="s">
        <v>135</v>
      </c>
      <c r="G561" s="13" t="s">
        <v>192</v>
      </c>
      <c r="H561" s="17">
        <v>5210451</v>
      </c>
      <c r="I561" s="17" t="s">
        <v>29</v>
      </c>
      <c r="J561" s="13" t="s">
        <v>82</v>
      </c>
      <c r="K561" s="13">
        <v>25</v>
      </c>
      <c r="L561" s="123">
        <v>10</v>
      </c>
      <c r="M561" s="123">
        <f t="shared" si="501"/>
        <v>250</v>
      </c>
      <c r="N561" s="20">
        <v>45199</v>
      </c>
      <c r="O561" s="13" t="s">
        <v>136</v>
      </c>
      <c r="P561" s="13" t="s">
        <v>144</v>
      </c>
      <c r="Q561" s="13" t="s">
        <v>30</v>
      </c>
      <c r="R561" s="13" t="s">
        <v>784</v>
      </c>
      <c r="S561" s="31">
        <v>231654363359</v>
      </c>
      <c r="T561" s="20">
        <v>45199</v>
      </c>
      <c r="U561" s="123"/>
      <c r="V561" s="13">
        <v>497</v>
      </c>
      <c r="W561" s="29">
        <v>45199.5</v>
      </c>
      <c r="X561" s="29">
        <v>45199.666666666664</v>
      </c>
      <c r="Y561" s="30">
        <f t="shared" ref="Y561" si="508">+X561-W561</f>
        <v>0.16666666666424135</v>
      </c>
      <c r="Z561" s="29">
        <v>45199.625</v>
      </c>
      <c r="AA561" s="29">
        <v>45199.659722222219</v>
      </c>
      <c r="AB561" s="30">
        <f t="shared" ref="AB561" si="509">+AA561-Z561</f>
        <v>3.4722222218988463E-2</v>
      </c>
    </row>
    <row r="562" spans="1:28" x14ac:dyDescent="0.25">
      <c r="A562" s="12">
        <v>45170</v>
      </c>
      <c r="B562" s="13" t="s">
        <v>1087</v>
      </c>
      <c r="C562" s="20">
        <v>45198</v>
      </c>
      <c r="D562" s="13">
        <v>5743118</v>
      </c>
      <c r="E562" s="13" t="s">
        <v>191</v>
      </c>
      <c r="F562" s="13" t="s">
        <v>135</v>
      </c>
      <c r="G562" s="13" t="s">
        <v>192</v>
      </c>
      <c r="H562" s="17">
        <v>5211003</v>
      </c>
      <c r="I562" s="17" t="s">
        <v>31</v>
      </c>
      <c r="J562" s="13" t="s">
        <v>85</v>
      </c>
      <c r="K562" s="13">
        <v>25</v>
      </c>
      <c r="L562" s="123">
        <v>20</v>
      </c>
      <c r="M562" s="123">
        <f t="shared" si="501"/>
        <v>500</v>
      </c>
      <c r="N562" s="20">
        <v>45199</v>
      </c>
      <c r="O562" s="13" t="s">
        <v>136</v>
      </c>
      <c r="P562" s="13" t="s">
        <v>144</v>
      </c>
      <c r="Q562" s="13" t="s">
        <v>30</v>
      </c>
      <c r="R562" s="13" t="s">
        <v>784</v>
      </c>
      <c r="S562" s="31">
        <v>231654363359</v>
      </c>
      <c r="T562" s="20">
        <v>45199</v>
      </c>
      <c r="U562" s="123"/>
      <c r="V562" s="13">
        <v>497</v>
      </c>
      <c r="W562" s="29">
        <v>45199.5</v>
      </c>
      <c r="X562" s="29">
        <v>45199.666666666664</v>
      </c>
      <c r="Y562" s="30">
        <f t="shared" ref="Y562:Y566" si="510">+X562-W562</f>
        <v>0.16666666666424135</v>
      </c>
      <c r="Z562" s="29">
        <v>45199.625</v>
      </c>
      <c r="AA562" s="29">
        <v>45199.659722222219</v>
      </c>
      <c r="AB562" s="30">
        <f t="shared" ref="AB562:AB566" si="511">+AA562-Z562</f>
        <v>3.4722222218988463E-2</v>
      </c>
    </row>
    <row r="563" spans="1:28" x14ac:dyDescent="0.25">
      <c r="A563" s="12">
        <v>45170</v>
      </c>
      <c r="B563" s="13" t="s">
        <v>1087</v>
      </c>
      <c r="C563" s="20">
        <v>45198</v>
      </c>
      <c r="D563" s="13">
        <v>6335852</v>
      </c>
      <c r="E563" s="13" t="s">
        <v>191</v>
      </c>
      <c r="F563" s="13" t="s">
        <v>135</v>
      </c>
      <c r="G563" s="13" t="s">
        <v>192</v>
      </c>
      <c r="H563" s="17">
        <v>5210162</v>
      </c>
      <c r="I563" s="17" t="s">
        <v>24</v>
      </c>
      <c r="J563" s="13" t="s">
        <v>376</v>
      </c>
      <c r="K563" s="13">
        <v>25</v>
      </c>
      <c r="L563" s="123">
        <v>40</v>
      </c>
      <c r="M563" s="123">
        <f t="shared" si="501"/>
        <v>1000</v>
      </c>
      <c r="N563" s="20">
        <v>45199</v>
      </c>
      <c r="O563" s="13" t="s">
        <v>136</v>
      </c>
      <c r="P563" s="13" t="s">
        <v>144</v>
      </c>
      <c r="Q563" s="13" t="s">
        <v>30</v>
      </c>
      <c r="R563" s="13" t="s">
        <v>784</v>
      </c>
      <c r="S563" s="31">
        <v>231654363359</v>
      </c>
      <c r="T563" s="20">
        <v>45199</v>
      </c>
      <c r="U563" s="123"/>
      <c r="V563" s="13">
        <v>497</v>
      </c>
      <c r="W563" s="29">
        <v>45199.5</v>
      </c>
      <c r="X563" s="29">
        <v>45199.666666666664</v>
      </c>
      <c r="Y563" s="30">
        <f t="shared" si="510"/>
        <v>0.16666666666424135</v>
      </c>
      <c r="Z563" s="29">
        <v>45199.625</v>
      </c>
      <c r="AA563" s="29">
        <v>45199.659722222219</v>
      </c>
      <c r="AB563" s="30">
        <f t="shared" si="511"/>
        <v>3.4722222218988463E-2</v>
      </c>
    </row>
    <row r="564" spans="1:28" x14ac:dyDescent="0.25">
      <c r="A564" s="12">
        <v>45170</v>
      </c>
      <c r="B564" s="13" t="s">
        <v>1088</v>
      </c>
      <c r="C564" s="20">
        <v>45198</v>
      </c>
      <c r="D564" s="13">
        <v>7892844</v>
      </c>
      <c r="E564" s="13" t="s">
        <v>1089</v>
      </c>
      <c r="F564" s="13" t="s">
        <v>215</v>
      </c>
      <c r="G564" s="13" t="s">
        <v>132</v>
      </c>
      <c r="H564" s="17">
        <v>5230831</v>
      </c>
      <c r="I564" s="17" t="s">
        <v>35</v>
      </c>
      <c r="J564" s="21" t="s">
        <v>1038</v>
      </c>
      <c r="K564" s="13">
        <v>240</v>
      </c>
      <c r="L564" s="123">
        <v>20</v>
      </c>
      <c r="M564" s="123">
        <f t="shared" si="501"/>
        <v>4800</v>
      </c>
      <c r="N564" s="20">
        <v>45199</v>
      </c>
      <c r="O564" s="13" t="s">
        <v>298</v>
      </c>
      <c r="P564" s="13" t="s">
        <v>134</v>
      </c>
      <c r="Q564" s="123">
        <v>2274</v>
      </c>
      <c r="R564" s="13" t="s">
        <v>1090</v>
      </c>
      <c r="S564" s="31">
        <v>281654455367</v>
      </c>
      <c r="T564" s="20">
        <v>45199</v>
      </c>
      <c r="U564" s="123"/>
      <c r="V564" s="13">
        <v>498</v>
      </c>
      <c r="W564" s="29">
        <v>45199.6875</v>
      </c>
      <c r="X564" s="29">
        <v>45199.708333333336</v>
      </c>
      <c r="Y564" s="30">
        <f t="shared" si="510"/>
        <v>2.0833333335758653E-2</v>
      </c>
      <c r="Z564" s="29">
        <v>45199.694444444445</v>
      </c>
      <c r="AA564" s="29">
        <v>45199.701388888891</v>
      </c>
      <c r="AB564" s="30">
        <f t="shared" si="511"/>
        <v>6.9444444452528842E-3</v>
      </c>
    </row>
    <row r="565" spans="1:28" x14ac:dyDescent="0.25">
      <c r="A565" s="12">
        <v>45200</v>
      </c>
      <c r="B565" s="13" t="s">
        <v>1091</v>
      </c>
      <c r="C565" s="20">
        <v>45198</v>
      </c>
      <c r="D565" s="13">
        <v>7197282</v>
      </c>
      <c r="E565" s="13" t="s">
        <v>897</v>
      </c>
      <c r="F565" s="13" t="s">
        <v>506</v>
      </c>
      <c r="G565" s="13" t="s">
        <v>132</v>
      </c>
      <c r="H565" s="17">
        <v>5309040</v>
      </c>
      <c r="I565" s="17" t="s">
        <v>105</v>
      </c>
      <c r="J565" s="13" t="s">
        <v>811</v>
      </c>
      <c r="K565" s="13">
        <v>250</v>
      </c>
      <c r="L565" s="123">
        <v>32</v>
      </c>
      <c r="M565" s="13">
        <f t="shared" ref="M565:M566" si="512">+L565*K565</f>
        <v>8000</v>
      </c>
      <c r="N565" s="20">
        <v>45200</v>
      </c>
      <c r="O565" s="13" t="s">
        <v>177</v>
      </c>
      <c r="P565" s="13" t="s">
        <v>144</v>
      </c>
      <c r="Q565" s="13" t="s">
        <v>30</v>
      </c>
      <c r="R565" s="123" t="s">
        <v>1092</v>
      </c>
      <c r="S565" s="31">
        <v>251654821994</v>
      </c>
      <c r="T565" s="20">
        <v>45200</v>
      </c>
      <c r="U565" s="123"/>
      <c r="V565" s="13">
        <v>499</v>
      </c>
      <c r="W565" s="29">
        <v>45200.479166666664</v>
      </c>
      <c r="X565" s="29">
        <v>45200.569444444445</v>
      </c>
      <c r="Y565" s="30">
        <f t="shared" si="510"/>
        <v>9.0277777781011537E-2</v>
      </c>
      <c r="Z565" s="29">
        <v>45200.503472222219</v>
      </c>
      <c r="AA565" s="29">
        <v>45200.5625</v>
      </c>
      <c r="AB565" s="30">
        <f t="shared" si="511"/>
        <v>5.9027777781011537E-2</v>
      </c>
    </row>
    <row r="566" spans="1:28" x14ac:dyDescent="0.25">
      <c r="A566" s="12">
        <v>45200</v>
      </c>
      <c r="B566" s="13" t="s">
        <v>1093</v>
      </c>
      <c r="C566" s="20">
        <v>45202</v>
      </c>
      <c r="D566" s="123" t="s">
        <v>30</v>
      </c>
      <c r="E566" s="13" t="s">
        <v>624</v>
      </c>
      <c r="F566" s="13" t="s">
        <v>625</v>
      </c>
      <c r="G566" s="13" t="s">
        <v>132</v>
      </c>
      <c r="H566" s="17">
        <v>5230831</v>
      </c>
      <c r="I566" s="17" t="s">
        <v>35</v>
      </c>
      <c r="J566" s="14" t="s">
        <v>1080</v>
      </c>
      <c r="K566" s="13">
        <v>240</v>
      </c>
      <c r="L566" s="13">
        <v>3</v>
      </c>
      <c r="M566" s="13">
        <f t="shared" si="512"/>
        <v>720</v>
      </c>
      <c r="N566" s="20">
        <v>45202</v>
      </c>
      <c r="O566" s="13" t="s">
        <v>177</v>
      </c>
      <c r="P566" s="13" t="s">
        <v>134</v>
      </c>
      <c r="Q566" s="123">
        <v>2275</v>
      </c>
      <c r="R566" s="13" t="s">
        <v>1094</v>
      </c>
      <c r="S566" s="31">
        <v>271655688703</v>
      </c>
      <c r="T566" s="20">
        <v>45202</v>
      </c>
      <c r="U566" s="123"/>
      <c r="V566" s="13">
        <v>500</v>
      </c>
      <c r="W566" s="29">
        <v>45202.534722222219</v>
      </c>
      <c r="X566" s="29">
        <v>45202.739583333336</v>
      </c>
      <c r="Y566" s="30">
        <f t="shared" si="510"/>
        <v>0.20486111111677019</v>
      </c>
      <c r="Z566" s="29">
        <v>45202.545138888891</v>
      </c>
      <c r="AA566" s="29">
        <v>45202.555555555555</v>
      </c>
      <c r="AB566" s="30">
        <f t="shared" si="511"/>
        <v>1.0416666664241347E-2</v>
      </c>
    </row>
    <row r="567" spans="1:28" x14ac:dyDescent="0.25">
      <c r="A567" s="12">
        <v>45200</v>
      </c>
      <c r="B567" s="13" t="s">
        <v>1093</v>
      </c>
      <c r="C567" s="20">
        <v>45202</v>
      </c>
      <c r="D567" s="13">
        <v>7892844</v>
      </c>
      <c r="E567" s="13" t="s">
        <v>624</v>
      </c>
      <c r="F567" s="13" t="s">
        <v>625</v>
      </c>
      <c r="G567" s="13" t="s">
        <v>132</v>
      </c>
      <c r="H567" s="17">
        <v>5230831</v>
      </c>
      <c r="I567" s="17" t="s">
        <v>35</v>
      </c>
      <c r="J567" s="21" t="s">
        <v>1038</v>
      </c>
      <c r="K567" s="13">
        <v>240</v>
      </c>
      <c r="L567" s="13">
        <v>27</v>
      </c>
      <c r="M567" s="13">
        <f t="shared" ref="M567:M571" si="513">+L567*K567</f>
        <v>6480</v>
      </c>
      <c r="N567" s="20">
        <v>45202</v>
      </c>
      <c r="O567" s="13" t="s">
        <v>177</v>
      </c>
      <c r="P567" s="13" t="s">
        <v>134</v>
      </c>
      <c r="Q567" s="123">
        <v>2275</v>
      </c>
      <c r="R567" s="13" t="s">
        <v>1094</v>
      </c>
      <c r="S567" s="31">
        <v>271655688703</v>
      </c>
      <c r="T567" s="20">
        <v>45202</v>
      </c>
      <c r="U567" s="123"/>
      <c r="V567" s="13">
        <v>500</v>
      </c>
      <c r="W567" s="29">
        <v>45202.534722222219</v>
      </c>
      <c r="X567" s="29">
        <v>45202.739583333336</v>
      </c>
      <c r="Y567" s="30">
        <f t="shared" ref="Y567:Y568" si="514">+X567-W567</f>
        <v>0.20486111111677019</v>
      </c>
      <c r="Z567" s="29">
        <v>45202.545138888891</v>
      </c>
      <c r="AA567" s="29">
        <v>45202.555555555555</v>
      </c>
      <c r="AB567" s="30">
        <f t="shared" ref="AB567:AB568" si="515">+AA567-Z567</f>
        <v>1.0416666664241347E-2</v>
      </c>
    </row>
    <row r="568" spans="1:28" x14ac:dyDescent="0.25">
      <c r="A568" s="12">
        <v>45200</v>
      </c>
      <c r="B568" s="13" t="s">
        <v>1108</v>
      </c>
      <c r="C568" s="20">
        <v>45203</v>
      </c>
      <c r="D568" s="13">
        <v>7892844</v>
      </c>
      <c r="E568" s="13" t="s">
        <v>196</v>
      </c>
      <c r="F568" s="13" t="s">
        <v>197</v>
      </c>
      <c r="G568" s="13" t="s">
        <v>132</v>
      </c>
      <c r="H568" s="17">
        <v>5230831</v>
      </c>
      <c r="I568" s="17" t="s">
        <v>35</v>
      </c>
      <c r="J568" s="21" t="s">
        <v>1038</v>
      </c>
      <c r="K568" s="13">
        <v>240</v>
      </c>
      <c r="L568" s="13">
        <v>13</v>
      </c>
      <c r="M568" s="13">
        <f t="shared" si="513"/>
        <v>3120</v>
      </c>
      <c r="N568" s="20">
        <v>45203</v>
      </c>
      <c r="O568" s="13" t="s">
        <v>136</v>
      </c>
      <c r="P568" s="13" t="s">
        <v>144</v>
      </c>
      <c r="Q568" s="123" t="s">
        <v>30</v>
      </c>
      <c r="R568" s="13" t="s">
        <v>1109</v>
      </c>
      <c r="S568" s="31">
        <v>221656193115</v>
      </c>
      <c r="T568" s="20">
        <v>45203</v>
      </c>
      <c r="U568" s="123"/>
      <c r="V568" s="13">
        <v>501</v>
      </c>
      <c r="W568" s="29">
        <v>45203.638888888891</v>
      </c>
      <c r="X568" s="29">
        <v>45203.684027777781</v>
      </c>
      <c r="Y568" s="30">
        <f t="shared" si="514"/>
        <v>4.5138888890505768E-2</v>
      </c>
      <c r="Z568" s="29">
        <v>45203.645833333336</v>
      </c>
      <c r="AA568" s="29">
        <v>45203.677083333336</v>
      </c>
      <c r="AB568" s="30">
        <f t="shared" si="515"/>
        <v>3.125E-2</v>
      </c>
    </row>
    <row r="569" spans="1:28" x14ac:dyDescent="0.25">
      <c r="A569" s="12">
        <v>45200</v>
      </c>
      <c r="B569" s="13" t="s">
        <v>1108</v>
      </c>
      <c r="C569" s="20">
        <v>45203</v>
      </c>
      <c r="D569" s="13">
        <v>7845822</v>
      </c>
      <c r="E569" s="13" t="s">
        <v>196</v>
      </c>
      <c r="F569" s="13" t="s">
        <v>197</v>
      </c>
      <c r="G569" s="13" t="s">
        <v>132</v>
      </c>
      <c r="H569" s="17">
        <v>5230831</v>
      </c>
      <c r="I569" s="17" t="s">
        <v>35</v>
      </c>
      <c r="J569" s="14" t="s">
        <v>1097</v>
      </c>
      <c r="K569" s="13">
        <v>240</v>
      </c>
      <c r="L569" s="13">
        <v>27</v>
      </c>
      <c r="M569" s="13">
        <f t="shared" ref="M569" si="516">+L569*K569</f>
        <v>6480</v>
      </c>
      <c r="N569" s="20">
        <v>45203</v>
      </c>
      <c r="O569" s="13" t="s">
        <v>136</v>
      </c>
      <c r="P569" s="13" t="s">
        <v>144</v>
      </c>
      <c r="Q569" s="123" t="s">
        <v>30</v>
      </c>
      <c r="R569" s="13" t="s">
        <v>1109</v>
      </c>
      <c r="S569" s="31">
        <v>221656193115</v>
      </c>
      <c r="T569" s="20">
        <v>45203</v>
      </c>
      <c r="U569" s="123"/>
      <c r="V569" s="13">
        <v>501</v>
      </c>
      <c r="W569" s="29">
        <v>45203.638888888891</v>
      </c>
      <c r="X569" s="29">
        <v>45203.684027777781</v>
      </c>
      <c r="Y569" s="30">
        <f t="shared" ref="Y569" si="517">+X569-W569</f>
        <v>4.5138888890505768E-2</v>
      </c>
      <c r="Z569" s="29">
        <v>45203.645833333336</v>
      </c>
      <c r="AA569" s="29">
        <v>45203.677083333336</v>
      </c>
      <c r="AB569" s="30">
        <f t="shared" ref="AB569" si="518">+AA569-Z569</f>
        <v>3.125E-2</v>
      </c>
    </row>
    <row r="570" spans="1:28" x14ac:dyDescent="0.25">
      <c r="A570" s="12">
        <v>45200</v>
      </c>
      <c r="B570" s="13" t="s">
        <v>1110</v>
      </c>
      <c r="C570" s="20">
        <v>45203</v>
      </c>
      <c r="D570" s="13">
        <v>7845822</v>
      </c>
      <c r="E570" s="13" t="s">
        <v>196</v>
      </c>
      <c r="F570" s="13" t="s">
        <v>197</v>
      </c>
      <c r="G570" s="13" t="s">
        <v>132</v>
      </c>
      <c r="H570" s="17">
        <v>5230831</v>
      </c>
      <c r="I570" s="17" t="s">
        <v>35</v>
      </c>
      <c r="J570" s="14" t="s">
        <v>1097</v>
      </c>
      <c r="K570" s="13">
        <v>240</v>
      </c>
      <c r="L570" s="13">
        <v>40</v>
      </c>
      <c r="M570" s="13">
        <f t="shared" si="513"/>
        <v>9600</v>
      </c>
      <c r="N570" s="20">
        <v>45203</v>
      </c>
      <c r="O570" s="13" t="s">
        <v>136</v>
      </c>
      <c r="P570" s="13" t="s">
        <v>144</v>
      </c>
      <c r="Q570" s="123" t="s">
        <v>30</v>
      </c>
      <c r="R570" s="13" t="s">
        <v>521</v>
      </c>
      <c r="S570" s="31">
        <v>271656196094</v>
      </c>
      <c r="T570" s="20">
        <v>45203</v>
      </c>
      <c r="U570" s="123"/>
      <c r="V570" s="13">
        <v>502</v>
      </c>
      <c r="W570" s="29">
        <v>45203.638888888891</v>
      </c>
      <c r="X570" s="29">
        <v>45203.684027777781</v>
      </c>
      <c r="Y570" s="30">
        <f t="shared" ref="Y570:Y571" si="519">+X570-W570</f>
        <v>4.5138888890505768E-2</v>
      </c>
      <c r="Z570" s="29">
        <v>45203.645833333336</v>
      </c>
      <c r="AA570" s="29">
        <v>45203.677083333336</v>
      </c>
      <c r="AB570" s="30">
        <f t="shared" ref="AB570:AB571" si="520">+AA570-Z570</f>
        <v>3.125E-2</v>
      </c>
    </row>
    <row r="571" spans="1:28" x14ac:dyDescent="0.25">
      <c r="A571" s="12">
        <v>45200</v>
      </c>
      <c r="B571" s="13" t="s">
        <v>1111</v>
      </c>
      <c r="C571" s="20">
        <v>45203</v>
      </c>
      <c r="D571" s="13">
        <v>6146274</v>
      </c>
      <c r="E571" s="13" t="s">
        <v>1112</v>
      </c>
      <c r="F571" s="13" t="s">
        <v>1113</v>
      </c>
      <c r="G571" s="13" t="s">
        <v>192</v>
      </c>
      <c r="H571" s="17">
        <v>5205449</v>
      </c>
      <c r="I571" s="17" t="str">
        <f>VLOOKUP(H571,[1]MASTER!$A:$B,2,0)</f>
        <v>PVC-WH1000F-Premium-Bag-25KG</v>
      </c>
      <c r="J571" s="13">
        <v>2230237822</v>
      </c>
      <c r="K571" s="13">
        <v>25</v>
      </c>
      <c r="L571" s="123">
        <v>265.95999999999998</v>
      </c>
      <c r="M571" s="13">
        <f t="shared" si="513"/>
        <v>6648.9999999999991</v>
      </c>
      <c r="N571" s="20">
        <v>45203</v>
      </c>
      <c r="O571" s="13" t="s">
        <v>424</v>
      </c>
      <c r="P571" s="13" t="s">
        <v>144</v>
      </c>
      <c r="Q571" s="123" t="s">
        <v>30</v>
      </c>
      <c r="R571" s="13" t="s">
        <v>1114</v>
      </c>
      <c r="S571" s="31">
        <v>211656291036</v>
      </c>
      <c r="T571" s="20">
        <v>45203</v>
      </c>
      <c r="U571" s="123"/>
      <c r="V571" s="13">
        <v>503</v>
      </c>
      <c r="W571" s="29">
        <v>45203.583333333336</v>
      </c>
      <c r="X571" s="29">
        <v>45203.715277777781</v>
      </c>
      <c r="Y571" s="30">
        <f t="shared" si="519"/>
        <v>0.13194444444525288</v>
      </c>
      <c r="Z571" s="29">
        <v>45203.59375</v>
      </c>
      <c r="AA571" s="29">
        <v>45203.708333333336</v>
      </c>
      <c r="AB571" s="30">
        <f t="shared" si="520"/>
        <v>0.11458333333575865</v>
      </c>
    </row>
    <row r="572" spans="1:28" x14ac:dyDescent="0.25">
      <c r="A572" s="12">
        <v>45200</v>
      </c>
      <c r="B572" s="13" t="s">
        <v>1111</v>
      </c>
      <c r="C572" s="20">
        <v>45203</v>
      </c>
      <c r="D572" s="13">
        <v>6147723</v>
      </c>
      <c r="E572" s="13" t="s">
        <v>1112</v>
      </c>
      <c r="F572" s="13" t="s">
        <v>1113</v>
      </c>
      <c r="G572" s="13" t="s">
        <v>192</v>
      </c>
      <c r="H572" s="17">
        <v>5205449</v>
      </c>
      <c r="I572" s="17" t="str">
        <f>VLOOKUP(H572,[1]MASTER!$A:$B,2,0)</f>
        <v>PVC-WH1000F-Premium-Bag-25KG</v>
      </c>
      <c r="J572" s="13">
        <v>1230240172</v>
      </c>
      <c r="K572" s="13">
        <v>25</v>
      </c>
      <c r="L572" s="123">
        <v>120</v>
      </c>
      <c r="M572" s="13">
        <f t="shared" ref="M572" si="521">+L572*K572</f>
        <v>3000</v>
      </c>
      <c r="N572" s="20">
        <v>45203</v>
      </c>
      <c r="O572" s="13" t="s">
        <v>424</v>
      </c>
      <c r="P572" s="13" t="s">
        <v>144</v>
      </c>
      <c r="Q572" s="123" t="s">
        <v>30</v>
      </c>
      <c r="R572" s="13" t="s">
        <v>1114</v>
      </c>
      <c r="S572" s="31">
        <v>211656291036</v>
      </c>
      <c r="T572" s="20">
        <v>45203</v>
      </c>
      <c r="U572" s="123"/>
      <c r="V572" s="13">
        <v>503</v>
      </c>
      <c r="W572" s="29">
        <v>45203.583333333336</v>
      </c>
      <c r="X572" s="29">
        <v>45203.715277777781</v>
      </c>
      <c r="Y572" s="30">
        <f t="shared" ref="Y572" si="522">+X572-W572</f>
        <v>0.13194444444525288</v>
      </c>
      <c r="Z572" s="29">
        <v>45203.59375</v>
      </c>
      <c r="AA572" s="29">
        <v>45203.708333333336</v>
      </c>
      <c r="AB572" s="30">
        <f t="shared" ref="AB572" si="523">+AA572-Z572</f>
        <v>0.11458333333575865</v>
      </c>
    </row>
    <row r="573" spans="1:28" x14ac:dyDescent="0.25">
      <c r="A573" s="12">
        <v>45200</v>
      </c>
      <c r="B573" s="13" t="s">
        <v>1111</v>
      </c>
      <c r="C573" s="20">
        <v>45203</v>
      </c>
      <c r="D573" s="13">
        <v>6147723</v>
      </c>
      <c r="E573" s="13" t="s">
        <v>1112</v>
      </c>
      <c r="F573" s="13" t="s">
        <v>1113</v>
      </c>
      <c r="G573" s="13" t="s">
        <v>192</v>
      </c>
      <c r="H573" s="17">
        <v>5205449</v>
      </c>
      <c r="I573" s="17" t="str">
        <f>VLOOKUP(H573,[1]MASTER!$A:$B,2,0)</f>
        <v>PVC-WH1000F-Premium-Bag-25KG</v>
      </c>
      <c r="J573" s="13">
        <v>2230240612</v>
      </c>
      <c r="K573" s="13">
        <v>25</v>
      </c>
      <c r="L573" s="123">
        <v>334</v>
      </c>
      <c r="M573" s="13">
        <f t="shared" ref="M573" si="524">+L573*K573</f>
        <v>8350</v>
      </c>
      <c r="N573" s="20">
        <v>45203</v>
      </c>
      <c r="O573" s="13" t="s">
        <v>424</v>
      </c>
      <c r="P573" s="13" t="s">
        <v>144</v>
      </c>
      <c r="Q573" s="123" t="s">
        <v>30</v>
      </c>
      <c r="R573" s="13" t="s">
        <v>1114</v>
      </c>
      <c r="S573" s="31">
        <v>211656291036</v>
      </c>
      <c r="T573" s="20">
        <v>45203</v>
      </c>
      <c r="U573" s="123"/>
      <c r="V573" s="13">
        <v>503</v>
      </c>
      <c r="W573" s="29">
        <v>45203.583333333336</v>
      </c>
      <c r="X573" s="29">
        <v>45203.715277777781</v>
      </c>
      <c r="Y573" s="30">
        <f t="shared" ref="Y573" si="525">+X573-W573</f>
        <v>0.13194444444525288</v>
      </c>
      <c r="Z573" s="29">
        <v>45203.59375</v>
      </c>
      <c r="AA573" s="29">
        <v>45203.708333333336</v>
      </c>
      <c r="AB573" s="30">
        <f t="shared" ref="AB573" si="526">+AA573-Z573</f>
        <v>0.11458333333575865</v>
      </c>
    </row>
    <row r="574" spans="1:28" x14ac:dyDescent="0.25">
      <c r="A574" s="12">
        <v>45200</v>
      </c>
      <c r="B574" s="13" t="s">
        <v>1111</v>
      </c>
      <c r="C574" s="20">
        <v>45203</v>
      </c>
      <c r="D574" s="13">
        <v>6147723</v>
      </c>
      <c r="E574" s="13" t="s">
        <v>1112</v>
      </c>
      <c r="F574" s="13" t="s">
        <v>1113</v>
      </c>
      <c r="G574" s="13" t="s">
        <v>192</v>
      </c>
      <c r="H574" s="17">
        <v>5205449</v>
      </c>
      <c r="I574" s="17" t="str">
        <f>VLOOKUP(H574,[1]MASTER!$A:$B,2,0)</f>
        <v>PVC-WH1000F-Premium-Bag-25KG</v>
      </c>
      <c r="J574" s="13">
        <v>2230240422</v>
      </c>
      <c r="K574" s="13">
        <v>25</v>
      </c>
      <c r="L574" s="123">
        <v>360</v>
      </c>
      <c r="M574" s="13">
        <f t="shared" ref="M574:M576" si="527">+L574*K574</f>
        <v>9000</v>
      </c>
      <c r="N574" s="20">
        <v>45203</v>
      </c>
      <c r="O574" s="13" t="s">
        <v>424</v>
      </c>
      <c r="P574" s="13" t="s">
        <v>144</v>
      </c>
      <c r="Q574" s="123" t="s">
        <v>30</v>
      </c>
      <c r="R574" s="13" t="s">
        <v>1115</v>
      </c>
      <c r="S574" s="31">
        <v>211656291036</v>
      </c>
      <c r="T574" s="20">
        <v>45203</v>
      </c>
      <c r="U574" s="123"/>
      <c r="V574" s="13">
        <v>504</v>
      </c>
      <c r="W574" s="29">
        <v>45203.583333333336</v>
      </c>
      <c r="X574" s="29">
        <v>45203.715277777781</v>
      </c>
      <c r="Y574" s="30">
        <f t="shared" ref="Y574:Y586" si="528">+X574-W574</f>
        <v>0.13194444444525288</v>
      </c>
      <c r="Z574" s="29">
        <v>45203.59375</v>
      </c>
      <c r="AA574" s="29">
        <v>45203.708333333336</v>
      </c>
      <c r="AB574" s="30">
        <f t="shared" ref="AB574:AB586" si="529">+AA574-Z574</f>
        <v>0.11458333333575865</v>
      </c>
    </row>
    <row r="575" spans="1:28" x14ac:dyDescent="0.25">
      <c r="A575" s="12">
        <v>45200</v>
      </c>
      <c r="B575" s="13" t="s">
        <v>1122</v>
      </c>
      <c r="C575" s="20">
        <v>45204</v>
      </c>
      <c r="D575" s="13">
        <v>7845822</v>
      </c>
      <c r="E575" s="13" t="s">
        <v>267</v>
      </c>
      <c r="F575" s="13" t="s">
        <v>268</v>
      </c>
      <c r="G575" s="13" t="s">
        <v>132</v>
      </c>
      <c r="H575" s="17">
        <v>5230831</v>
      </c>
      <c r="I575" s="17" t="s">
        <v>35</v>
      </c>
      <c r="J575" s="14" t="s">
        <v>1097</v>
      </c>
      <c r="K575" s="13">
        <v>240</v>
      </c>
      <c r="L575" s="123">
        <f>M575/K575</f>
        <v>20</v>
      </c>
      <c r="M575" s="13">
        <v>4800</v>
      </c>
      <c r="N575" s="20">
        <v>45204</v>
      </c>
      <c r="O575" s="13" t="s">
        <v>136</v>
      </c>
      <c r="P575" s="13" t="s">
        <v>144</v>
      </c>
      <c r="Q575" s="123" t="s">
        <v>30</v>
      </c>
      <c r="R575" s="13" t="s">
        <v>1123</v>
      </c>
      <c r="S575" s="31">
        <v>271656657687</v>
      </c>
      <c r="T575" s="20">
        <v>45204</v>
      </c>
      <c r="U575" s="123"/>
      <c r="V575" s="13">
        <v>506</v>
      </c>
      <c r="W575" s="29">
        <v>45204.548611111109</v>
      </c>
      <c r="X575" s="29">
        <v>45204.590277777781</v>
      </c>
      <c r="Y575" s="30">
        <f t="shared" si="528"/>
        <v>4.1666666671517305E-2</v>
      </c>
      <c r="Z575" s="29">
        <v>45204.548611111109</v>
      </c>
      <c r="AA575" s="29">
        <v>45204.590277777781</v>
      </c>
      <c r="AB575" s="30">
        <f t="shared" si="529"/>
        <v>4.1666666671517305E-2</v>
      </c>
    </row>
    <row r="576" spans="1:28" x14ac:dyDescent="0.25">
      <c r="A576" s="12">
        <v>45200</v>
      </c>
      <c r="B576" s="13" t="s">
        <v>1122</v>
      </c>
      <c r="C576" s="20">
        <v>45204</v>
      </c>
      <c r="D576" s="13">
        <v>7832067</v>
      </c>
      <c r="E576" s="13" t="s">
        <v>267</v>
      </c>
      <c r="F576" s="13" t="s">
        <v>268</v>
      </c>
      <c r="G576" s="13" t="s">
        <v>132</v>
      </c>
      <c r="H576" s="17">
        <v>5306988</v>
      </c>
      <c r="I576" s="17" t="s">
        <v>55</v>
      </c>
      <c r="J576" s="14" t="s">
        <v>1063</v>
      </c>
      <c r="K576" s="13">
        <v>200</v>
      </c>
      <c r="L576" s="123">
        <v>2</v>
      </c>
      <c r="M576" s="13">
        <f t="shared" si="527"/>
        <v>400</v>
      </c>
      <c r="N576" s="20">
        <v>45204</v>
      </c>
      <c r="O576" s="13" t="s">
        <v>136</v>
      </c>
      <c r="P576" s="13" t="s">
        <v>144</v>
      </c>
      <c r="Q576" s="123" t="s">
        <v>30</v>
      </c>
      <c r="R576" s="13" t="s">
        <v>1123</v>
      </c>
      <c r="S576" s="31">
        <v>271656657687</v>
      </c>
      <c r="T576" s="20">
        <v>45204</v>
      </c>
      <c r="U576" s="123"/>
      <c r="V576" s="13">
        <v>506</v>
      </c>
      <c r="W576" s="29">
        <v>45204.548611111109</v>
      </c>
      <c r="X576" s="29">
        <v>45204.590277777781</v>
      </c>
      <c r="Y576" s="30">
        <f t="shared" si="528"/>
        <v>4.1666666671517305E-2</v>
      </c>
      <c r="Z576" s="29">
        <v>45204.548611111109</v>
      </c>
      <c r="AA576" s="29">
        <v>45204.590277777781</v>
      </c>
      <c r="AB576" s="30">
        <f t="shared" si="529"/>
        <v>4.1666666671517305E-2</v>
      </c>
    </row>
    <row r="577" spans="1:28" x14ac:dyDescent="0.25">
      <c r="A577" s="12">
        <v>45200</v>
      </c>
      <c r="B577" s="13" t="s">
        <v>1122</v>
      </c>
      <c r="C577" s="20">
        <v>45204</v>
      </c>
      <c r="D577" s="13">
        <v>7832067</v>
      </c>
      <c r="E577" s="13" t="s">
        <v>267</v>
      </c>
      <c r="F577" s="13" t="s">
        <v>268</v>
      </c>
      <c r="G577" s="13" t="s">
        <v>132</v>
      </c>
      <c r="H577" s="17">
        <v>5306988</v>
      </c>
      <c r="I577" s="17" t="s">
        <v>55</v>
      </c>
      <c r="J577" s="14" t="s">
        <v>1064</v>
      </c>
      <c r="K577" s="13">
        <v>200</v>
      </c>
      <c r="L577" s="13">
        <v>20</v>
      </c>
      <c r="M577" s="123">
        <f>K577*L577</f>
        <v>4000</v>
      </c>
      <c r="N577" s="20">
        <v>45204</v>
      </c>
      <c r="O577" s="13" t="s">
        <v>136</v>
      </c>
      <c r="P577" s="13" t="s">
        <v>144</v>
      </c>
      <c r="Q577" s="123" t="s">
        <v>30</v>
      </c>
      <c r="R577" s="13" t="s">
        <v>1123</v>
      </c>
      <c r="S577" s="31">
        <v>271656657687</v>
      </c>
      <c r="T577" s="20">
        <v>45204</v>
      </c>
      <c r="U577" s="123"/>
      <c r="V577" s="13">
        <v>506</v>
      </c>
      <c r="W577" s="29">
        <v>45204.548611111109</v>
      </c>
      <c r="X577" s="29">
        <v>45204.590277777781</v>
      </c>
      <c r="Y577" s="30">
        <f t="shared" si="528"/>
        <v>4.1666666671517305E-2</v>
      </c>
      <c r="Z577" s="29">
        <v>45204.548611111109</v>
      </c>
      <c r="AA577" s="29">
        <v>45204.590277777781</v>
      </c>
      <c r="AB577" s="30">
        <f t="shared" si="529"/>
        <v>4.1666666671517305E-2</v>
      </c>
    </row>
    <row r="578" spans="1:28" x14ac:dyDescent="0.25">
      <c r="A578" s="12">
        <v>45200</v>
      </c>
      <c r="B578" s="13" t="s">
        <v>1122</v>
      </c>
      <c r="C578" s="20">
        <v>45204</v>
      </c>
      <c r="D578" s="13">
        <v>4979075</v>
      </c>
      <c r="E578" s="13" t="s">
        <v>267</v>
      </c>
      <c r="F578" s="13" t="s">
        <v>268</v>
      </c>
      <c r="G578" s="13" t="s">
        <v>132</v>
      </c>
      <c r="H578" s="17">
        <v>5306988</v>
      </c>
      <c r="I578" s="17" t="s">
        <v>55</v>
      </c>
      <c r="J578" s="14" t="s">
        <v>58</v>
      </c>
      <c r="K578" s="13">
        <v>200</v>
      </c>
      <c r="L578" s="13">
        <v>8</v>
      </c>
      <c r="M578" s="123">
        <f>K578*L578</f>
        <v>1600</v>
      </c>
      <c r="N578" s="20">
        <v>45204</v>
      </c>
      <c r="O578" s="13" t="s">
        <v>136</v>
      </c>
      <c r="P578" s="13" t="s">
        <v>144</v>
      </c>
      <c r="Q578" s="123" t="s">
        <v>30</v>
      </c>
      <c r="R578" s="13" t="s">
        <v>1123</v>
      </c>
      <c r="S578" s="31">
        <v>271656657687</v>
      </c>
      <c r="T578" s="20">
        <v>45204</v>
      </c>
      <c r="U578" s="123"/>
      <c r="V578" s="13">
        <v>506</v>
      </c>
      <c r="W578" s="29">
        <v>45204.548611111109</v>
      </c>
      <c r="X578" s="29">
        <v>45204.590277777781</v>
      </c>
      <c r="Y578" s="30">
        <f t="shared" si="528"/>
        <v>4.1666666671517305E-2</v>
      </c>
      <c r="Z578" s="29">
        <v>45204.548611111109</v>
      </c>
      <c r="AA578" s="29">
        <v>45204.590277777781</v>
      </c>
      <c r="AB578" s="30">
        <f t="shared" si="529"/>
        <v>4.1666666671517305E-2</v>
      </c>
    </row>
    <row r="579" spans="1:28" x14ac:dyDescent="0.25">
      <c r="A579" s="12">
        <v>45200</v>
      </c>
      <c r="B579" s="13" t="s">
        <v>1124</v>
      </c>
      <c r="C579" s="20">
        <v>45204</v>
      </c>
      <c r="D579" s="13">
        <v>7734052</v>
      </c>
      <c r="E579" s="13" t="s">
        <v>191</v>
      </c>
      <c r="F579" s="13" t="s">
        <v>135</v>
      </c>
      <c r="G579" s="13" t="s">
        <v>192</v>
      </c>
      <c r="H579" s="17">
        <v>5212252</v>
      </c>
      <c r="I579" s="17" t="s">
        <v>23</v>
      </c>
      <c r="J579" s="13" t="s">
        <v>1066</v>
      </c>
      <c r="K579" s="13">
        <v>25</v>
      </c>
      <c r="L579" s="13">
        <f>M579/K579</f>
        <v>70</v>
      </c>
      <c r="M579" s="123">
        <f>70*25</f>
        <v>1750</v>
      </c>
      <c r="N579" s="20">
        <v>45204</v>
      </c>
      <c r="O579" s="13" t="s">
        <v>399</v>
      </c>
      <c r="P579" s="13" t="s">
        <v>144</v>
      </c>
      <c r="Q579" s="123" t="s">
        <v>30</v>
      </c>
      <c r="R579" s="13" t="s">
        <v>1125</v>
      </c>
      <c r="S579" s="23">
        <v>251656919396</v>
      </c>
      <c r="T579" s="20">
        <v>45204</v>
      </c>
      <c r="U579" s="123"/>
      <c r="V579" s="123">
        <v>507</v>
      </c>
      <c r="W579" s="29">
        <v>45204.541666666664</v>
      </c>
      <c r="X579" s="29">
        <v>45204.791666666664</v>
      </c>
      <c r="Y579" s="30">
        <f t="shared" si="528"/>
        <v>0.25</v>
      </c>
      <c r="Z579" s="29">
        <v>45204.75</v>
      </c>
      <c r="AA579" s="29">
        <v>45204.791666666664</v>
      </c>
      <c r="AB579" s="30">
        <f t="shared" si="529"/>
        <v>4.1666666664241347E-2</v>
      </c>
    </row>
    <row r="580" spans="1:28" x14ac:dyDescent="0.25">
      <c r="A580" s="12">
        <v>45200</v>
      </c>
      <c r="B580" s="13" t="s">
        <v>1124</v>
      </c>
      <c r="C580" s="20">
        <v>45204</v>
      </c>
      <c r="D580" s="13">
        <v>7969684</v>
      </c>
      <c r="E580" s="13" t="s">
        <v>191</v>
      </c>
      <c r="F580" s="13" t="s">
        <v>135</v>
      </c>
      <c r="G580" s="13" t="s">
        <v>192</v>
      </c>
      <c r="H580" s="17">
        <v>5212252</v>
      </c>
      <c r="I580" s="17" t="s">
        <v>23</v>
      </c>
      <c r="J580" s="13" t="s">
        <v>1116</v>
      </c>
      <c r="K580" s="13">
        <v>25</v>
      </c>
      <c r="L580" s="13">
        <f t="shared" ref="L580:L581" si="530">M580/K580</f>
        <v>610</v>
      </c>
      <c r="M580" s="123">
        <f>610*25</f>
        <v>15250</v>
      </c>
      <c r="N580" s="20">
        <v>45204</v>
      </c>
      <c r="O580" s="13" t="s">
        <v>399</v>
      </c>
      <c r="P580" s="13" t="s">
        <v>144</v>
      </c>
      <c r="Q580" s="123" t="s">
        <v>30</v>
      </c>
      <c r="R580" s="13" t="s">
        <v>1125</v>
      </c>
      <c r="S580" s="23">
        <v>251656919396</v>
      </c>
      <c r="T580" s="20">
        <v>45204</v>
      </c>
      <c r="U580" s="123"/>
      <c r="V580" s="123">
        <v>507</v>
      </c>
      <c r="W580" s="29">
        <v>45204.541666666664</v>
      </c>
      <c r="X580" s="29">
        <v>45204.791666666664</v>
      </c>
      <c r="Y580" s="30">
        <f t="shared" si="528"/>
        <v>0.25</v>
      </c>
      <c r="Z580" s="29">
        <v>45204.75</v>
      </c>
      <c r="AA580" s="29">
        <v>45204.791666666664</v>
      </c>
      <c r="AB580" s="30">
        <f t="shared" si="529"/>
        <v>4.1666666664241347E-2</v>
      </c>
    </row>
    <row r="581" spans="1:28" x14ac:dyDescent="0.25">
      <c r="A581" s="12">
        <v>45200</v>
      </c>
      <c r="B581" s="13" t="s">
        <v>1124</v>
      </c>
      <c r="C581" s="20">
        <v>45204</v>
      </c>
      <c r="D581" s="13">
        <v>7969684</v>
      </c>
      <c r="E581" s="13" t="s">
        <v>191</v>
      </c>
      <c r="F581" s="13" t="s">
        <v>135</v>
      </c>
      <c r="G581" s="13" t="s">
        <v>192</v>
      </c>
      <c r="H581" s="17">
        <v>5212252</v>
      </c>
      <c r="I581" s="17" t="s">
        <v>23</v>
      </c>
      <c r="J581" s="13" t="s">
        <v>1107</v>
      </c>
      <c r="K581" s="13">
        <v>25</v>
      </c>
      <c r="L581" s="13">
        <f t="shared" si="530"/>
        <v>520</v>
      </c>
      <c r="M581" s="123">
        <f>520*25</f>
        <v>13000</v>
      </c>
      <c r="N581" s="20">
        <v>45204</v>
      </c>
      <c r="O581" s="13" t="s">
        <v>399</v>
      </c>
      <c r="P581" s="13" t="s">
        <v>144</v>
      </c>
      <c r="Q581" s="123" t="s">
        <v>30</v>
      </c>
      <c r="R581" s="13" t="s">
        <v>1125</v>
      </c>
      <c r="S581" s="23">
        <v>251656919396</v>
      </c>
      <c r="T581" s="20">
        <v>45204</v>
      </c>
      <c r="U581" s="123"/>
      <c r="V581" s="123">
        <v>507</v>
      </c>
      <c r="W581" s="29">
        <v>45204.541666666664</v>
      </c>
      <c r="X581" s="29">
        <v>45204.791666666664</v>
      </c>
      <c r="Y581" s="30">
        <f t="shared" si="528"/>
        <v>0.25</v>
      </c>
      <c r="Z581" s="29">
        <v>45204.75</v>
      </c>
      <c r="AA581" s="29">
        <v>45204.791666666664</v>
      </c>
      <c r="AB581" s="30">
        <f t="shared" si="529"/>
        <v>4.1666666664241347E-2</v>
      </c>
    </row>
    <row r="582" spans="1:28" x14ac:dyDescent="0.25">
      <c r="A582" s="12">
        <v>45200</v>
      </c>
      <c r="B582" s="13" t="s">
        <v>1126</v>
      </c>
      <c r="C582" s="20">
        <v>45204</v>
      </c>
      <c r="D582" s="13">
        <v>7969684</v>
      </c>
      <c r="E582" s="13" t="s">
        <v>191</v>
      </c>
      <c r="F582" s="13" t="s">
        <v>135</v>
      </c>
      <c r="G582" s="13" t="s">
        <v>192</v>
      </c>
      <c r="H582" s="17">
        <v>5212252</v>
      </c>
      <c r="I582" s="17" t="s">
        <v>23</v>
      </c>
      <c r="J582" s="13" t="s">
        <v>1107</v>
      </c>
      <c r="K582" s="13">
        <v>25</v>
      </c>
      <c r="L582" s="13">
        <f>M582/K582</f>
        <v>950</v>
      </c>
      <c r="M582" s="123">
        <v>23750</v>
      </c>
      <c r="N582" s="20">
        <v>45204</v>
      </c>
      <c r="O582" s="13" t="s">
        <v>271</v>
      </c>
      <c r="P582" s="13" t="s">
        <v>144</v>
      </c>
      <c r="Q582" s="123" t="s">
        <v>30</v>
      </c>
      <c r="R582" s="13" t="s">
        <v>1127</v>
      </c>
      <c r="S582" s="23">
        <v>221656918349</v>
      </c>
      <c r="T582" s="20">
        <v>45204</v>
      </c>
      <c r="U582" s="123"/>
      <c r="V582" s="123">
        <v>508</v>
      </c>
      <c r="W582" s="29">
        <v>45204.611111111109</v>
      </c>
      <c r="X582" s="29">
        <v>45204.833333333336</v>
      </c>
      <c r="Y582" s="30">
        <f t="shared" si="528"/>
        <v>0.22222222222626442</v>
      </c>
      <c r="Z582" s="29">
        <v>45204.784722222219</v>
      </c>
      <c r="AA582" s="29">
        <v>45204.833333333336</v>
      </c>
      <c r="AB582" s="30">
        <f t="shared" si="529"/>
        <v>4.8611111116770189E-2</v>
      </c>
    </row>
    <row r="583" spans="1:28" x14ac:dyDescent="0.25">
      <c r="A583" s="12">
        <v>45200</v>
      </c>
      <c r="B583" s="13" t="s">
        <v>1128</v>
      </c>
      <c r="C583" s="20">
        <v>45204</v>
      </c>
      <c r="D583" s="13">
        <v>6335852</v>
      </c>
      <c r="E583" s="13" t="s">
        <v>191</v>
      </c>
      <c r="F583" s="13" t="s">
        <v>135</v>
      </c>
      <c r="G583" s="13" t="s">
        <v>192</v>
      </c>
      <c r="H583" s="17">
        <v>5210162</v>
      </c>
      <c r="I583" s="17" t="s">
        <v>24</v>
      </c>
      <c r="J583" s="13" t="s">
        <v>376</v>
      </c>
      <c r="K583" s="13">
        <v>25</v>
      </c>
      <c r="L583" s="13">
        <v>174</v>
      </c>
      <c r="M583" s="123">
        <f>L583*K583</f>
        <v>4350</v>
      </c>
      <c r="N583" s="20">
        <v>45204</v>
      </c>
      <c r="O583" s="13" t="s">
        <v>136</v>
      </c>
      <c r="P583" s="13" t="s">
        <v>144</v>
      </c>
      <c r="Q583" s="123" t="s">
        <v>30</v>
      </c>
      <c r="R583" s="123" t="s">
        <v>1129</v>
      </c>
      <c r="S583" s="23">
        <v>261656918945</v>
      </c>
      <c r="T583" s="20">
        <v>45204</v>
      </c>
      <c r="U583" s="123"/>
      <c r="V583" s="123">
        <v>509</v>
      </c>
      <c r="W583" s="29">
        <v>45204.496527777781</v>
      </c>
      <c r="X583" s="29">
        <v>45204.895833333336</v>
      </c>
      <c r="Y583" s="30">
        <f t="shared" si="528"/>
        <v>0.39930555555474712</v>
      </c>
      <c r="Z583" s="29">
        <v>45204.548611111109</v>
      </c>
      <c r="AA583" s="29">
        <v>45204.895833333336</v>
      </c>
      <c r="AB583" s="30">
        <f t="shared" si="529"/>
        <v>0.34722222222626442</v>
      </c>
    </row>
    <row r="584" spans="1:28" x14ac:dyDescent="0.25">
      <c r="A584" s="12">
        <v>45200</v>
      </c>
      <c r="B584" s="13" t="s">
        <v>1128</v>
      </c>
      <c r="C584" s="20">
        <v>45204</v>
      </c>
      <c r="D584" s="13">
        <v>7071414</v>
      </c>
      <c r="E584" s="13" t="s">
        <v>191</v>
      </c>
      <c r="F584" s="13" t="s">
        <v>135</v>
      </c>
      <c r="G584" s="13" t="s">
        <v>192</v>
      </c>
      <c r="H584" s="17">
        <v>5210162</v>
      </c>
      <c r="I584" s="17" t="s">
        <v>24</v>
      </c>
      <c r="J584" s="13" t="s">
        <v>770</v>
      </c>
      <c r="K584" s="13">
        <v>25</v>
      </c>
      <c r="L584" s="13">
        <v>26</v>
      </c>
      <c r="M584" s="123">
        <f>L584*K584</f>
        <v>650</v>
      </c>
      <c r="N584" s="20">
        <v>45204</v>
      </c>
      <c r="O584" s="13" t="s">
        <v>136</v>
      </c>
      <c r="P584" s="13" t="s">
        <v>144</v>
      </c>
      <c r="Q584" s="123" t="s">
        <v>30</v>
      </c>
      <c r="R584" s="123" t="s">
        <v>1129</v>
      </c>
      <c r="S584" s="23">
        <v>261656918945</v>
      </c>
      <c r="T584" s="20">
        <v>45204</v>
      </c>
      <c r="U584" s="123"/>
      <c r="V584" s="123">
        <v>509</v>
      </c>
      <c r="W584" s="29">
        <v>45204.496527777781</v>
      </c>
      <c r="X584" s="29">
        <v>45204.895833333336</v>
      </c>
      <c r="Y584" s="30">
        <f t="shared" si="528"/>
        <v>0.39930555555474712</v>
      </c>
      <c r="Z584" s="29">
        <v>45204.548611111109</v>
      </c>
      <c r="AA584" s="29">
        <v>45204.895833333336</v>
      </c>
      <c r="AB584" s="30">
        <f t="shared" si="529"/>
        <v>0.34722222222626442</v>
      </c>
    </row>
    <row r="585" spans="1:28" x14ac:dyDescent="0.25">
      <c r="A585" s="12">
        <v>45200</v>
      </c>
      <c r="B585" s="13" t="s">
        <v>1130</v>
      </c>
      <c r="C585" s="20">
        <v>45204</v>
      </c>
      <c r="D585" s="13">
        <v>7845822</v>
      </c>
      <c r="E585" s="13" t="s">
        <v>1131</v>
      </c>
      <c r="F585" s="13" t="s">
        <v>215</v>
      </c>
      <c r="G585" s="13" t="s">
        <v>132</v>
      </c>
      <c r="H585" s="17">
        <v>5230831</v>
      </c>
      <c r="I585" s="17" t="s">
        <v>35</v>
      </c>
      <c r="J585" s="14" t="s">
        <v>1097</v>
      </c>
      <c r="K585" s="13">
        <v>240</v>
      </c>
      <c r="L585" s="123">
        <f>M585/K585</f>
        <v>40</v>
      </c>
      <c r="M585" s="123">
        <v>9600</v>
      </c>
      <c r="N585" s="20">
        <v>45204</v>
      </c>
      <c r="O585" s="13" t="s">
        <v>136</v>
      </c>
      <c r="P585" s="13" t="s">
        <v>144</v>
      </c>
      <c r="Q585" s="123" t="s">
        <v>30</v>
      </c>
      <c r="R585" s="13" t="s">
        <v>817</v>
      </c>
      <c r="S585" s="23">
        <v>261656917108</v>
      </c>
      <c r="T585" s="20">
        <v>45204</v>
      </c>
      <c r="U585" s="123"/>
      <c r="V585" s="13">
        <v>510</v>
      </c>
      <c r="W585" s="29">
        <v>45204.715277777781</v>
      </c>
      <c r="X585" s="29">
        <v>45204.833333333336</v>
      </c>
      <c r="Y585" s="30">
        <f t="shared" si="528"/>
        <v>0.11805555555474712</v>
      </c>
      <c r="Z585" s="29">
        <v>45204.798611111109</v>
      </c>
      <c r="AA585" s="29">
        <v>45204.833333333336</v>
      </c>
      <c r="AB585" s="30">
        <f t="shared" si="529"/>
        <v>3.4722222226264421E-2</v>
      </c>
    </row>
    <row r="586" spans="1:28" x14ac:dyDescent="0.25">
      <c r="A586" s="12">
        <v>45200</v>
      </c>
      <c r="B586" s="13" t="s">
        <v>1141</v>
      </c>
      <c r="C586" s="20">
        <v>45204</v>
      </c>
      <c r="D586" s="13">
        <v>7753447</v>
      </c>
      <c r="E586" s="13" t="s">
        <v>648</v>
      </c>
      <c r="F586" s="13" t="s">
        <v>506</v>
      </c>
      <c r="G586" s="13" t="s">
        <v>132</v>
      </c>
      <c r="H586" s="17">
        <v>5306988</v>
      </c>
      <c r="I586" s="17" t="s">
        <v>55</v>
      </c>
      <c r="J586" s="14" t="s">
        <v>998</v>
      </c>
      <c r="K586" s="13">
        <v>200</v>
      </c>
      <c r="L586" s="123">
        <v>20</v>
      </c>
      <c r="M586" s="123">
        <f>K586*L586</f>
        <v>4000</v>
      </c>
      <c r="N586" s="20">
        <v>45205</v>
      </c>
      <c r="O586" s="13" t="s">
        <v>136</v>
      </c>
      <c r="P586" s="13" t="s">
        <v>144</v>
      </c>
      <c r="Q586" s="123" t="s">
        <v>30</v>
      </c>
      <c r="R586" s="13" t="s">
        <v>1142</v>
      </c>
      <c r="S586" s="31">
        <v>291657262345</v>
      </c>
      <c r="T586" s="20">
        <v>45205</v>
      </c>
      <c r="U586" s="123"/>
      <c r="V586" s="13">
        <v>511</v>
      </c>
      <c r="W586" s="29">
        <v>45205.604166666664</v>
      </c>
      <c r="X586" s="29">
        <v>45205.652777777781</v>
      </c>
      <c r="Y586" s="30">
        <f t="shared" si="528"/>
        <v>4.8611111116770189E-2</v>
      </c>
      <c r="Z586" s="29">
        <v>45205.625</v>
      </c>
      <c r="AA586" s="29">
        <v>45205.652777777781</v>
      </c>
      <c r="AB586" s="30">
        <f t="shared" si="529"/>
        <v>2.7777777781011537E-2</v>
      </c>
    </row>
    <row r="587" spans="1:28" x14ac:dyDescent="0.25">
      <c r="A587" s="12">
        <v>45200</v>
      </c>
      <c r="B587" s="13" t="s">
        <v>1141</v>
      </c>
      <c r="C587" s="20">
        <v>45204</v>
      </c>
      <c r="D587" s="13">
        <v>7845822</v>
      </c>
      <c r="E587" s="13" t="s">
        <v>648</v>
      </c>
      <c r="F587" s="13" t="s">
        <v>506</v>
      </c>
      <c r="G587" s="13" t="s">
        <v>132</v>
      </c>
      <c r="H587" s="17">
        <v>5230831</v>
      </c>
      <c r="I587" s="17" t="s">
        <v>35</v>
      </c>
      <c r="J587" s="14" t="s">
        <v>1097</v>
      </c>
      <c r="K587" s="13">
        <v>240</v>
      </c>
      <c r="L587" s="123">
        <v>14</v>
      </c>
      <c r="M587" s="123">
        <f t="shared" ref="M587:M590" si="531">K587*L587</f>
        <v>3360</v>
      </c>
      <c r="N587" s="20">
        <v>45205</v>
      </c>
      <c r="O587" s="13" t="s">
        <v>136</v>
      </c>
      <c r="P587" s="13" t="s">
        <v>144</v>
      </c>
      <c r="Q587" s="123" t="s">
        <v>30</v>
      </c>
      <c r="R587" s="13" t="s">
        <v>1142</v>
      </c>
      <c r="S587" s="31">
        <v>291657262345</v>
      </c>
      <c r="T587" s="20">
        <v>45205</v>
      </c>
      <c r="U587" s="123"/>
      <c r="V587" s="13">
        <v>511</v>
      </c>
      <c r="W587" s="29">
        <v>45205.604166666664</v>
      </c>
      <c r="X587" s="29">
        <v>45205.652777777781</v>
      </c>
      <c r="Y587" s="30">
        <f t="shared" ref="Y587:Y590" si="532">+X587-W587</f>
        <v>4.8611111116770189E-2</v>
      </c>
      <c r="Z587" s="29">
        <v>45205.625</v>
      </c>
      <c r="AA587" s="29">
        <v>45205.652777777781</v>
      </c>
      <c r="AB587" s="30">
        <f t="shared" ref="AB587:AB590" si="533">+AA587-Z587</f>
        <v>2.7777777781011537E-2</v>
      </c>
    </row>
    <row r="588" spans="1:28" x14ac:dyDescent="0.25">
      <c r="A588" s="12">
        <v>45200</v>
      </c>
      <c r="B588" s="13" t="s">
        <v>1141</v>
      </c>
      <c r="C588" s="20">
        <v>45204</v>
      </c>
      <c r="D588" s="13">
        <v>4923693</v>
      </c>
      <c r="E588" s="13" t="s">
        <v>648</v>
      </c>
      <c r="F588" s="13" t="s">
        <v>506</v>
      </c>
      <c r="G588" s="13" t="s">
        <v>132</v>
      </c>
      <c r="H588" s="17">
        <v>5230073</v>
      </c>
      <c r="I588" s="17" t="s">
        <v>54</v>
      </c>
      <c r="J588" s="14" t="s">
        <v>50</v>
      </c>
      <c r="K588" s="13">
        <v>250</v>
      </c>
      <c r="L588" s="123">
        <v>1</v>
      </c>
      <c r="M588" s="123">
        <f t="shared" si="531"/>
        <v>250</v>
      </c>
      <c r="N588" s="20">
        <v>45205</v>
      </c>
      <c r="O588" s="13" t="s">
        <v>136</v>
      </c>
      <c r="P588" s="13" t="s">
        <v>144</v>
      </c>
      <c r="Q588" s="123" t="s">
        <v>30</v>
      </c>
      <c r="R588" s="13" t="s">
        <v>1142</v>
      </c>
      <c r="S588" s="31">
        <v>291657262345</v>
      </c>
      <c r="T588" s="20">
        <v>45205</v>
      </c>
      <c r="U588" s="123"/>
      <c r="V588" s="13">
        <v>511</v>
      </c>
      <c r="W588" s="29">
        <v>45205.604166666664</v>
      </c>
      <c r="X588" s="29">
        <v>45205.652777777781</v>
      </c>
      <c r="Y588" s="30">
        <f t="shared" si="532"/>
        <v>4.8611111116770189E-2</v>
      </c>
      <c r="Z588" s="29">
        <v>45205.625</v>
      </c>
      <c r="AA588" s="29">
        <v>45205.652777777781</v>
      </c>
      <c r="AB588" s="30">
        <f t="shared" si="533"/>
        <v>2.7777777781011537E-2</v>
      </c>
    </row>
    <row r="589" spans="1:28" x14ac:dyDescent="0.25">
      <c r="A589" s="12">
        <v>45200</v>
      </c>
      <c r="B589" s="13" t="s">
        <v>1141</v>
      </c>
      <c r="C589" s="20">
        <v>45204</v>
      </c>
      <c r="D589" s="13">
        <v>5153890</v>
      </c>
      <c r="E589" s="13" t="s">
        <v>648</v>
      </c>
      <c r="F589" s="13" t="s">
        <v>506</v>
      </c>
      <c r="G589" s="13" t="s">
        <v>132</v>
      </c>
      <c r="H589" s="17">
        <v>5231067</v>
      </c>
      <c r="I589" s="17" t="s">
        <v>64</v>
      </c>
      <c r="J589" s="14" t="s">
        <v>65</v>
      </c>
      <c r="K589" s="13">
        <v>200</v>
      </c>
      <c r="L589" s="123">
        <v>3</v>
      </c>
      <c r="M589" s="123">
        <f t="shared" si="531"/>
        <v>600</v>
      </c>
      <c r="N589" s="20">
        <v>45205</v>
      </c>
      <c r="O589" s="13" t="s">
        <v>136</v>
      </c>
      <c r="P589" s="13" t="s">
        <v>144</v>
      </c>
      <c r="Q589" s="123" t="s">
        <v>30</v>
      </c>
      <c r="R589" s="13" t="s">
        <v>1142</v>
      </c>
      <c r="S589" s="31">
        <v>291657262345</v>
      </c>
      <c r="T589" s="20">
        <v>45205</v>
      </c>
      <c r="U589" s="123"/>
      <c r="V589" s="13">
        <v>511</v>
      </c>
      <c r="W589" s="29">
        <v>45205.604166666664</v>
      </c>
      <c r="X589" s="29">
        <v>45205.652777777781</v>
      </c>
      <c r="Y589" s="30">
        <f t="shared" si="532"/>
        <v>4.8611111116770189E-2</v>
      </c>
      <c r="Z589" s="29">
        <v>45205.625</v>
      </c>
      <c r="AA589" s="29">
        <v>45205.652777777781</v>
      </c>
      <c r="AB589" s="30">
        <f t="shared" si="533"/>
        <v>2.7777777781011537E-2</v>
      </c>
    </row>
    <row r="590" spans="1:28" x14ac:dyDescent="0.25">
      <c r="A590" s="12">
        <v>45200</v>
      </c>
      <c r="B590" s="13" t="s">
        <v>1143</v>
      </c>
      <c r="C590" s="20">
        <v>45204</v>
      </c>
      <c r="D590" s="123" t="s">
        <v>30</v>
      </c>
      <c r="E590" s="13" t="s">
        <v>651</v>
      </c>
      <c r="F590" s="13" t="s">
        <v>215</v>
      </c>
      <c r="G590" s="13" t="s">
        <v>132</v>
      </c>
      <c r="H590" s="17">
        <v>5309040</v>
      </c>
      <c r="I590" s="17" t="s">
        <v>105</v>
      </c>
      <c r="J590" s="14" t="s">
        <v>1082</v>
      </c>
      <c r="K590" s="13">
        <v>250</v>
      </c>
      <c r="L590" s="13">
        <v>21</v>
      </c>
      <c r="M590" s="13">
        <f t="shared" si="531"/>
        <v>5250</v>
      </c>
      <c r="N590" s="20">
        <v>45205</v>
      </c>
      <c r="O590" s="13" t="s">
        <v>136</v>
      </c>
      <c r="P590" s="13" t="s">
        <v>134</v>
      </c>
      <c r="Q590" s="123">
        <v>2276</v>
      </c>
      <c r="R590" s="13" t="s">
        <v>1144</v>
      </c>
      <c r="S590" s="31">
        <v>271657418559</v>
      </c>
      <c r="T590" s="20">
        <v>45205</v>
      </c>
      <c r="U590" s="123"/>
      <c r="V590" s="13">
        <v>512</v>
      </c>
      <c r="W590" s="29">
        <v>45205.645833333336</v>
      </c>
      <c r="X590" s="29">
        <v>45205.75</v>
      </c>
      <c r="Y590" s="30">
        <f t="shared" si="532"/>
        <v>0.10416666666424135</v>
      </c>
      <c r="Z590" s="29">
        <v>45205.729166666664</v>
      </c>
      <c r="AA590" s="29">
        <v>45205.75</v>
      </c>
      <c r="AB590" s="30">
        <f t="shared" si="533"/>
        <v>2.0833333335758653E-2</v>
      </c>
    </row>
    <row r="591" spans="1:28" x14ac:dyDescent="0.25">
      <c r="A591" s="12">
        <v>45200</v>
      </c>
      <c r="B591" s="13" t="s">
        <v>1143</v>
      </c>
      <c r="C591" s="20">
        <v>45204</v>
      </c>
      <c r="D591" s="13">
        <v>7197282</v>
      </c>
      <c r="E591" s="13" t="s">
        <v>651</v>
      </c>
      <c r="F591" s="13" t="s">
        <v>215</v>
      </c>
      <c r="G591" s="13" t="s">
        <v>132</v>
      </c>
      <c r="H591" s="17">
        <v>5309040</v>
      </c>
      <c r="I591" s="17" t="s">
        <v>105</v>
      </c>
      <c r="J591" s="13" t="s">
        <v>811</v>
      </c>
      <c r="K591" s="13">
        <v>250</v>
      </c>
      <c r="L591" s="13">
        <v>15</v>
      </c>
      <c r="M591" s="13">
        <f t="shared" ref="M591:M597" si="534">K591*L591</f>
        <v>3750</v>
      </c>
      <c r="N591" s="20">
        <v>45205</v>
      </c>
      <c r="O591" s="13" t="s">
        <v>136</v>
      </c>
      <c r="P591" s="13" t="s">
        <v>134</v>
      </c>
      <c r="Q591" s="123">
        <v>2276</v>
      </c>
      <c r="R591" s="13" t="s">
        <v>1144</v>
      </c>
      <c r="S591" s="31">
        <v>271657418559</v>
      </c>
      <c r="T591" s="20">
        <v>45205</v>
      </c>
      <c r="U591" s="123"/>
      <c r="V591" s="13">
        <v>512</v>
      </c>
      <c r="W591" s="29">
        <v>45205.645833333336</v>
      </c>
      <c r="X591" s="29">
        <v>45205.75</v>
      </c>
      <c r="Y591" s="30">
        <f t="shared" ref="Y591:Y593" si="535">+X591-W591</f>
        <v>0.10416666666424135</v>
      </c>
      <c r="Z591" s="29">
        <v>45205.729166666664</v>
      </c>
      <c r="AA591" s="29">
        <v>45205.75</v>
      </c>
      <c r="AB591" s="30">
        <f t="shared" ref="AB591:AB593" si="536">+AA591-Z591</f>
        <v>2.0833333335758653E-2</v>
      </c>
    </row>
    <row r="592" spans="1:28" x14ac:dyDescent="0.25">
      <c r="A592" s="12">
        <v>45200</v>
      </c>
      <c r="B592" s="13" t="s">
        <v>1172</v>
      </c>
      <c r="C592" s="20">
        <v>45208</v>
      </c>
      <c r="D592" s="13">
        <v>7845822</v>
      </c>
      <c r="E592" s="13" t="s">
        <v>196</v>
      </c>
      <c r="F592" s="13" t="s">
        <v>197</v>
      </c>
      <c r="G592" s="13" t="s">
        <v>132</v>
      </c>
      <c r="H592" s="17">
        <v>5230831</v>
      </c>
      <c r="I592" s="17" t="s">
        <v>35</v>
      </c>
      <c r="J592" s="14" t="s">
        <v>1097</v>
      </c>
      <c r="K592" s="13">
        <v>240</v>
      </c>
      <c r="L592" s="13">
        <v>40</v>
      </c>
      <c r="M592" s="13">
        <f t="shared" si="534"/>
        <v>9600</v>
      </c>
      <c r="N592" s="20">
        <v>45208</v>
      </c>
      <c r="O592" s="13" t="s">
        <v>136</v>
      </c>
      <c r="P592" s="13" t="s">
        <v>144</v>
      </c>
      <c r="Q592" s="13" t="s">
        <v>30</v>
      </c>
      <c r="R592" s="13" t="s">
        <v>265</v>
      </c>
      <c r="S592" s="31">
        <v>291658507823</v>
      </c>
      <c r="T592" s="20">
        <v>45208</v>
      </c>
      <c r="U592" s="123"/>
      <c r="V592" s="13">
        <v>513</v>
      </c>
      <c r="W592" s="29">
        <v>45208.541666666664</v>
      </c>
      <c r="X592" s="29">
        <v>45208.604166666664</v>
      </c>
      <c r="Y592" s="30">
        <f t="shared" si="535"/>
        <v>6.25E-2</v>
      </c>
      <c r="Z592" s="29">
        <v>45208.583333333336</v>
      </c>
      <c r="AA592" s="29">
        <v>45208.600694444445</v>
      </c>
      <c r="AB592" s="30">
        <f t="shared" si="536"/>
        <v>1.7361111109494232E-2</v>
      </c>
    </row>
    <row r="593" spans="1:28" x14ac:dyDescent="0.25">
      <c r="A593" s="12">
        <v>45200</v>
      </c>
      <c r="B593" s="13" t="s">
        <v>1173</v>
      </c>
      <c r="C593" s="20">
        <v>45208</v>
      </c>
      <c r="D593" s="13">
        <v>7833010</v>
      </c>
      <c r="E593" s="13" t="s">
        <v>191</v>
      </c>
      <c r="F593" s="13" t="s">
        <v>135</v>
      </c>
      <c r="G593" s="13" t="s">
        <v>192</v>
      </c>
      <c r="H593" s="17">
        <v>5212252</v>
      </c>
      <c r="I593" s="17" t="s">
        <v>23</v>
      </c>
      <c r="J593" s="13" t="s">
        <v>1023</v>
      </c>
      <c r="K593" s="13">
        <v>25</v>
      </c>
      <c r="L593" s="13">
        <v>376</v>
      </c>
      <c r="M593" s="13">
        <f t="shared" si="534"/>
        <v>9400</v>
      </c>
      <c r="N593" s="20">
        <v>45208</v>
      </c>
      <c r="O593" s="13" t="s">
        <v>133</v>
      </c>
      <c r="P593" s="13" t="s">
        <v>144</v>
      </c>
      <c r="Q593" s="13" t="s">
        <v>30</v>
      </c>
      <c r="R593" s="13" t="s">
        <v>1174</v>
      </c>
      <c r="S593" s="31">
        <v>261658510327</v>
      </c>
      <c r="T593" s="20">
        <v>45208</v>
      </c>
      <c r="U593" s="123"/>
      <c r="V593" s="13">
        <v>514</v>
      </c>
      <c r="W593" s="29">
        <v>45208.520833333336</v>
      </c>
      <c r="X593" s="29">
        <v>45208.604166666664</v>
      </c>
      <c r="Y593" s="30">
        <f t="shared" si="535"/>
        <v>8.3333333328482695E-2</v>
      </c>
      <c r="Z593" s="29">
        <v>45208.583333333336</v>
      </c>
      <c r="AA593" s="29">
        <v>45208.604166666664</v>
      </c>
      <c r="AB593" s="30">
        <f t="shared" si="536"/>
        <v>2.0833333328482695E-2</v>
      </c>
    </row>
    <row r="594" spans="1:28" x14ac:dyDescent="0.25">
      <c r="A594" s="12">
        <v>45200</v>
      </c>
      <c r="B594" s="13" t="s">
        <v>1173</v>
      </c>
      <c r="C594" s="20">
        <v>45208</v>
      </c>
      <c r="D594" s="13">
        <v>7833010</v>
      </c>
      <c r="E594" s="13" t="s">
        <v>191</v>
      </c>
      <c r="F594" s="13" t="s">
        <v>135</v>
      </c>
      <c r="G594" s="13" t="s">
        <v>192</v>
      </c>
      <c r="H594" s="17">
        <v>5212252</v>
      </c>
      <c r="I594" s="17" t="s">
        <v>23</v>
      </c>
      <c r="J594" s="13" t="s">
        <v>1138</v>
      </c>
      <c r="K594" s="13">
        <v>25</v>
      </c>
      <c r="L594" s="13">
        <v>24</v>
      </c>
      <c r="M594" s="13">
        <f t="shared" ref="M594" si="537">K594*L594</f>
        <v>600</v>
      </c>
      <c r="N594" s="20">
        <v>45208</v>
      </c>
      <c r="O594" s="13" t="s">
        <v>133</v>
      </c>
      <c r="P594" s="13" t="s">
        <v>144</v>
      </c>
      <c r="Q594" s="13" t="s">
        <v>30</v>
      </c>
      <c r="R594" s="13" t="s">
        <v>1174</v>
      </c>
      <c r="S594" s="31">
        <v>261658510327</v>
      </c>
      <c r="T594" s="20">
        <v>45208</v>
      </c>
      <c r="U594" s="123"/>
      <c r="V594" s="13">
        <v>514</v>
      </c>
      <c r="W594" s="29">
        <v>45208.520833333336</v>
      </c>
      <c r="X594" s="29">
        <v>45208.604166666664</v>
      </c>
      <c r="Y594" s="30">
        <f t="shared" ref="Y594" si="538">+X594-W594</f>
        <v>8.3333333328482695E-2</v>
      </c>
      <c r="Z594" s="29">
        <v>45208.583333333336</v>
      </c>
      <c r="AA594" s="29">
        <v>45208.604166666664</v>
      </c>
      <c r="AB594" s="30">
        <f t="shared" ref="AB594" si="539">+AA594-Z594</f>
        <v>2.0833333328482695E-2</v>
      </c>
    </row>
    <row r="595" spans="1:28" x14ac:dyDescent="0.25">
      <c r="A595" s="12">
        <v>45200</v>
      </c>
      <c r="B595" s="13" t="s">
        <v>1173</v>
      </c>
      <c r="C595" s="20">
        <v>45208</v>
      </c>
      <c r="D595" s="13">
        <v>7976597</v>
      </c>
      <c r="E595" s="13" t="s">
        <v>191</v>
      </c>
      <c r="F595" s="13" t="s">
        <v>135</v>
      </c>
      <c r="G595" s="13" t="s">
        <v>192</v>
      </c>
      <c r="H595" s="17">
        <v>5211013</v>
      </c>
      <c r="I595" s="17" t="s">
        <v>27</v>
      </c>
      <c r="J595" s="13" t="s">
        <v>1145</v>
      </c>
      <c r="K595" s="13">
        <v>25</v>
      </c>
      <c r="L595" s="13">
        <v>80</v>
      </c>
      <c r="M595" s="13">
        <f t="shared" si="534"/>
        <v>2000</v>
      </c>
      <c r="N595" s="20">
        <v>45208</v>
      </c>
      <c r="O595" s="13" t="s">
        <v>133</v>
      </c>
      <c r="P595" s="13" t="s">
        <v>144</v>
      </c>
      <c r="Q595" s="13" t="s">
        <v>30</v>
      </c>
      <c r="R595" s="13" t="s">
        <v>1174</v>
      </c>
      <c r="S595" s="31">
        <v>261658510327</v>
      </c>
      <c r="T595" s="20">
        <v>45208</v>
      </c>
      <c r="U595" s="123"/>
      <c r="V595" s="13">
        <v>514</v>
      </c>
      <c r="W595" s="29">
        <v>45208.520833333336</v>
      </c>
      <c r="X595" s="29">
        <v>45208.604166666664</v>
      </c>
      <c r="Y595" s="30">
        <f t="shared" ref="Y595:Y597" si="540">+X595-W595</f>
        <v>8.3333333328482695E-2</v>
      </c>
      <c r="Z595" s="29">
        <v>45208.583333333336</v>
      </c>
      <c r="AA595" s="29">
        <v>45208.604166666664</v>
      </c>
      <c r="AB595" s="30">
        <f t="shared" ref="AB595:AB597" si="541">+AA595-Z595</f>
        <v>2.0833333328482695E-2</v>
      </c>
    </row>
    <row r="596" spans="1:28" x14ac:dyDescent="0.25">
      <c r="A596" s="12">
        <v>45200</v>
      </c>
      <c r="B596" s="13" t="s">
        <v>1175</v>
      </c>
      <c r="C596" s="20">
        <v>45206</v>
      </c>
      <c r="D596" s="13">
        <v>7845822</v>
      </c>
      <c r="E596" s="13" t="s">
        <v>1089</v>
      </c>
      <c r="F596" s="13" t="s">
        <v>215</v>
      </c>
      <c r="G596" s="13" t="s">
        <v>132</v>
      </c>
      <c r="H596" s="17">
        <v>5230831</v>
      </c>
      <c r="I596" s="17" t="s">
        <v>35</v>
      </c>
      <c r="J596" s="14" t="s">
        <v>1097</v>
      </c>
      <c r="K596" s="13">
        <v>240</v>
      </c>
      <c r="L596" s="13">
        <v>20</v>
      </c>
      <c r="M596" s="13">
        <f t="shared" si="534"/>
        <v>4800</v>
      </c>
      <c r="N596" s="20">
        <v>45208</v>
      </c>
      <c r="O596" s="13" t="s">
        <v>298</v>
      </c>
      <c r="P596" s="13" t="s">
        <v>134</v>
      </c>
      <c r="Q596" s="123">
        <v>2277</v>
      </c>
      <c r="R596" s="13" t="s">
        <v>690</v>
      </c>
      <c r="S596" s="31">
        <v>251658577770</v>
      </c>
      <c r="T596" s="20">
        <v>45208</v>
      </c>
      <c r="U596" s="123"/>
      <c r="V596" s="13">
        <v>515</v>
      </c>
      <c r="W596" s="29">
        <v>45208.604166666664</v>
      </c>
      <c r="X596" s="29">
        <v>45208.708333333336</v>
      </c>
      <c r="Y596" s="30">
        <f t="shared" si="540"/>
        <v>0.10416666667151731</v>
      </c>
      <c r="Z596" s="29">
        <v>45208.6875</v>
      </c>
      <c r="AA596" s="29">
        <v>45208.708333333336</v>
      </c>
      <c r="AB596" s="30">
        <f t="shared" si="541"/>
        <v>2.0833333335758653E-2</v>
      </c>
    </row>
    <row r="597" spans="1:28" x14ac:dyDescent="0.25">
      <c r="A597" s="12">
        <v>45200</v>
      </c>
      <c r="B597" s="13" t="s">
        <v>1176</v>
      </c>
      <c r="C597" s="20">
        <v>45208</v>
      </c>
      <c r="D597" s="13">
        <v>7976597</v>
      </c>
      <c r="E597" s="13" t="s">
        <v>523</v>
      </c>
      <c r="F597" s="13" t="s">
        <v>524</v>
      </c>
      <c r="G597" s="13" t="s">
        <v>192</v>
      </c>
      <c r="H597" s="17">
        <v>5211013</v>
      </c>
      <c r="I597" s="17" t="s">
        <v>27</v>
      </c>
      <c r="J597" s="13" t="s">
        <v>1119</v>
      </c>
      <c r="K597" s="13">
        <v>25</v>
      </c>
      <c r="L597" s="13">
        <v>326</v>
      </c>
      <c r="M597" s="13">
        <f t="shared" si="534"/>
        <v>8150</v>
      </c>
      <c r="N597" s="20">
        <v>45208</v>
      </c>
      <c r="O597" s="13" t="s">
        <v>136</v>
      </c>
      <c r="P597" s="13" t="s">
        <v>134</v>
      </c>
      <c r="Q597" s="123">
        <v>2278</v>
      </c>
      <c r="R597" s="13" t="s">
        <v>1177</v>
      </c>
      <c r="S597" s="31">
        <v>261658790789</v>
      </c>
      <c r="T597" s="20">
        <v>45208</v>
      </c>
      <c r="U597" s="123"/>
      <c r="V597" s="13">
        <v>516</v>
      </c>
      <c r="W597" s="29">
        <v>45208.625</v>
      </c>
      <c r="X597" s="29">
        <v>45208.916666666664</v>
      </c>
      <c r="Y597" s="30">
        <f t="shared" si="540"/>
        <v>0.29166666666424135</v>
      </c>
      <c r="Z597" s="29">
        <v>45208.868055555555</v>
      </c>
      <c r="AA597" s="29">
        <v>45208.916666666664</v>
      </c>
      <c r="AB597" s="30">
        <f t="shared" si="541"/>
        <v>4.8611111109494232E-2</v>
      </c>
    </row>
    <row r="598" spans="1:28" x14ac:dyDescent="0.25">
      <c r="A598" s="12">
        <v>45200</v>
      </c>
      <c r="B598" s="13" t="s">
        <v>1176</v>
      </c>
      <c r="C598" s="20">
        <v>45208</v>
      </c>
      <c r="D598" s="13">
        <v>7976597</v>
      </c>
      <c r="E598" s="13" t="s">
        <v>523</v>
      </c>
      <c r="F598" s="13" t="s">
        <v>524</v>
      </c>
      <c r="G598" s="13" t="s">
        <v>192</v>
      </c>
      <c r="H598" s="17">
        <v>5211013</v>
      </c>
      <c r="I598" s="17" t="s">
        <v>27</v>
      </c>
      <c r="J598" s="13" t="s">
        <v>1145</v>
      </c>
      <c r="K598" s="13">
        <v>25</v>
      </c>
      <c r="L598" s="13">
        <v>74</v>
      </c>
      <c r="M598" s="13">
        <f t="shared" ref="M598" si="542">K598*L598</f>
        <v>1850</v>
      </c>
      <c r="N598" s="20">
        <v>45208</v>
      </c>
      <c r="O598" s="13" t="s">
        <v>136</v>
      </c>
      <c r="P598" s="13" t="s">
        <v>134</v>
      </c>
      <c r="Q598" s="123">
        <v>2278</v>
      </c>
      <c r="R598" s="13" t="s">
        <v>1177</v>
      </c>
      <c r="S598" s="31">
        <v>261658790789</v>
      </c>
      <c r="T598" s="20">
        <v>45208</v>
      </c>
      <c r="U598" s="123"/>
      <c r="V598" s="13">
        <v>516</v>
      </c>
      <c r="W598" s="29">
        <v>45208.625</v>
      </c>
      <c r="X598" s="29">
        <v>45208.916666666664</v>
      </c>
      <c r="Y598" s="30">
        <f t="shared" ref="Y598" si="543">+X598-W598</f>
        <v>0.29166666666424135</v>
      </c>
      <c r="Z598" s="29">
        <v>45208.868055555555</v>
      </c>
      <c r="AA598" s="29">
        <v>45208.916666666664</v>
      </c>
      <c r="AB598" s="30">
        <f t="shared" ref="AB598" si="544">+AA598-Z598</f>
        <v>4.8611111109494232E-2</v>
      </c>
    </row>
    <row r="599" spans="1:28" x14ac:dyDescent="0.25">
      <c r="A599" s="12">
        <v>45200</v>
      </c>
      <c r="B599" s="13" t="s">
        <v>1176</v>
      </c>
      <c r="C599" s="20">
        <v>45208</v>
      </c>
      <c r="D599" s="13">
        <v>7959321</v>
      </c>
      <c r="E599" s="13" t="s">
        <v>523</v>
      </c>
      <c r="F599" s="13" t="s">
        <v>524</v>
      </c>
      <c r="G599" s="13" t="s">
        <v>192</v>
      </c>
      <c r="H599" s="17">
        <v>5212256</v>
      </c>
      <c r="I599" s="17" t="s">
        <v>22</v>
      </c>
      <c r="J599" s="13" t="s">
        <v>1135</v>
      </c>
      <c r="K599" s="13">
        <v>25</v>
      </c>
      <c r="L599" s="13">
        <v>400</v>
      </c>
      <c r="M599" s="13">
        <f t="shared" ref="M599:M600" si="545">K599*L599</f>
        <v>10000</v>
      </c>
      <c r="N599" s="20">
        <v>45208</v>
      </c>
      <c r="O599" s="13" t="s">
        <v>136</v>
      </c>
      <c r="P599" s="13" t="s">
        <v>134</v>
      </c>
      <c r="Q599" s="123">
        <v>2278</v>
      </c>
      <c r="R599" s="13" t="s">
        <v>1177</v>
      </c>
      <c r="S599" s="31">
        <v>261658790789</v>
      </c>
      <c r="T599" s="20">
        <v>45208</v>
      </c>
      <c r="U599" s="123"/>
      <c r="V599" s="13">
        <v>516</v>
      </c>
      <c r="W599" s="29">
        <v>45208.625</v>
      </c>
      <c r="X599" s="29">
        <v>45208.916666666664</v>
      </c>
      <c r="Y599" s="30">
        <f t="shared" ref="Y599:Y600" si="546">+X599-W599</f>
        <v>0.29166666666424135</v>
      </c>
      <c r="Z599" s="29">
        <v>45208.868055555555</v>
      </c>
      <c r="AA599" s="29">
        <v>45208.916666666664</v>
      </c>
      <c r="AB599" s="30">
        <f t="shared" ref="AB599:AB600" si="547">+AA599-Z599</f>
        <v>4.8611111109494232E-2</v>
      </c>
    </row>
    <row r="600" spans="1:28" x14ac:dyDescent="0.25">
      <c r="A600" s="12">
        <v>45200</v>
      </c>
      <c r="B600" s="13" t="s">
        <v>1178</v>
      </c>
      <c r="C600" s="20">
        <v>45208</v>
      </c>
      <c r="D600" s="13">
        <v>7976597</v>
      </c>
      <c r="E600" s="13" t="s">
        <v>191</v>
      </c>
      <c r="F600" s="13" t="s">
        <v>135</v>
      </c>
      <c r="G600" s="13" t="s">
        <v>192</v>
      </c>
      <c r="H600" s="17">
        <v>5211013</v>
      </c>
      <c r="I600" s="17" t="s">
        <v>27</v>
      </c>
      <c r="J600" s="13" t="s">
        <v>1145</v>
      </c>
      <c r="K600" s="13">
        <v>25</v>
      </c>
      <c r="L600" s="13">
        <v>200</v>
      </c>
      <c r="M600" s="13">
        <f t="shared" si="545"/>
        <v>5000</v>
      </c>
      <c r="N600" s="20">
        <v>45209</v>
      </c>
      <c r="O600" s="13" t="s">
        <v>204</v>
      </c>
      <c r="P600" s="13" t="s">
        <v>144</v>
      </c>
      <c r="Q600" s="123" t="s">
        <v>30</v>
      </c>
      <c r="R600" s="13" t="s">
        <v>1179</v>
      </c>
      <c r="S600" s="31">
        <v>221659227383</v>
      </c>
      <c r="T600" s="20">
        <v>45209</v>
      </c>
      <c r="U600" s="123"/>
      <c r="V600" s="13">
        <v>517</v>
      </c>
      <c r="W600" s="29">
        <v>45209.416666666664</v>
      </c>
      <c r="X600" s="29">
        <v>45209.541666666664</v>
      </c>
      <c r="Y600" s="30">
        <f t="shared" si="546"/>
        <v>0.125</v>
      </c>
      <c r="Z600" s="29">
        <v>45209.458333333336</v>
      </c>
      <c r="AA600" s="29">
        <v>45209.541666666664</v>
      </c>
      <c r="AB600" s="30">
        <f t="shared" si="547"/>
        <v>8.3333333328482695E-2</v>
      </c>
    </row>
    <row r="601" spans="1:28" x14ac:dyDescent="0.25">
      <c r="A601" s="12">
        <v>45200</v>
      </c>
      <c r="B601" s="13" t="s">
        <v>1178</v>
      </c>
      <c r="C601" s="20">
        <v>45208</v>
      </c>
      <c r="D601" s="13">
        <v>7833010</v>
      </c>
      <c r="E601" s="13" t="s">
        <v>191</v>
      </c>
      <c r="F601" s="13" t="s">
        <v>135</v>
      </c>
      <c r="G601" s="13" t="s">
        <v>192</v>
      </c>
      <c r="H601" s="17">
        <v>5212252</v>
      </c>
      <c r="I601" s="17" t="s">
        <v>23</v>
      </c>
      <c r="J601" s="13" t="s">
        <v>1138</v>
      </c>
      <c r="K601" s="13">
        <v>25</v>
      </c>
      <c r="L601" s="13">
        <v>42</v>
      </c>
      <c r="M601" s="13">
        <f t="shared" ref="M601:M604" si="548">K601*L601</f>
        <v>1050</v>
      </c>
      <c r="N601" s="20">
        <v>45209</v>
      </c>
      <c r="O601" s="13" t="s">
        <v>204</v>
      </c>
      <c r="P601" s="13" t="s">
        <v>144</v>
      </c>
      <c r="Q601" s="123" t="s">
        <v>30</v>
      </c>
      <c r="R601" s="13" t="s">
        <v>1179</v>
      </c>
      <c r="S601" s="31">
        <v>221659227383</v>
      </c>
      <c r="T601" s="20">
        <v>45209</v>
      </c>
      <c r="U601" s="123"/>
      <c r="V601" s="13">
        <v>517</v>
      </c>
      <c r="W601" s="29">
        <v>45209.416666666664</v>
      </c>
      <c r="X601" s="29">
        <v>45209.541666666664</v>
      </c>
      <c r="Y601" s="30">
        <f t="shared" ref="Y601:Y604" si="549">+X601-W601</f>
        <v>0.125</v>
      </c>
      <c r="Z601" s="29">
        <v>45209.458333333336</v>
      </c>
      <c r="AA601" s="29">
        <v>45209.541666666664</v>
      </c>
      <c r="AB601" s="30">
        <f t="shared" ref="AB601:AB604" si="550">+AA601-Z601</f>
        <v>8.3333333328482695E-2</v>
      </c>
    </row>
    <row r="602" spans="1:28" x14ac:dyDescent="0.25">
      <c r="A602" s="12">
        <v>45200</v>
      </c>
      <c r="B602" s="13" t="s">
        <v>1178</v>
      </c>
      <c r="C602" s="20">
        <v>45208</v>
      </c>
      <c r="D602" s="13">
        <v>7833010</v>
      </c>
      <c r="E602" s="13" t="s">
        <v>191</v>
      </c>
      <c r="F602" s="13" t="s">
        <v>135</v>
      </c>
      <c r="G602" s="13" t="s">
        <v>192</v>
      </c>
      <c r="H602" s="17">
        <v>5212252</v>
      </c>
      <c r="I602" s="17" t="s">
        <v>23</v>
      </c>
      <c r="J602" s="13" t="s">
        <v>1066</v>
      </c>
      <c r="K602" s="13">
        <v>25</v>
      </c>
      <c r="L602" s="13">
        <v>230</v>
      </c>
      <c r="M602" s="13">
        <f t="shared" ref="M602:M603" si="551">K602*L602</f>
        <v>5750</v>
      </c>
      <c r="N602" s="20">
        <v>45209</v>
      </c>
      <c r="O602" s="13" t="s">
        <v>204</v>
      </c>
      <c r="P602" s="13" t="s">
        <v>144</v>
      </c>
      <c r="Q602" s="123" t="s">
        <v>30</v>
      </c>
      <c r="R602" s="13" t="s">
        <v>1179</v>
      </c>
      <c r="S602" s="31">
        <v>221659227383</v>
      </c>
      <c r="T602" s="20">
        <v>45209</v>
      </c>
      <c r="U602" s="123"/>
      <c r="V602" s="13">
        <v>517</v>
      </c>
      <c r="W602" s="29">
        <v>45209.416666666664</v>
      </c>
      <c r="X602" s="29">
        <v>45209.541666666664</v>
      </c>
      <c r="Y602" s="30">
        <f t="shared" ref="Y602:Y603" si="552">+X602-W602</f>
        <v>0.125</v>
      </c>
      <c r="Z602" s="29">
        <v>45209.458333333336</v>
      </c>
      <c r="AA602" s="29">
        <v>45209.541666666664</v>
      </c>
      <c r="AB602" s="30">
        <f t="shared" ref="AB602:AB603" si="553">+AA602-Z602</f>
        <v>8.3333333328482695E-2</v>
      </c>
    </row>
    <row r="603" spans="1:28" x14ac:dyDescent="0.25">
      <c r="A603" s="12">
        <v>45200</v>
      </c>
      <c r="B603" s="13" t="s">
        <v>1178</v>
      </c>
      <c r="C603" s="20">
        <v>45208</v>
      </c>
      <c r="D603" s="13">
        <v>7833010</v>
      </c>
      <c r="E603" s="13" t="s">
        <v>191</v>
      </c>
      <c r="F603" s="13" t="s">
        <v>135</v>
      </c>
      <c r="G603" s="13" t="s">
        <v>192</v>
      </c>
      <c r="H603" s="17">
        <v>5212252</v>
      </c>
      <c r="I603" s="17" t="s">
        <v>23</v>
      </c>
      <c r="J603" s="13" t="s">
        <v>1139</v>
      </c>
      <c r="K603" s="13">
        <v>25</v>
      </c>
      <c r="L603" s="13">
        <v>928</v>
      </c>
      <c r="M603" s="13">
        <f t="shared" si="551"/>
        <v>23200</v>
      </c>
      <c r="N603" s="20">
        <v>45209</v>
      </c>
      <c r="O603" s="13" t="s">
        <v>204</v>
      </c>
      <c r="P603" s="13" t="s">
        <v>144</v>
      </c>
      <c r="Q603" s="123" t="s">
        <v>30</v>
      </c>
      <c r="R603" s="13" t="s">
        <v>1179</v>
      </c>
      <c r="S603" s="31">
        <v>221659227383</v>
      </c>
      <c r="T603" s="20">
        <v>45209</v>
      </c>
      <c r="U603" s="123"/>
      <c r="V603" s="13">
        <v>517</v>
      </c>
      <c r="W603" s="29">
        <v>45209.416666666664</v>
      </c>
      <c r="X603" s="29">
        <v>45209.541666666664</v>
      </c>
      <c r="Y603" s="30">
        <f t="shared" si="552"/>
        <v>0.125</v>
      </c>
      <c r="Z603" s="29">
        <v>45209.458333333336</v>
      </c>
      <c r="AA603" s="29">
        <v>45209.541666666664</v>
      </c>
      <c r="AB603" s="30">
        <f t="shared" si="553"/>
        <v>8.3333333328482695E-2</v>
      </c>
    </row>
    <row r="604" spans="1:28" x14ac:dyDescent="0.25">
      <c r="A604" s="12">
        <v>45200</v>
      </c>
      <c r="B604" s="13" t="s">
        <v>1180</v>
      </c>
      <c r="C604" s="20">
        <v>45209</v>
      </c>
      <c r="D604" s="13">
        <v>7976597</v>
      </c>
      <c r="E604" s="13" t="s">
        <v>230</v>
      </c>
      <c r="F604" s="13" t="s">
        <v>231</v>
      </c>
      <c r="G604" s="13" t="s">
        <v>192</v>
      </c>
      <c r="H604" s="17">
        <v>5211013</v>
      </c>
      <c r="I604" s="17" t="s">
        <v>27</v>
      </c>
      <c r="J604" s="13" t="s">
        <v>1145</v>
      </c>
      <c r="K604" s="13">
        <v>25</v>
      </c>
      <c r="L604" s="13">
        <v>124</v>
      </c>
      <c r="M604" s="13">
        <f t="shared" si="548"/>
        <v>3100</v>
      </c>
      <c r="N604" s="20">
        <v>45209</v>
      </c>
      <c r="O604" s="13" t="s">
        <v>699</v>
      </c>
      <c r="P604" s="13" t="s">
        <v>144</v>
      </c>
      <c r="Q604" s="123" t="s">
        <v>30</v>
      </c>
      <c r="R604" s="13" t="s">
        <v>1181</v>
      </c>
      <c r="S604" s="31">
        <v>211659122535</v>
      </c>
      <c r="T604" s="20">
        <v>45209</v>
      </c>
      <c r="U604" s="123"/>
      <c r="V604" s="13">
        <v>518</v>
      </c>
      <c r="W604" s="29">
        <v>45209.604166666664</v>
      </c>
      <c r="X604" s="29">
        <v>45209.645833333336</v>
      </c>
      <c r="Y604" s="30">
        <f t="shared" si="549"/>
        <v>4.1666666671517305E-2</v>
      </c>
      <c r="Z604" s="29">
        <v>45209.611111111109</v>
      </c>
      <c r="AA604" s="29">
        <v>45209.645833333336</v>
      </c>
      <c r="AB604" s="30">
        <f t="shared" si="550"/>
        <v>3.4722222226264421E-2</v>
      </c>
    </row>
    <row r="605" spans="1:28" x14ac:dyDescent="0.25">
      <c r="A605" s="12">
        <v>45200</v>
      </c>
      <c r="B605" s="13" t="s">
        <v>1180</v>
      </c>
      <c r="C605" s="20">
        <v>45209</v>
      </c>
      <c r="D605" s="13">
        <v>7976597</v>
      </c>
      <c r="E605" s="13" t="s">
        <v>230</v>
      </c>
      <c r="F605" s="13" t="s">
        <v>231</v>
      </c>
      <c r="G605" s="13" t="s">
        <v>192</v>
      </c>
      <c r="H605" s="17">
        <v>5211013</v>
      </c>
      <c r="I605" s="17" t="s">
        <v>27</v>
      </c>
      <c r="J605" s="13" t="s">
        <v>1146</v>
      </c>
      <c r="K605" s="13">
        <v>25</v>
      </c>
      <c r="L605" s="13">
        <v>24</v>
      </c>
      <c r="M605" s="13">
        <f t="shared" ref="M605:M606" si="554">K605*L605</f>
        <v>600</v>
      </c>
      <c r="N605" s="20">
        <v>45209</v>
      </c>
      <c r="O605" s="13" t="s">
        <v>699</v>
      </c>
      <c r="P605" s="13" t="s">
        <v>144</v>
      </c>
      <c r="Q605" s="123" t="s">
        <v>30</v>
      </c>
      <c r="R605" s="13" t="s">
        <v>1181</v>
      </c>
      <c r="S605" s="31">
        <v>211659122535</v>
      </c>
      <c r="T605" s="20">
        <v>45209</v>
      </c>
      <c r="U605" s="123"/>
      <c r="V605" s="13">
        <v>518</v>
      </c>
      <c r="W605" s="29">
        <v>45209.604166666664</v>
      </c>
      <c r="X605" s="29">
        <v>45209.645833333336</v>
      </c>
      <c r="Y605" s="30">
        <f t="shared" ref="Y605:Y606" si="555">+X605-W605</f>
        <v>4.1666666671517305E-2</v>
      </c>
      <c r="Z605" s="29">
        <v>45209.611111111109</v>
      </c>
      <c r="AA605" s="29">
        <v>45209.645833333336</v>
      </c>
      <c r="AB605" s="30">
        <f t="shared" ref="AB605:AB606" si="556">+AA605-Z605</f>
        <v>3.4722222226264421E-2</v>
      </c>
    </row>
    <row r="606" spans="1:28" x14ac:dyDescent="0.25">
      <c r="A606" s="12">
        <v>45200</v>
      </c>
      <c r="B606" s="13" t="s">
        <v>1193</v>
      </c>
      <c r="C606" s="20">
        <v>45210</v>
      </c>
      <c r="D606" s="13">
        <v>7976597</v>
      </c>
      <c r="E606" s="13" t="s">
        <v>795</v>
      </c>
      <c r="F606" s="13" t="s">
        <v>407</v>
      </c>
      <c r="G606" s="13" t="s">
        <v>192</v>
      </c>
      <c r="H606" s="17">
        <v>5211013</v>
      </c>
      <c r="I606" s="17" t="s">
        <v>27</v>
      </c>
      <c r="J606" s="13" t="s">
        <v>1145</v>
      </c>
      <c r="K606" s="13">
        <v>25</v>
      </c>
      <c r="L606" s="13">
        <v>400</v>
      </c>
      <c r="M606" s="13">
        <f t="shared" si="554"/>
        <v>10000</v>
      </c>
      <c r="N606" s="20">
        <v>45210</v>
      </c>
      <c r="O606" s="13" t="s">
        <v>133</v>
      </c>
      <c r="P606" s="13" t="s">
        <v>134</v>
      </c>
      <c r="Q606" s="123">
        <v>2279</v>
      </c>
      <c r="R606" s="13" t="s">
        <v>1194</v>
      </c>
      <c r="S606" s="31">
        <v>281659756252</v>
      </c>
      <c r="T606" s="20">
        <v>45210</v>
      </c>
      <c r="U606" s="123"/>
      <c r="V606" s="13">
        <v>519</v>
      </c>
      <c r="W606" s="29">
        <v>45210.5</v>
      </c>
      <c r="X606" s="29">
        <v>45210.645833333336</v>
      </c>
      <c r="Y606" s="30">
        <f t="shared" si="555"/>
        <v>0.14583333333575865</v>
      </c>
      <c r="Z606" s="29">
        <v>45210.597222222219</v>
      </c>
      <c r="AA606" s="29">
        <v>45210.645833333336</v>
      </c>
      <c r="AB606" s="30">
        <f t="shared" si="556"/>
        <v>4.8611111116770189E-2</v>
      </c>
    </row>
    <row r="607" spans="1:28" x14ac:dyDescent="0.25">
      <c r="A607" s="12">
        <v>45200</v>
      </c>
      <c r="B607" s="13" t="s">
        <v>1193</v>
      </c>
      <c r="C607" s="20">
        <v>45210</v>
      </c>
      <c r="D607" s="13">
        <v>8017757</v>
      </c>
      <c r="E607" s="13" t="s">
        <v>795</v>
      </c>
      <c r="F607" s="13" t="s">
        <v>407</v>
      </c>
      <c r="G607" s="13" t="s">
        <v>192</v>
      </c>
      <c r="H607" s="17">
        <v>5212252</v>
      </c>
      <c r="I607" s="17" t="s">
        <v>23</v>
      </c>
      <c r="J607" s="13" t="s">
        <v>1164</v>
      </c>
      <c r="K607" s="13">
        <v>25</v>
      </c>
      <c r="L607" s="13">
        <v>80</v>
      </c>
      <c r="M607" s="13">
        <f t="shared" ref="M607:M609" si="557">K607*L607</f>
        <v>2000</v>
      </c>
      <c r="N607" s="20">
        <v>45210</v>
      </c>
      <c r="O607" s="13" t="s">
        <v>133</v>
      </c>
      <c r="P607" s="13" t="s">
        <v>134</v>
      </c>
      <c r="Q607" s="123">
        <v>2279</v>
      </c>
      <c r="R607" s="13" t="s">
        <v>1194</v>
      </c>
      <c r="S607" s="31">
        <v>281659756252</v>
      </c>
      <c r="T607" s="20">
        <v>45210</v>
      </c>
      <c r="U607" s="123"/>
      <c r="V607" s="13">
        <v>519</v>
      </c>
      <c r="W607" s="29">
        <v>45210.5</v>
      </c>
      <c r="X607" s="29">
        <v>45210.645833333336</v>
      </c>
      <c r="Y607" s="30">
        <f t="shared" ref="Y607:Y609" si="558">+X607-W607</f>
        <v>0.14583333333575865</v>
      </c>
      <c r="Z607" s="29">
        <v>45210.597222222219</v>
      </c>
      <c r="AA607" s="29">
        <v>45210.645833333336</v>
      </c>
      <c r="AB607" s="30">
        <f t="shared" ref="AB607:AB609" si="559">+AA607-Z607</f>
        <v>4.8611111116770189E-2</v>
      </c>
    </row>
    <row r="608" spans="1:28" x14ac:dyDescent="0.25">
      <c r="A608" s="12">
        <v>45200</v>
      </c>
      <c r="B608" s="13" t="s">
        <v>1195</v>
      </c>
      <c r="C608" s="20">
        <v>45210</v>
      </c>
      <c r="D608" s="13">
        <v>8017757</v>
      </c>
      <c r="E608" s="13" t="s">
        <v>385</v>
      </c>
      <c r="F608" s="13" t="s">
        <v>386</v>
      </c>
      <c r="G608" s="13" t="s">
        <v>192</v>
      </c>
      <c r="H608" s="17">
        <v>5212252</v>
      </c>
      <c r="I608" s="17" t="s">
        <v>23</v>
      </c>
      <c r="J608" s="13" t="s">
        <v>1164</v>
      </c>
      <c r="K608" s="13">
        <v>25</v>
      </c>
      <c r="L608" s="13">
        <v>960</v>
      </c>
      <c r="M608" s="13">
        <f t="shared" si="557"/>
        <v>24000</v>
      </c>
      <c r="N608" s="20">
        <v>45210</v>
      </c>
      <c r="O608" s="13" t="s">
        <v>399</v>
      </c>
      <c r="P608" s="13" t="s">
        <v>144</v>
      </c>
      <c r="Q608" s="13" t="s">
        <v>30</v>
      </c>
      <c r="R608" s="13" t="s">
        <v>1196</v>
      </c>
      <c r="S608" s="31">
        <v>281659777930</v>
      </c>
      <c r="T608" s="20">
        <v>45210</v>
      </c>
      <c r="U608" s="123"/>
      <c r="V608" s="13">
        <v>520</v>
      </c>
      <c r="W608" s="29">
        <v>45210.5</v>
      </c>
      <c r="X608" s="29">
        <v>45210.722222222219</v>
      </c>
      <c r="Y608" s="30">
        <f t="shared" si="558"/>
        <v>0.22222222221898846</v>
      </c>
      <c r="Z608" s="29">
        <v>45210.604166666664</v>
      </c>
      <c r="AA608" s="29">
        <v>45210.722222222219</v>
      </c>
      <c r="AB608" s="30">
        <f t="shared" si="559"/>
        <v>0.11805555555474712</v>
      </c>
    </row>
    <row r="609" spans="1:28" x14ac:dyDescent="0.25">
      <c r="A609" s="12">
        <v>45200</v>
      </c>
      <c r="B609" s="13" t="s">
        <v>1197</v>
      </c>
      <c r="C609" s="20">
        <v>45210</v>
      </c>
      <c r="D609" s="13">
        <v>7197282</v>
      </c>
      <c r="E609" s="13" t="s">
        <v>651</v>
      </c>
      <c r="F609" s="13" t="s">
        <v>215</v>
      </c>
      <c r="G609" s="13" t="s">
        <v>132</v>
      </c>
      <c r="H609" s="17">
        <v>5309040</v>
      </c>
      <c r="I609" s="17" t="s">
        <v>105</v>
      </c>
      <c r="J609" s="13" t="s">
        <v>811</v>
      </c>
      <c r="K609" s="13">
        <v>250</v>
      </c>
      <c r="L609" s="13">
        <v>36</v>
      </c>
      <c r="M609" s="13">
        <f t="shared" si="557"/>
        <v>9000</v>
      </c>
      <c r="N609" s="20">
        <v>45210</v>
      </c>
      <c r="O609" s="13" t="s">
        <v>136</v>
      </c>
      <c r="P609" s="13" t="s">
        <v>134</v>
      </c>
      <c r="Q609" s="123">
        <v>2280</v>
      </c>
      <c r="R609" s="13" t="s">
        <v>1029</v>
      </c>
      <c r="S609" s="31">
        <v>231659962081</v>
      </c>
      <c r="T609" s="20">
        <v>45210</v>
      </c>
      <c r="U609" s="123"/>
      <c r="V609" s="13">
        <v>521</v>
      </c>
      <c r="W609" s="29">
        <v>45210.583333333336</v>
      </c>
      <c r="X609" s="29">
        <v>45210.75</v>
      </c>
      <c r="Y609" s="30">
        <f t="shared" si="558"/>
        <v>0.16666666666424135</v>
      </c>
      <c r="Z609" s="29">
        <v>45210.708333333336</v>
      </c>
      <c r="AA609" s="29">
        <v>45210.743055555555</v>
      </c>
      <c r="AB609" s="30">
        <f t="shared" si="559"/>
        <v>3.4722222218988463E-2</v>
      </c>
    </row>
    <row r="610" spans="1:28" x14ac:dyDescent="0.25">
      <c r="A610" s="12">
        <v>45200</v>
      </c>
      <c r="B610" s="13" t="s">
        <v>1198</v>
      </c>
      <c r="C610" s="20">
        <v>45210</v>
      </c>
      <c r="D610" s="13">
        <v>7197282</v>
      </c>
      <c r="E610" s="13" t="s">
        <v>651</v>
      </c>
      <c r="F610" s="13" t="s">
        <v>215</v>
      </c>
      <c r="G610" s="13" t="s">
        <v>132</v>
      </c>
      <c r="H610" s="17">
        <v>5309040</v>
      </c>
      <c r="I610" s="17" t="s">
        <v>105</v>
      </c>
      <c r="J610" s="13" t="s">
        <v>811</v>
      </c>
      <c r="K610" s="13">
        <v>250</v>
      </c>
      <c r="L610" s="13">
        <v>36</v>
      </c>
      <c r="M610" s="13">
        <f t="shared" ref="M610:M611" si="560">K610*L610</f>
        <v>9000</v>
      </c>
      <c r="N610" s="20">
        <v>45210</v>
      </c>
      <c r="O610" s="13" t="s">
        <v>136</v>
      </c>
      <c r="P610" s="13" t="s">
        <v>134</v>
      </c>
      <c r="Q610" s="123">
        <v>2280</v>
      </c>
      <c r="R610" s="13" t="s">
        <v>903</v>
      </c>
      <c r="S610" s="31">
        <v>221659962611</v>
      </c>
      <c r="T610" s="20">
        <v>45210</v>
      </c>
      <c r="U610" s="123"/>
      <c r="V610" s="13">
        <v>522</v>
      </c>
      <c r="W610" s="29">
        <v>45210.604166666664</v>
      </c>
      <c r="X610" s="29">
        <v>45210.763888888891</v>
      </c>
      <c r="Y610" s="30">
        <f t="shared" ref="Y610:Y611" si="561">+X610-W610</f>
        <v>0.15972222222626442</v>
      </c>
      <c r="Z610" s="29">
        <v>45210.736111111109</v>
      </c>
      <c r="AA610" s="29">
        <v>45210.756944444445</v>
      </c>
      <c r="AB610" s="30">
        <f t="shared" ref="AB610:AB611" si="562">+AA610-Z610</f>
        <v>2.0833333335758653E-2</v>
      </c>
    </row>
    <row r="611" spans="1:28" x14ac:dyDescent="0.25">
      <c r="A611" s="12">
        <v>45200</v>
      </c>
      <c r="B611" s="13" t="s">
        <v>1199</v>
      </c>
      <c r="C611" s="20">
        <v>45209</v>
      </c>
      <c r="D611" s="13">
        <v>7976597</v>
      </c>
      <c r="E611" s="13" t="s">
        <v>859</v>
      </c>
      <c r="F611" s="13" t="s">
        <v>289</v>
      </c>
      <c r="G611" s="13" t="s">
        <v>192</v>
      </c>
      <c r="H611" s="17">
        <v>5211013</v>
      </c>
      <c r="I611" s="17" t="s">
        <v>27</v>
      </c>
      <c r="J611" s="13" t="s">
        <v>1146</v>
      </c>
      <c r="K611" s="13">
        <v>25</v>
      </c>
      <c r="L611" s="13">
        <v>440</v>
      </c>
      <c r="M611" s="13">
        <f t="shared" si="560"/>
        <v>11000</v>
      </c>
      <c r="N611" s="20">
        <v>45211</v>
      </c>
      <c r="O611" s="13" t="s">
        <v>399</v>
      </c>
      <c r="P611" s="13" t="s">
        <v>144</v>
      </c>
      <c r="Q611" s="123" t="s">
        <v>30</v>
      </c>
      <c r="R611" s="13" t="s">
        <v>1200</v>
      </c>
      <c r="S611" s="31">
        <v>211660503873</v>
      </c>
      <c r="T611" s="20">
        <v>45211</v>
      </c>
      <c r="U611" s="123"/>
      <c r="V611" s="13">
        <v>523</v>
      </c>
      <c r="W611" s="29">
        <v>45211.395833333336</v>
      </c>
      <c r="X611" s="29">
        <v>45211.506944444445</v>
      </c>
      <c r="Y611" s="30">
        <f t="shared" si="561"/>
        <v>0.11111111110949423</v>
      </c>
      <c r="Z611" s="29">
        <v>45211.409722222219</v>
      </c>
      <c r="AA611" s="29">
        <v>45211.506944444445</v>
      </c>
      <c r="AB611" s="30">
        <f t="shared" si="562"/>
        <v>9.7222222226264421E-2</v>
      </c>
    </row>
    <row r="612" spans="1:28" x14ac:dyDescent="0.25">
      <c r="A612" s="12">
        <v>45200</v>
      </c>
      <c r="B612" s="13" t="s">
        <v>1199</v>
      </c>
      <c r="C612" s="20">
        <v>45209</v>
      </c>
      <c r="D612" s="13">
        <v>7959321</v>
      </c>
      <c r="E612" s="13" t="s">
        <v>859</v>
      </c>
      <c r="F612" s="13" t="s">
        <v>289</v>
      </c>
      <c r="G612" s="13" t="s">
        <v>192</v>
      </c>
      <c r="H612" s="17">
        <v>5212256</v>
      </c>
      <c r="I612" s="17" t="s">
        <v>22</v>
      </c>
      <c r="J612" s="13" t="s">
        <v>1134</v>
      </c>
      <c r="K612" s="13">
        <v>25</v>
      </c>
      <c r="L612" s="13">
        <v>136</v>
      </c>
      <c r="M612" s="13">
        <f t="shared" ref="M612:M616" si="563">K612*L612</f>
        <v>3400</v>
      </c>
      <c r="N612" s="20">
        <v>45211</v>
      </c>
      <c r="O612" s="13" t="s">
        <v>399</v>
      </c>
      <c r="P612" s="13" t="s">
        <v>144</v>
      </c>
      <c r="Q612" s="123" t="s">
        <v>30</v>
      </c>
      <c r="R612" s="13" t="s">
        <v>1200</v>
      </c>
      <c r="S612" s="31">
        <v>211660503873</v>
      </c>
      <c r="T612" s="20">
        <v>45211</v>
      </c>
      <c r="U612" s="123"/>
      <c r="V612" s="13">
        <v>523</v>
      </c>
      <c r="W612" s="29">
        <v>45211.395833333336</v>
      </c>
      <c r="X612" s="29">
        <v>45211.506944444445</v>
      </c>
      <c r="Y612" s="30">
        <f t="shared" ref="Y612:Y616" si="564">+X612-W612</f>
        <v>0.11111111110949423</v>
      </c>
      <c r="Z612" s="29">
        <v>45211.409722222219</v>
      </c>
      <c r="AA612" s="29">
        <v>45211.506944444445</v>
      </c>
      <c r="AB612" s="30">
        <f t="shared" ref="AB612:AB616" si="565">+AA612-Z612</f>
        <v>9.7222222226264421E-2</v>
      </c>
    </row>
    <row r="613" spans="1:28" x14ac:dyDescent="0.25">
      <c r="A613" s="12">
        <v>45200</v>
      </c>
      <c r="B613" s="13" t="s">
        <v>1199</v>
      </c>
      <c r="C613" s="20">
        <v>45209</v>
      </c>
      <c r="D613" s="13">
        <v>7959321</v>
      </c>
      <c r="E613" s="13" t="s">
        <v>859</v>
      </c>
      <c r="F613" s="13" t="s">
        <v>289</v>
      </c>
      <c r="G613" s="13" t="s">
        <v>192</v>
      </c>
      <c r="H613" s="17">
        <v>5212256</v>
      </c>
      <c r="I613" s="17" t="s">
        <v>22</v>
      </c>
      <c r="J613" s="13" t="s">
        <v>1135</v>
      </c>
      <c r="K613" s="13">
        <v>25</v>
      </c>
      <c r="L613" s="13">
        <f>200-136</f>
        <v>64</v>
      </c>
      <c r="M613" s="13">
        <f t="shared" ref="M613" si="566">K613*L613</f>
        <v>1600</v>
      </c>
      <c r="N613" s="20">
        <v>45211</v>
      </c>
      <c r="O613" s="13" t="s">
        <v>399</v>
      </c>
      <c r="P613" s="13" t="s">
        <v>144</v>
      </c>
      <c r="Q613" s="123" t="s">
        <v>30</v>
      </c>
      <c r="R613" s="13" t="s">
        <v>1200</v>
      </c>
      <c r="S613" s="31">
        <v>211660503873</v>
      </c>
      <c r="T613" s="20">
        <v>45211</v>
      </c>
      <c r="U613" s="123"/>
      <c r="V613" s="13">
        <v>523</v>
      </c>
      <c r="W613" s="29">
        <v>45211.395833333336</v>
      </c>
      <c r="X613" s="29">
        <v>45211.506944444445</v>
      </c>
      <c r="Y613" s="30">
        <f t="shared" ref="Y613" si="567">+X613-W613</f>
        <v>0.11111111110949423</v>
      </c>
      <c r="Z613" s="29">
        <v>45211.409722222219</v>
      </c>
      <c r="AA613" s="29">
        <v>45211.506944444445</v>
      </c>
      <c r="AB613" s="30">
        <f t="shared" ref="AB613" si="568">+AA613-Z613</f>
        <v>9.7222222226264421E-2</v>
      </c>
    </row>
    <row r="614" spans="1:28" x14ac:dyDescent="0.25">
      <c r="A614" s="12">
        <v>45200</v>
      </c>
      <c r="B614" s="13" t="s">
        <v>1199</v>
      </c>
      <c r="C614" s="20">
        <v>45209</v>
      </c>
      <c r="D614" s="13">
        <v>7071414</v>
      </c>
      <c r="E614" s="13" t="s">
        <v>859</v>
      </c>
      <c r="F614" s="13" t="s">
        <v>289</v>
      </c>
      <c r="G614" s="13" t="s">
        <v>192</v>
      </c>
      <c r="H614" s="17">
        <v>5210162</v>
      </c>
      <c r="I614" s="17" t="s">
        <v>24</v>
      </c>
      <c r="J614" s="13" t="s">
        <v>770</v>
      </c>
      <c r="K614" s="13">
        <v>25</v>
      </c>
      <c r="L614" s="13">
        <v>80</v>
      </c>
      <c r="M614" s="13">
        <f t="shared" si="563"/>
        <v>2000</v>
      </c>
      <c r="N614" s="20">
        <v>45211</v>
      </c>
      <c r="O614" s="13" t="s">
        <v>399</v>
      </c>
      <c r="P614" s="13" t="s">
        <v>144</v>
      </c>
      <c r="Q614" s="123" t="s">
        <v>30</v>
      </c>
      <c r="R614" s="13" t="s">
        <v>1200</v>
      </c>
      <c r="S614" s="31">
        <v>211660503873</v>
      </c>
      <c r="T614" s="20">
        <v>45211</v>
      </c>
      <c r="U614" s="123"/>
      <c r="V614" s="13">
        <v>523</v>
      </c>
      <c r="W614" s="29">
        <v>45211.395833333336</v>
      </c>
      <c r="X614" s="29">
        <v>45211.506944444445</v>
      </c>
      <c r="Y614" s="30">
        <f t="shared" si="564"/>
        <v>0.11111111110949423</v>
      </c>
      <c r="Z614" s="29">
        <v>45211.409722222219</v>
      </c>
      <c r="AA614" s="29">
        <v>45211.506944444445</v>
      </c>
      <c r="AB614" s="30">
        <f t="shared" si="565"/>
        <v>9.7222222226264421E-2</v>
      </c>
    </row>
    <row r="615" spans="1:28" x14ac:dyDescent="0.25">
      <c r="A615" s="12">
        <v>45200</v>
      </c>
      <c r="B615" s="13" t="s">
        <v>1199</v>
      </c>
      <c r="C615" s="20">
        <v>45209</v>
      </c>
      <c r="D615" s="13">
        <v>7833010</v>
      </c>
      <c r="E615" s="13" t="s">
        <v>859</v>
      </c>
      <c r="F615" s="13" t="s">
        <v>289</v>
      </c>
      <c r="G615" s="13" t="s">
        <v>192</v>
      </c>
      <c r="H615" s="17">
        <v>5212252</v>
      </c>
      <c r="I615" s="17" t="s">
        <v>23</v>
      </c>
      <c r="J615" s="13" t="s">
        <v>1139</v>
      </c>
      <c r="K615" s="13">
        <v>25</v>
      </c>
      <c r="L615" s="13">
        <v>480</v>
      </c>
      <c r="M615" s="13">
        <f t="shared" si="563"/>
        <v>12000</v>
      </c>
      <c r="N615" s="20">
        <v>45211</v>
      </c>
      <c r="O615" s="13" t="s">
        <v>399</v>
      </c>
      <c r="P615" s="13" t="s">
        <v>144</v>
      </c>
      <c r="Q615" s="123" t="s">
        <v>30</v>
      </c>
      <c r="R615" s="13" t="s">
        <v>1200</v>
      </c>
      <c r="S615" s="31">
        <v>211660503873</v>
      </c>
      <c r="T615" s="20">
        <v>45211</v>
      </c>
      <c r="U615" s="123"/>
      <c r="V615" s="13">
        <v>523</v>
      </c>
      <c r="W615" s="29">
        <v>45211.395833333336</v>
      </c>
      <c r="X615" s="29">
        <v>45211.506944444445</v>
      </c>
      <c r="Y615" s="30">
        <f t="shared" si="564"/>
        <v>0.11111111110949423</v>
      </c>
      <c r="Z615" s="29">
        <v>45211.409722222219</v>
      </c>
      <c r="AA615" s="29">
        <v>45211.506944444445</v>
      </c>
      <c r="AB615" s="30">
        <f t="shared" si="565"/>
        <v>9.7222222226264421E-2</v>
      </c>
    </row>
    <row r="616" spans="1:28" x14ac:dyDescent="0.25">
      <c r="A616" s="12">
        <v>45200</v>
      </c>
      <c r="B616" s="13" t="s">
        <v>1201</v>
      </c>
      <c r="C616" s="20">
        <v>45211</v>
      </c>
      <c r="D616" s="13">
        <v>8017757</v>
      </c>
      <c r="E616" s="13" t="s">
        <v>395</v>
      </c>
      <c r="F616" s="13" t="s">
        <v>396</v>
      </c>
      <c r="G616" s="13" t="s">
        <v>192</v>
      </c>
      <c r="H616" s="17">
        <v>5212252</v>
      </c>
      <c r="I616" s="17" t="s">
        <v>23</v>
      </c>
      <c r="J616" s="13" t="s">
        <v>1164</v>
      </c>
      <c r="K616" s="13">
        <v>25</v>
      </c>
      <c r="L616" s="13">
        <v>280</v>
      </c>
      <c r="M616" s="13">
        <f t="shared" si="563"/>
        <v>7000</v>
      </c>
      <c r="N616" s="20">
        <v>45211</v>
      </c>
      <c r="O616" s="13" t="s">
        <v>136</v>
      </c>
      <c r="P616" s="13" t="s">
        <v>134</v>
      </c>
      <c r="Q616" s="123">
        <v>2282</v>
      </c>
      <c r="R616" s="13" t="s">
        <v>1202</v>
      </c>
      <c r="S616" s="31">
        <v>231660507727</v>
      </c>
      <c r="T616" s="20">
        <v>45211</v>
      </c>
      <c r="U616" s="123"/>
      <c r="V616" s="13">
        <v>524</v>
      </c>
      <c r="W616" s="29">
        <v>45211.75</v>
      </c>
      <c r="X616" s="29">
        <v>45211.791666666664</v>
      </c>
      <c r="Y616" s="30">
        <f t="shared" si="564"/>
        <v>4.1666666664241347E-2</v>
      </c>
      <c r="Z616" s="29">
        <v>45211.756944444445</v>
      </c>
      <c r="AA616" s="29">
        <v>45211.791666666664</v>
      </c>
      <c r="AB616" s="30">
        <f t="shared" si="565"/>
        <v>3.4722222218988463E-2</v>
      </c>
    </row>
    <row r="617" spans="1:28" x14ac:dyDescent="0.25">
      <c r="A617" s="12">
        <v>45200</v>
      </c>
      <c r="B617" s="13" t="s">
        <v>1201</v>
      </c>
      <c r="C617" s="20">
        <v>45211</v>
      </c>
      <c r="D617" s="13">
        <v>7976597</v>
      </c>
      <c r="E617" s="13" t="s">
        <v>395</v>
      </c>
      <c r="F617" s="13" t="s">
        <v>396</v>
      </c>
      <c r="G617" s="13" t="s">
        <v>192</v>
      </c>
      <c r="H617" s="17">
        <v>5211013</v>
      </c>
      <c r="I617" s="17" t="s">
        <v>27</v>
      </c>
      <c r="J617" s="13" t="s">
        <v>1145</v>
      </c>
      <c r="K617" s="13">
        <v>25</v>
      </c>
      <c r="L617" s="13">
        <v>120</v>
      </c>
      <c r="M617" s="13">
        <f t="shared" ref="M617:M622" si="569">K617*L617</f>
        <v>3000</v>
      </c>
      <c r="N617" s="20">
        <v>45211</v>
      </c>
      <c r="O617" s="13" t="s">
        <v>136</v>
      </c>
      <c r="P617" s="13" t="s">
        <v>134</v>
      </c>
      <c r="Q617" s="123">
        <v>2282</v>
      </c>
      <c r="R617" s="13" t="s">
        <v>1202</v>
      </c>
      <c r="S617" s="31">
        <v>231660507727</v>
      </c>
      <c r="T617" s="20">
        <v>45211</v>
      </c>
      <c r="U617" s="123"/>
      <c r="V617" s="13">
        <v>524</v>
      </c>
      <c r="W617" s="29">
        <v>45211.75</v>
      </c>
      <c r="X617" s="29">
        <v>45211.791666666664</v>
      </c>
      <c r="Y617" s="30">
        <f t="shared" ref="Y617:Y622" si="570">+X617-W617</f>
        <v>4.1666666664241347E-2</v>
      </c>
      <c r="Z617" s="29">
        <v>45211.756944444445</v>
      </c>
      <c r="AA617" s="29">
        <v>45211.791666666664</v>
      </c>
      <c r="AB617" s="30">
        <f t="shared" ref="AB617:AB622" si="571">+AA617-Z617</f>
        <v>3.4722222218988463E-2</v>
      </c>
    </row>
    <row r="618" spans="1:28" x14ac:dyDescent="0.25">
      <c r="A618" s="12">
        <v>45200</v>
      </c>
      <c r="B618" s="13" t="s">
        <v>1201</v>
      </c>
      <c r="C618" s="20">
        <v>45212</v>
      </c>
      <c r="D618" s="13">
        <v>8017757</v>
      </c>
      <c r="E618" s="13" t="s">
        <v>837</v>
      </c>
      <c r="F618" s="13" t="s">
        <v>386</v>
      </c>
      <c r="G618" s="13" t="s">
        <v>192</v>
      </c>
      <c r="H618" s="17">
        <v>5212252</v>
      </c>
      <c r="I618" s="17" t="s">
        <v>23</v>
      </c>
      <c r="J618" s="13" t="s">
        <v>373</v>
      </c>
      <c r="K618" s="13">
        <v>25</v>
      </c>
      <c r="L618" s="13">
        <v>119</v>
      </c>
      <c r="M618" s="13">
        <f t="shared" si="569"/>
        <v>2975</v>
      </c>
      <c r="N618" s="20">
        <v>45212</v>
      </c>
      <c r="O618" s="13" t="s">
        <v>555</v>
      </c>
      <c r="P618" s="13" t="s">
        <v>144</v>
      </c>
      <c r="Q618" s="13" t="s">
        <v>30</v>
      </c>
      <c r="R618" s="13" t="s">
        <v>1214</v>
      </c>
      <c r="S618" s="31">
        <v>231661032257</v>
      </c>
      <c r="T618" s="20">
        <v>45212</v>
      </c>
      <c r="U618" s="123"/>
      <c r="V618" s="13">
        <v>525</v>
      </c>
      <c r="W618" s="29">
        <v>45212.458333333336</v>
      </c>
      <c r="X618" s="29">
        <v>45212.743055555555</v>
      </c>
      <c r="Y618" s="30">
        <f t="shared" si="570"/>
        <v>0.28472222221898846</v>
      </c>
      <c r="Z618" s="29">
        <v>45212.520833333336</v>
      </c>
      <c r="AA618" s="29">
        <v>45212.541666666664</v>
      </c>
      <c r="AB618" s="30">
        <f t="shared" si="571"/>
        <v>2.0833333328482695E-2</v>
      </c>
    </row>
    <row r="619" spans="1:28" x14ac:dyDescent="0.25">
      <c r="A619" s="12">
        <v>45200</v>
      </c>
      <c r="B619" s="13" t="s">
        <v>1201</v>
      </c>
      <c r="C619" s="20">
        <v>45212</v>
      </c>
      <c r="D619" s="13">
        <v>8017757</v>
      </c>
      <c r="E619" s="13" t="s">
        <v>837</v>
      </c>
      <c r="F619" s="13" t="s">
        <v>386</v>
      </c>
      <c r="G619" s="13" t="s">
        <v>192</v>
      </c>
      <c r="H619" s="17">
        <v>5212252</v>
      </c>
      <c r="I619" s="17" t="s">
        <v>23</v>
      </c>
      <c r="J619" s="13" t="s">
        <v>1166</v>
      </c>
      <c r="K619" s="13">
        <v>25</v>
      </c>
      <c r="L619" s="13">
        <v>1</v>
      </c>
      <c r="M619" s="13">
        <f t="shared" ref="M619" si="572">K619*L619</f>
        <v>25</v>
      </c>
      <c r="N619" s="20">
        <v>45212</v>
      </c>
      <c r="O619" s="13" t="s">
        <v>555</v>
      </c>
      <c r="P619" s="13" t="s">
        <v>144</v>
      </c>
      <c r="Q619" s="13" t="s">
        <v>30</v>
      </c>
      <c r="R619" s="13" t="s">
        <v>1214</v>
      </c>
      <c r="S619" s="31">
        <v>231661032257</v>
      </c>
      <c r="T619" s="20">
        <v>45212</v>
      </c>
      <c r="U619" s="123"/>
      <c r="V619" s="13">
        <v>525</v>
      </c>
      <c r="W619" s="29">
        <v>45212.458333333336</v>
      </c>
      <c r="X619" s="29">
        <v>45212.743055555555</v>
      </c>
      <c r="Y619" s="30">
        <f t="shared" ref="Y619" si="573">+X619-W619</f>
        <v>0.28472222221898846</v>
      </c>
      <c r="Z619" s="29">
        <v>45212.520833333336</v>
      </c>
      <c r="AA619" s="29">
        <v>45212.541666666664</v>
      </c>
      <c r="AB619" s="30">
        <f t="shared" ref="AB619" si="574">+AA619-Z619</f>
        <v>2.0833333328482695E-2</v>
      </c>
    </row>
    <row r="620" spans="1:28" x14ac:dyDescent="0.25">
      <c r="A620" s="12">
        <v>45200</v>
      </c>
      <c r="B620" s="13" t="s">
        <v>1215</v>
      </c>
      <c r="C620" s="20">
        <v>45212</v>
      </c>
      <c r="D620" s="13">
        <v>8017757</v>
      </c>
      <c r="E620" s="13" t="s">
        <v>859</v>
      </c>
      <c r="F620" s="13" t="s">
        <v>289</v>
      </c>
      <c r="G620" s="13" t="s">
        <v>192</v>
      </c>
      <c r="H620" s="17">
        <v>5212252</v>
      </c>
      <c r="I620" s="17" t="s">
        <v>23</v>
      </c>
      <c r="J620" s="13" t="s">
        <v>1164</v>
      </c>
      <c r="K620" s="13">
        <v>25</v>
      </c>
      <c r="L620" s="13">
        <v>193</v>
      </c>
      <c r="M620" s="13">
        <f t="shared" si="569"/>
        <v>4825</v>
      </c>
      <c r="N620" s="20">
        <v>45212</v>
      </c>
      <c r="O620" s="13" t="s">
        <v>136</v>
      </c>
      <c r="P620" s="13" t="s">
        <v>144</v>
      </c>
      <c r="Q620" s="13" t="s">
        <v>30</v>
      </c>
      <c r="R620" s="13" t="s">
        <v>1216</v>
      </c>
      <c r="S620" s="31">
        <v>251661034543</v>
      </c>
      <c r="T620" s="20">
        <v>45212</v>
      </c>
      <c r="U620" s="123"/>
      <c r="V620" s="13">
        <v>526</v>
      </c>
      <c r="W620" s="29">
        <v>45212.645833333336</v>
      </c>
      <c r="X620" s="29">
        <v>45212.75</v>
      </c>
      <c r="Y620" s="30">
        <f t="shared" si="570"/>
        <v>0.10416666666424135</v>
      </c>
      <c r="Z620" s="29">
        <v>45212.666666666664</v>
      </c>
      <c r="AA620" s="29">
        <v>45212.725694444445</v>
      </c>
      <c r="AB620" s="30">
        <f t="shared" si="571"/>
        <v>5.9027777781011537E-2</v>
      </c>
    </row>
    <row r="621" spans="1:28" x14ac:dyDescent="0.25">
      <c r="A621" s="12">
        <v>45200</v>
      </c>
      <c r="B621" s="13" t="s">
        <v>1215</v>
      </c>
      <c r="C621" s="20">
        <v>45212</v>
      </c>
      <c r="D621" s="13">
        <v>8017757</v>
      </c>
      <c r="E621" s="13" t="s">
        <v>859</v>
      </c>
      <c r="F621" s="13" t="s">
        <v>289</v>
      </c>
      <c r="G621" s="13" t="s">
        <v>192</v>
      </c>
      <c r="H621" s="17">
        <v>5212252</v>
      </c>
      <c r="I621" s="17" t="s">
        <v>23</v>
      </c>
      <c r="J621" s="13" t="s">
        <v>1166</v>
      </c>
      <c r="K621" s="13">
        <v>25</v>
      </c>
      <c r="L621" s="13">
        <v>207</v>
      </c>
      <c r="M621" s="13">
        <f t="shared" ref="M621" si="575">K621*L621</f>
        <v>5175</v>
      </c>
      <c r="N621" s="20">
        <v>45212</v>
      </c>
      <c r="O621" s="13" t="s">
        <v>136</v>
      </c>
      <c r="P621" s="13" t="s">
        <v>144</v>
      </c>
      <c r="Q621" s="13" t="s">
        <v>30</v>
      </c>
      <c r="R621" s="13" t="s">
        <v>1216</v>
      </c>
      <c r="S621" s="31">
        <v>251661034543</v>
      </c>
      <c r="T621" s="20">
        <v>45212</v>
      </c>
      <c r="U621" s="123"/>
      <c r="V621" s="13">
        <v>526</v>
      </c>
      <c r="W621" s="29">
        <v>45212.645833333336</v>
      </c>
      <c r="X621" s="29">
        <v>45212.75</v>
      </c>
      <c r="Y621" s="30">
        <f t="shared" ref="Y621" si="576">+X621-W621</f>
        <v>0.10416666666424135</v>
      </c>
      <c r="Z621" s="29">
        <v>45212.666666666664</v>
      </c>
      <c r="AA621" s="29">
        <v>45212.725694444445</v>
      </c>
      <c r="AB621" s="30">
        <f t="shared" ref="AB621" si="577">+AA621-Z621</f>
        <v>5.9027777781011537E-2</v>
      </c>
    </row>
    <row r="622" spans="1:28" x14ac:dyDescent="0.25">
      <c r="A622" s="12">
        <v>45200</v>
      </c>
      <c r="B622" s="13" t="s">
        <v>1217</v>
      </c>
      <c r="C622" s="20">
        <v>45212</v>
      </c>
      <c r="D622" s="13">
        <v>8017751</v>
      </c>
      <c r="E622" s="13" t="s">
        <v>191</v>
      </c>
      <c r="F622" s="13" t="s">
        <v>135</v>
      </c>
      <c r="G622" s="13" t="s">
        <v>192</v>
      </c>
      <c r="H622" s="17">
        <v>5211014</v>
      </c>
      <c r="I622" s="17" t="s">
        <v>38</v>
      </c>
      <c r="J622" s="13" t="s">
        <v>1191</v>
      </c>
      <c r="K622" s="13">
        <v>25</v>
      </c>
      <c r="L622" s="13">
        <v>280</v>
      </c>
      <c r="M622" s="13">
        <f t="shared" si="569"/>
        <v>7000</v>
      </c>
      <c r="N622" s="20">
        <v>45212</v>
      </c>
      <c r="O622" s="13" t="s">
        <v>136</v>
      </c>
      <c r="P622" s="13" t="s">
        <v>144</v>
      </c>
      <c r="Q622" s="13" t="s">
        <v>30</v>
      </c>
      <c r="R622" s="13" t="s">
        <v>936</v>
      </c>
      <c r="S622" s="31">
        <v>251661062065</v>
      </c>
      <c r="T622" s="20">
        <v>45212</v>
      </c>
      <c r="U622" s="123"/>
      <c r="V622" s="13">
        <v>527</v>
      </c>
      <c r="W622" s="29">
        <v>45212.583333333336</v>
      </c>
      <c r="X622" s="29">
        <v>45212.763888888891</v>
      </c>
      <c r="Y622" s="30">
        <f t="shared" si="570"/>
        <v>0.18055555555474712</v>
      </c>
      <c r="Z622" s="29">
        <v>45212.736111111109</v>
      </c>
      <c r="AA622" s="29">
        <v>45212.763888888891</v>
      </c>
      <c r="AB622" s="30">
        <f t="shared" si="571"/>
        <v>2.7777777781011537E-2</v>
      </c>
    </row>
    <row r="623" spans="1:28" x14ac:dyDescent="0.25">
      <c r="A623" s="12">
        <v>45200</v>
      </c>
      <c r="B623" s="13" t="s">
        <v>1217</v>
      </c>
      <c r="C623" s="20">
        <v>45212</v>
      </c>
      <c r="D623" s="13">
        <v>8017757</v>
      </c>
      <c r="E623" s="13" t="s">
        <v>191</v>
      </c>
      <c r="F623" s="13" t="s">
        <v>135</v>
      </c>
      <c r="G623" s="13" t="s">
        <v>192</v>
      </c>
      <c r="H623" s="17">
        <v>5212252</v>
      </c>
      <c r="I623" s="17" t="s">
        <v>23</v>
      </c>
      <c r="J623" s="13" t="s">
        <v>1166</v>
      </c>
      <c r="K623" s="13">
        <v>25</v>
      </c>
      <c r="L623" s="13">
        <v>200</v>
      </c>
      <c r="M623" s="13">
        <f t="shared" ref="M623:M624" si="578">K623*L623</f>
        <v>5000</v>
      </c>
      <c r="N623" s="20">
        <v>45212</v>
      </c>
      <c r="O623" s="13" t="s">
        <v>136</v>
      </c>
      <c r="P623" s="13" t="s">
        <v>144</v>
      </c>
      <c r="Q623" s="13" t="s">
        <v>30</v>
      </c>
      <c r="R623" s="13" t="s">
        <v>936</v>
      </c>
      <c r="S623" s="31">
        <v>251661062065</v>
      </c>
      <c r="T623" s="20">
        <v>45212</v>
      </c>
      <c r="U623" s="123"/>
      <c r="V623" s="13">
        <v>527</v>
      </c>
      <c r="W623" s="29">
        <v>45212.583333333336</v>
      </c>
      <c r="X623" s="29">
        <v>45212.763888888891</v>
      </c>
      <c r="Y623" s="30">
        <f t="shared" ref="Y623:Y624" si="579">+X623-W623</f>
        <v>0.18055555555474712</v>
      </c>
      <c r="Z623" s="29">
        <v>45212.736111111109</v>
      </c>
      <c r="AA623" s="29">
        <v>45212.763888888891</v>
      </c>
      <c r="AB623" s="30">
        <f t="shared" ref="AB623:AB624" si="580">+AA623-Z623</f>
        <v>2.7777777781011537E-2</v>
      </c>
    </row>
    <row r="624" spans="1:28" x14ac:dyDescent="0.25">
      <c r="A624" s="12">
        <v>45200</v>
      </c>
      <c r="B624" s="13" t="s">
        <v>1223</v>
      </c>
      <c r="C624" s="20">
        <v>45212</v>
      </c>
      <c r="D624" s="13">
        <v>8017754</v>
      </c>
      <c r="E624" s="13" t="s">
        <v>859</v>
      </c>
      <c r="F624" s="13" t="s">
        <v>289</v>
      </c>
      <c r="G624" s="13" t="s">
        <v>192</v>
      </c>
      <c r="H624" s="17">
        <v>5212252</v>
      </c>
      <c r="I624" s="17" t="s">
        <v>23</v>
      </c>
      <c r="J624" s="13" t="s">
        <v>1116</v>
      </c>
      <c r="K624" s="13">
        <v>25</v>
      </c>
      <c r="L624" s="13">
        <v>600</v>
      </c>
      <c r="M624" s="13">
        <f t="shared" si="578"/>
        <v>15000</v>
      </c>
      <c r="N624" s="20">
        <v>45213</v>
      </c>
      <c r="O624" s="13" t="s">
        <v>399</v>
      </c>
      <c r="P624" s="13" t="s">
        <v>144</v>
      </c>
      <c r="Q624" s="13" t="s">
        <v>30</v>
      </c>
      <c r="R624" s="13" t="s">
        <v>1224</v>
      </c>
      <c r="S624" s="31">
        <v>261661434423</v>
      </c>
      <c r="T624" s="20">
        <v>45213</v>
      </c>
      <c r="U624" s="123"/>
      <c r="V624" s="13">
        <v>528</v>
      </c>
      <c r="W624" s="29">
        <v>45213.395833333336</v>
      </c>
      <c r="X624" s="29">
        <v>45213.541666666664</v>
      </c>
      <c r="Y624" s="30">
        <f t="shared" si="579"/>
        <v>0.14583333332848269</v>
      </c>
      <c r="Z624" s="29">
        <v>45213.416666666664</v>
      </c>
      <c r="AA624" s="29">
        <v>45213.541666666664</v>
      </c>
      <c r="AB624" s="30">
        <f t="shared" si="580"/>
        <v>0.125</v>
      </c>
    </row>
    <row r="625" spans="1:28" x14ac:dyDescent="0.25">
      <c r="A625" s="12">
        <v>45200</v>
      </c>
      <c r="B625" s="13" t="s">
        <v>1223</v>
      </c>
      <c r="C625" s="20">
        <v>45212</v>
      </c>
      <c r="D625" s="13">
        <v>8017751</v>
      </c>
      <c r="E625" s="13" t="s">
        <v>859</v>
      </c>
      <c r="F625" s="13" t="s">
        <v>289</v>
      </c>
      <c r="G625" s="13" t="s">
        <v>192</v>
      </c>
      <c r="H625" s="17">
        <v>5211014</v>
      </c>
      <c r="I625" s="17" t="s">
        <v>38</v>
      </c>
      <c r="J625" s="13" t="s">
        <v>1191</v>
      </c>
      <c r="K625" s="13">
        <v>25</v>
      </c>
      <c r="L625" s="13">
        <v>600</v>
      </c>
      <c r="M625" s="13">
        <f t="shared" ref="M625:M628" si="581">K625*L625</f>
        <v>15000</v>
      </c>
      <c r="N625" s="20">
        <v>45213</v>
      </c>
      <c r="O625" s="13" t="s">
        <v>399</v>
      </c>
      <c r="P625" s="13" t="s">
        <v>144</v>
      </c>
      <c r="Q625" s="13" t="s">
        <v>30</v>
      </c>
      <c r="R625" s="13" t="s">
        <v>1224</v>
      </c>
      <c r="S625" s="31">
        <v>261661434423</v>
      </c>
      <c r="T625" s="20">
        <v>45213</v>
      </c>
      <c r="U625" s="123"/>
      <c r="V625" s="13">
        <v>528</v>
      </c>
      <c r="W625" s="29">
        <v>45213.395833333336</v>
      </c>
      <c r="X625" s="29">
        <v>45213.541666666664</v>
      </c>
      <c r="Y625" s="30">
        <f t="shared" ref="Y625:Y628" si="582">+X625-W625</f>
        <v>0.14583333332848269</v>
      </c>
      <c r="Z625" s="29">
        <v>45213.416666666664</v>
      </c>
      <c r="AA625" s="29">
        <v>45213.541666666664</v>
      </c>
      <c r="AB625" s="30">
        <f t="shared" ref="AB625:AB628" si="583">+AA625-Z625</f>
        <v>0.125</v>
      </c>
    </row>
    <row r="626" spans="1:28" x14ac:dyDescent="0.25">
      <c r="A626" s="12">
        <v>45200</v>
      </c>
      <c r="B626" s="13" t="s">
        <v>1225</v>
      </c>
      <c r="C626" s="20">
        <v>45212</v>
      </c>
      <c r="D626" s="13">
        <v>7285627</v>
      </c>
      <c r="E626" s="13" t="s">
        <v>385</v>
      </c>
      <c r="F626" s="13" t="s">
        <v>386</v>
      </c>
      <c r="G626" s="13" t="s">
        <v>192</v>
      </c>
      <c r="H626" s="17">
        <v>5210162</v>
      </c>
      <c r="I626" s="17" t="s">
        <v>24</v>
      </c>
      <c r="J626" s="13" t="s">
        <v>770</v>
      </c>
      <c r="K626" s="13">
        <v>25</v>
      </c>
      <c r="L626" s="13">
        <v>400</v>
      </c>
      <c r="M626" s="13">
        <f t="shared" si="581"/>
        <v>10000</v>
      </c>
      <c r="N626" s="20">
        <v>45213</v>
      </c>
      <c r="O626" s="13" t="s">
        <v>136</v>
      </c>
      <c r="P626" s="13" t="s">
        <v>144</v>
      </c>
      <c r="Q626" s="13" t="s">
        <v>30</v>
      </c>
      <c r="R626" s="13" t="s">
        <v>1226</v>
      </c>
      <c r="S626" s="31">
        <v>201661431257</v>
      </c>
      <c r="T626" s="20">
        <v>45213</v>
      </c>
      <c r="U626" s="123"/>
      <c r="V626" s="13">
        <v>529</v>
      </c>
      <c r="W626" s="29">
        <v>45213.583333333336</v>
      </c>
      <c r="X626" s="29">
        <v>45213.638888888891</v>
      </c>
      <c r="Y626" s="30">
        <f t="shared" si="582"/>
        <v>5.5555555554747116E-2</v>
      </c>
      <c r="Z626" s="29">
        <v>45213.590277777781</v>
      </c>
      <c r="AA626" s="29">
        <v>45213.638888888891</v>
      </c>
      <c r="AB626" s="30">
        <f t="shared" si="583"/>
        <v>4.8611111109494232E-2</v>
      </c>
    </row>
    <row r="627" spans="1:28" x14ac:dyDescent="0.25">
      <c r="A627" s="12">
        <v>45200</v>
      </c>
      <c r="B627" s="13" t="s">
        <v>1227</v>
      </c>
      <c r="C627" s="20">
        <v>45215</v>
      </c>
      <c r="D627" s="13">
        <v>8023010</v>
      </c>
      <c r="E627" s="13" t="s">
        <v>196</v>
      </c>
      <c r="F627" s="13" t="s">
        <v>197</v>
      </c>
      <c r="G627" s="13" t="s">
        <v>132</v>
      </c>
      <c r="H627" s="17">
        <v>5230831</v>
      </c>
      <c r="I627" s="17" t="s">
        <v>35</v>
      </c>
      <c r="J627" s="14" t="s">
        <v>1156</v>
      </c>
      <c r="K627" s="13">
        <v>240</v>
      </c>
      <c r="L627" s="13">
        <v>40</v>
      </c>
      <c r="M627" s="13">
        <f t="shared" si="581"/>
        <v>9600</v>
      </c>
      <c r="N627" s="20">
        <v>45215</v>
      </c>
      <c r="O627" s="13" t="s">
        <v>136</v>
      </c>
      <c r="P627" s="13" t="s">
        <v>144</v>
      </c>
      <c r="Q627" s="13" t="s">
        <v>30</v>
      </c>
      <c r="R627" s="13" t="s">
        <v>265</v>
      </c>
      <c r="S627" s="31">
        <v>261662167164</v>
      </c>
      <c r="T627" s="15">
        <v>45215</v>
      </c>
      <c r="U627" s="123"/>
      <c r="V627" s="13">
        <v>530</v>
      </c>
      <c r="W627" s="29">
        <v>45215.625</v>
      </c>
      <c r="X627" s="29">
        <v>45215.659722222219</v>
      </c>
      <c r="Y627" s="30">
        <f t="shared" si="582"/>
        <v>3.4722222218988463E-2</v>
      </c>
      <c r="Z627" s="29">
        <v>45215.645833333336</v>
      </c>
      <c r="AA627" s="29">
        <v>45215.659722222219</v>
      </c>
      <c r="AB627" s="30">
        <f t="shared" si="583"/>
        <v>1.3888888883229811E-2</v>
      </c>
    </row>
    <row r="628" spans="1:28" x14ac:dyDescent="0.25">
      <c r="A628" s="12">
        <v>45200</v>
      </c>
      <c r="B628" s="123" t="s">
        <v>1228</v>
      </c>
      <c r="C628" s="20">
        <v>45215</v>
      </c>
      <c r="D628" s="13">
        <v>8017754</v>
      </c>
      <c r="E628" s="13" t="s">
        <v>191</v>
      </c>
      <c r="F628" s="13" t="s">
        <v>135</v>
      </c>
      <c r="G628" s="13" t="s">
        <v>192</v>
      </c>
      <c r="H628" s="17">
        <v>5212252</v>
      </c>
      <c r="I628" s="17" t="s">
        <v>23</v>
      </c>
      <c r="J628" s="14" t="s">
        <v>1138</v>
      </c>
      <c r="K628" s="13">
        <v>25</v>
      </c>
      <c r="L628" s="13">
        <v>400</v>
      </c>
      <c r="M628" s="13">
        <f t="shared" si="581"/>
        <v>10000</v>
      </c>
      <c r="N628" s="20">
        <v>45215</v>
      </c>
      <c r="O628" s="13" t="s">
        <v>399</v>
      </c>
      <c r="P628" s="13" t="s">
        <v>144</v>
      </c>
      <c r="Q628" s="13" t="s">
        <v>30</v>
      </c>
      <c r="R628" s="13" t="s">
        <v>1229</v>
      </c>
      <c r="S628" s="31">
        <v>251662298052</v>
      </c>
      <c r="T628" s="15">
        <v>45215</v>
      </c>
      <c r="U628" s="123"/>
      <c r="V628" s="13">
        <v>531</v>
      </c>
      <c r="W628" s="29">
        <v>45215.541666666664</v>
      </c>
      <c r="X628" s="29">
        <v>45215.722222222219</v>
      </c>
      <c r="Y628" s="30">
        <f t="shared" si="582"/>
        <v>0.18055555555474712</v>
      </c>
      <c r="Z628" s="29">
        <v>45215.604166666664</v>
      </c>
      <c r="AA628" s="29">
        <v>45215.722222222219</v>
      </c>
      <c r="AB628" s="30">
        <f t="shared" si="583"/>
        <v>0.11805555555474712</v>
      </c>
    </row>
    <row r="629" spans="1:28" x14ac:dyDescent="0.25">
      <c r="A629" s="12">
        <v>45200</v>
      </c>
      <c r="B629" s="123" t="s">
        <v>1228</v>
      </c>
      <c r="C629" s="20">
        <v>45215</v>
      </c>
      <c r="D629" s="13">
        <v>7976597</v>
      </c>
      <c r="E629" s="13" t="s">
        <v>191</v>
      </c>
      <c r="F629" s="13" t="s">
        <v>135</v>
      </c>
      <c r="G629" s="13" t="s">
        <v>192</v>
      </c>
      <c r="H629" s="17">
        <v>5211013</v>
      </c>
      <c r="I629" s="17" t="s">
        <v>27</v>
      </c>
      <c r="J629" s="13" t="s">
        <v>1145</v>
      </c>
      <c r="K629" s="13">
        <v>25</v>
      </c>
      <c r="L629" s="13">
        <f>7300/25</f>
        <v>292</v>
      </c>
      <c r="M629" s="13">
        <f t="shared" ref="M629:M632" si="584">K629*L629</f>
        <v>7300</v>
      </c>
      <c r="N629" s="20">
        <v>45215</v>
      </c>
      <c r="O629" s="13" t="s">
        <v>399</v>
      </c>
      <c r="P629" s="13" t="s">
        <v>144</v>
      </c>
      <c r="Q629" s="13" t="s">
        <v>30</v>
      </c>
      <c r="R629" s="13" t="s">
        <v>1229</v>
      </c>
      <c r="S629" s="31">
        <v>251662298052</v>
      </c>
      <c r="T629" s="15">
        <v>45215</v>
      </c>
      <c r="U629" s="123"/>
      <c r="V629" s="13">
        <v>531</v>
      </c>
      <c r="W629" s="29">
        <v>45215.541666666664</v>
      </c>
      <c r="X629" s="29">
        <v>45215.722222222219</v>
      </c>
      <c r="Y629" s="30">
        <f t="shared" ref="Y629:Y632" si="585">+X629-W629</f>
        <v>0.18055555555474712</v>
      </c>
      <c r="Z629" s="29">
        <v>45215.604166666664</v>
      </c>
      <c r="AA629" s="29">
        <v>45215.722222222219</v>
      </c>
      <c r="AB629" s="30">
        <f t="shared" ref="AB629:AB632" si="586">+AA629-Z629</f>
        <v>0.11805555555474712</v>
      </c>
    </row>
    <row r="630" spans="1:28" x14ac:dyDescent="0.25">
      <c r="A630" s="12">
        <v>45200</v>
      </c>
      <c r="B630" s="123" t="s">
        <v>1228</v>
      </c>
      <c r="C630" s="20">
        <v>45215</v>
      </c>
      <c r="D630" s="13">
        <v>7833009</v>
      </c>
      <c r="E630" s="13" t="s">
        <v>191</v>
      </c>
      <c r="F630" s="13" t="s">
        <v>135</v>
      </c>
      <c r="G630" s="13" t="s">
        <v>192</v>
      </c>
      <c r="H630" s="17">
        <v>5211013</v>
      </c>
      <c r="I630" s="17" t="s">
        <v>27</v>
      </c>
      <c r="J630" s="13" t="s">
        <v>1153</v>
      </c>
      <c r="K630" s="13">
        <v>25</v>
      </c>
      <c r="L630" s="13">
        <v>360</v>
      </c>
      <c r="M630" s="13">
        <f t="shared" ref="M630:M631" si="587">K630*L630</f>
        <v>9000</v>
      </c>
      <c r="N630" s="20">
        <v>45215</v>
      </c>
      <c r="O630" s="13" t="s">
        <v>399</v>
      </c>
      <c r="P630" s="13" t="s">
        <v>144</v>
      </c>
      <c r="Q630" s="13" t="s">
        <v>30</v>
      </c>
      <c r="R630" s="13" t="s">
        <v>1229</v>
      </c>
      <c r="S630" s="31">
        <v>251662298052</v>
      </c>
      <c r="T630" s="15">
        <v>45215</v>
      </c>
      <c r="U630" s="123"/>
      <c r="V630" s="13">
        <v>531</v>
      </c>
      <c r="W630" s="29">
        <v>45215.541666666664</v>
      </c>
      <c r="X630" s="29">
        <v>45215.722222222219</v>
      </c>
      <c r="Y630" s="30">
        <f t="shared" ref="Y630:Y631" si="588">+X630-W630</f>
        <v>0.18055555555474712</v>
      </c>
      <c r="Z630" s="29">
        <v>45215.604166666664</v>
      </c>
      <c r="AA630" s="29">
        <v>45215.722222222219</v>
      </c>
      <c r="AB630" s="30">
        <f t="shared" ref="AB630:AB631" si="589">+AA630-Z630</f>
        <v>0.11805555555474712</v>
      </c>
    </row>
    <row r="631" spans="1:28" x14ac:dyDescent="0.25">
      <c r="A631" s="12">
        <v>45200</v>
      </c>
      <c r="B631" s="123" t="s">
        <v>1228</v>
      </c>
      <c r="C631" s="20">
        <v>45215</v>
      </c>
      <c r="D631" s="13">
        <v>7933011</v>
      </c>
      <c r="E631" s="13" t="s">
        <v>191</v>
      </c>
      <c r="F631" s="13" t="s">
        <v>135</v>
      </c>
      <c r="G631" s="13" t="s">
        <v>192</v>
      </c>
      <c r="H631" s="17">
        <v>5211013</v>
      </c>
      <c r="I631" s="17" t="s">
        <v>27</v>
      </c>
      <c r="J631" s="13" t="s">
        <v>1153</v>
      </c>
      <c r="K631" s="13">
        <v>25</v>
      </c>
      <c r="L631" s="13">
        <f>800-360-292</f>
        <v>148</v>
      </c>
      <c r="M631" s="13">
        <f t="shared" si="587"/>
        <v>3700</v>
      </c>
      <c r="N631" s="20">
        <v>45215</v>
      </c>
      <c r="O631" s="13" t="s">
        <v>399</v>
      </c>
      <c r="P631" s="13" t="s">
        <v>144</v>
      </c>
      <c r="Q631" s="13" t="s">
        <v>30</v>
      </c>
      <c r="R631" s="13" t="s">
        <v>1229</v>
      </c>
      <c r="S631" s="31">
        <v>251662298052</v>
      </c>
      <c r="T631" s="15">
        <v>45215</v>
      </c>
      <c r="U631" s="123"/>
      <c r="V631" s="13">
        <v>531</v>
      </c>
      <c r="W631" s="29">
        <v>45215.541666666664</v>
      </c>
      <c r="X631" s="29">
        <v>45215.722222222219</v>
      </c>
      <c r="Y631" s="30">
        <f t="shared" si="588"/>
        <v>0.18055555555474712</v>
      </c>
      <c r="Z631" s="29">
        <v>45215.604166666664</v>
      </c>
      <c r="AA631" s="29">
        <v>45215.722222222219</v>
      </c>
      <c r="AB631" s="30">
        <f t="shared" si="589"/>
        <v>0.11805555555474712</v>
      </c>
    </row>
    <row r="632" spans="1:28" x14ac:dyDescent="0.25">
      <c r="A632" s="12">
        <v>45200</v>
      </c>
      <c r="B632" s="13" t="s">
        <v>1230</v>
      </c>
      <c r="C632" s="20">
        <v>45215</v>
      </c>
      <c r="D632" s="13">
        <v>8017754</v>
      </c>
      <c r="E632" s="13" t="s">
        <v>191</v>
      </c>
      <c r="F632" s="13" t="s">
        <v>135</v>
      </c>
      <c r="G632" s="13" t="s">
        <v>192</v>
      </c>
      <c r="H632" s="17">
        <v>5212252</v>
      </c>
      <c r="I632" s="17" t="s">
        <v>23</v>
      </c>
      <c r="J632" s="14" t="s">
        <v>1138</v>
      </c>
      <c r="K632" s="13">
        <v>25</v>
      </c>
      <c r="L632" s="13">
        <v>960</v>
      </c>
      <c r="M632" s="13">
        <f t="shared" si="584"/>
        <v>24000</v>
      </c>
      <c r="N632" s="20">
        <v>45215</v>
      </c>
      <c r="O632" s="13" t="s">
        <v>399</v>
      </c>
      <c r="P632" s="13" t="s">
        <v>144</v>
      </c>
      <c r="Q632" s="13" t="s">
        <v>30</v>
      </c>
      <c r="R632" s="13" t="s">
        <v>958</v>
      </c>
      <c r="S632" s="31">
        <v>201662291283</v>
      </c>
      <c r="T632" s="15">
        <v>45215</v>
      </c>
      <c r="U632" s="123"/>
      <c r="V632" s="13">
        <v>532</v>
      </c>
      <c r="W632" s="29">
        <v>45215.541666666664</v>
      </c>
      <c r="X632" s="29">
        <v>45215.854166666664</v>
      </c>
      <c r="Y632" s="30">
        <f t="shared" si="585"/>
        <v>0.3125</v>
      </c>
      <c r="Z632" s="29">
        <v>45215.6875</v>
      </c>
      <c r="AA632" s="29">
        <v>45215.833333333336</v>
      </c>
      <c r="AB632" s="30">
        <f t="shared" si="586"/>
        <v>0.14583333333575865</v>
      </c>
    </row>
    <row r="633" spans="1:28" x14ac:dyDescent="0.25">
      <c r="A633" s="12">
        <v>45200</v>
      </c>
      <c r="B633" s="13" t="s">
        <v>1230</v>
      </c>
      <c r="C633" s="20">
        <v>45215</v>
      </c>
      <c r="D633" s="13">
        <v>8108078</v>
      </c>
      <c r="E633" s="13" t="s">
        <v>191</v>
      </c>
      <c r="F633" s="13" t="s">
        <v>135</v>
      </c>
      <c r="G633" s="13" t="s">
        <v>192</v>
      </c>
      <c r="H633" s="17">
        <v>5212252</v>
      </c>
      <c r="I633" s="17" t="s">
        <v>23</v>
      </c>
      <c r="J633" s="13" t="s">
        <v>1219</v>
      </c>
      <c r="K633" s="13">
        <v>25</v>
      </c>
      <c r="L633" s="13">
        <v>40</v>
      </c>
      <c r="M633" s="13">
        <f t="shared" ref="M633" si="590">K633*L633</f>
        <v>1000</v>
      </c>
      <c r="N633" s="20">
        <v>45215</v>
      </c>
      <c r="O633" s="13" t="s">
        <v>399</v>
      </c>
      <c r="P633" s="13" t="s">
        <v>144</v>
      </c>
      <c r="Q633" s="13" t="s">
        <v>30</v>
      </c>
      <c r="R633" s="13" t="s">
        <v>958</v>
      </c>
      <c r="S633" s="31">
        <v>201662291283</v>
      </c>
      <c r="T633" s="15">
        <v>45215</v>
      </c>
      <c r="U633" s="123"/>
      <c r="V633" s="13">
        <v>532</v>
      </c>
      <c r="W633" s="29">
        <v>45215.541666666664</v>
      </c>
      <c r="X633" s="29">
        <v>45215.854166666664</v>
      </c>
      <c r="Y633" s="30">
        <f t="shared" ref="Y633" si="591">+X633-W633</f>
        <v>0.3125</v>
      </c>
      <c r="Z633" s="29">
        <v>45215.6875</v>
      </c>
      <c r="AA633" s="29">
        <v>45215.833333333336</v>
      </c>
      <c r="AB633" s="30">
        <f t="shared" ref="AB633" si="592">+AA633-Z633</f>
        <v>0.14583333333575865</v>
      </c>
    </row>
    <row r="634" spans="1:28" x14ac:dyDescent="0.25">
      <c r="A634" s="12">
        <v>45200</v>
      </c>
      <c r="B634" s="13" t="s">
        <v>1230</v>
      </c>
      <c r="C634" s="20">
        <v>45215</v>
      </c>
      <c r="D634" s="13">
        <v>7933011</v>
      </c>
      <c r="E634" s="13" t="s">
        <v>191</v>
      </c>
      <c r="F634" s="13" t="s">
        <v>135</v>
      </c>
      <c r="G634" s="13" t="s">
        <v>192</v>
      </c>
      <c r="H634" s="17">
        <v>5211013</v>
      </c>
      <c r="I634" s="17" t="s">
        <v>27</v>
      </c>
      <c r="J634" s="13" t="s">
        <v>1151</v>
      </c>
      <c r="K634" s="13">
        <v>25</v>
      </c>
      <c r="L634" s="13">
        <v>80</v>
      </c>
      <c r="M634" s="13">
        <f t="shared" ref="M634:M642" si="593">K634*L634</f>
        <v>2000</v>
      </c>
      <c r="N634" s="20">
        <v>45215</v>
      </c>
      <c r="O634" s="13" t="s">
        <v>399</v>
      </c>
      <c r="P634" s="13" t="s">
        <v>144</v>
      </c>
      <c r="Q634" s="13" t="s">
        <v>30</v>
      </c>
      <c r="R634" s="13" t="s">
        <v>958</v>
      </c>
      <c r="S634" s="31">
        <v>201662291283</v>
      </c>
      <c r="T634" s="15">
        <v>45215</v>
      </c>
      <c r="U634" s="123"/>
      <c r="V634" s="13">
        <v>532</v>
      </c>
      <c r="W634" s="29">
        <v>45215.541666666664</v>
      </c>
      <c r="X634" s="29">
        <v>45215.854166666664</v>
      </c>
      <c r="Y634" s="30">
        <f t="shared" ref="Y634:Y647" si="594">+X634-W634</f>
        <v>0.3125</v>
      </c>
      <c r="Z634" s="29">
        <v>45215.6875</v>
      </c>
      <c r="AA634" s="29">
        <v>45215.833333333336</v>
      </c>
      <c r="AB634" s="30">
        <f t="shared" ref="AB634:AB647" si="595">+AA634-Z634</f>
        <v>0.14583333333575865</v>
      </c>
    </row>
    <row r="635" spans="1:28" x14ac:dyDescent="0.25">
      <c r="A635" s="12">
        <v>45200</v>
      </c>
      <c r="B635" s="13" t="s">
        <v>1230</v>
      </c>
      <c r="C635" s="20">
        <v>45215</v>
      </c>
      <c r="D635" s="13">
        <v>7071414</v>
      </c>
      <c r="E635" s="13" t="s">
        <v>191</v>
      </c>
      <c r="F635" s="13" t="s">
        <v>135</v>
      </c>
      <c r="G635" s="13" t="s">
        <v>192</v>
      </c>
      <c r="H635" s="17">
        <v>5210162</v>
      </c>
      <c r="I635" s="17" t="s">
        <v>24</v>
      </c>
      <c r="J635" s="13" t="s">
        <v>770</v>
      </c>
      <c r="K635" s="13">
        <v>25</v>
      </c>
      <c r="L635" s="13">
        <v>120</v>
      </c>
      <c r="M635" s="13">
        <f t="shared" si="593"/>
        <v>3000</v>
      </c>
      <c r="N635" s="20">
        <v>45215</v>
      </c>
      <c r="O635" s="13" t="s">
        <v>399</v>
      </c>
      <c r="P635" s="13" t="s">
        <v>144</v>
      </c>
      <c r="Q635" s="13" t="s">
        <v>30</v>
      </c>
      <c r="R635" s="13" t="s">
        <v>958</v>
      </c>
      <c r="S635" s="31">
        <v>201662291283</v>
      </c>
      <c r="T635" s="15">
        <v>45215</v>
      </c>
      <c r="U635" s="123"/>
      <c r="V635" s="13">
        <v>532</v>
      </c>
      <c r="W635" s="29">
        <v>45215.541666666664</v>
      </c>
      <c r="X635" s="29">
        <v>45215.854166666664</v>
      </c>
      <c r="Y635" s="30">
        <f t="shared" si="594"/>
        <v>0.3125</v>
      </c>
      <c r="Z635" s="29">
        <v>45215.6875</v>
      </c>
      <c r="AA635" s="29">
        <v>45215.833333333336</v>
      </c>
      <c r="AB635" s="30">
        <f t="shared" si="595"/>
        <v>0.14583333333575865</v>
      </c>
    </row>
    <row r="636" spans="1:28" x14ac:dyDescent="0.25">
      <c r="A636" s="12">
        <v>45200</v>
      </c>
      <c r="B636" s="13" t="s">
        <v>1249</v>
      </c>
      <c r="C636" s="20">
        <v>45216</v>
      </c>
      <c r="D636" s="13">
        <v>7845822</v>
      </c>
      <c r="E636" s="13" t="s">
        <v>1089</v>
      </c>
      <c r="F636" s="13" t="s">
        <v>215</v>
      </c>
      <c r="G636" s="13" t="s">
        <v>132</v>
      </c>
      <c r="H636" s="17">
        <v>5230831</v>
      </c>
      <c r="I636" s="17" t="s">
        <v>35</v>
      </c>
      <c r="J636" s="14" t="s">
        <v>1097</v>
      </c>
      <c r="K636" s="13">
        <v>240</v>
      </c>
      <c r="L636" s="13">
        <v>20</v>
      </c>
      <c r="M636" s="13">
        <f>K636*L636</f>
        <v>4800</v>
      </c>
      <c r="N636" s="20">
        <v>45216</v>
      </c>
      <c r="O636" s="13" t="s">
        <v>589</v>
      </c>
      <c r="P636" s="13" t="s">
        <v>134</v>
      </c>
      <c r="Q636" s="13">
        <v>2283</v>
      </c>
      <c r="R636" s="13" t="s">
        <v>1250</v>
      </c>
      <c r="S636" s="31">
        <v>281662848690</v>
      </c>
      <c r="T636" s="20">
        <v>45216</v>
      </c>
      <c r="U636" s="123"/>
      <c r="V636" s="13">
        <v>533</v>
      </c>
      <c r="W636" s="29">
        <v>45216.583333333336</v>
      </c>
      <c r="X636" s="29">
        <v>45216.666666666664</v>
      </c>
      <c r="Y636" s="30">
        <f>+X636-W636</f>
        <v>8.3333333328482695E-2</v>
      </c>
      <c r="Z636" s="29">
        <v>45216.652777777781</v>
      </c>
      <c r="AA636" s="29">
        <v>45216.666666666664</v>
      </c>
      <c r="AB636" s="30">
        <f>+AA636-Z636</f>
        <v>1.3888888883229811E-2</v>
      </c>
    </row>
    <row r="637" spans="1:28" x14ac:dyDescent="0.25">
      <c r="A637" s="12">
        <v>45200</v>
      </c>
      <c r="B637" s="13" t="s">
        <v>1235</v>
      </c>
      <c r="C637" s="20">
        <v>45216</v>
      </c>
      <c r="D637" s="13">
        <v>8108078</v>
      </c>
      <c r="E637" s="13" t="s">
        <v>859</v>
      </c>
      <c r="F637" s="13" t="s">
        <v>289</v>
      </c>
      <c r="G637" s="13" t="s">
        <v>192</v>
      </c>
      <c r="H637" s="17">
        <v>5212252</v>
      </c>
      <c r="I637" s="17" t="s">
        <v>23</v>
      </c>
      <c r="J637" s="13" t="s">
        <v>1219</v>
      </c>
      <c r="K637" s="13">
        <v>25</v>
      </c>
      <c r="L637" s="13">
        <v>280</v>
      </c>
      <c r="M637" s="13">
        <f t="shared" si="593"/>
        <v>7000</v>
      </c>
      <c r="N637" s="20">
        <v>45216</v>
      </c>
      <c r="O637" s="13" t="s">
        <v>589</v>
      </c>
      <c r="P637" s="13" t="s">
        <v>144</v>
      </c>
      <c r="Q637" s="13" t="s">
        <v>30</v>
      </c>
      <c r="R637" s="13" t="s">
        <v>803</v>
      </c>
      <c r="S637" s="31">
        <v>271663016561</v>
      </c>
      <c r="T637" s="20">
        <v>45216</v>
      </c>
      <c r="U637" s="123"/>
      <c r="V637" s="13">
        <v>534</v>
      </c>
      <c r="W637" s="29">
        <v>45216.5</v>
      </c>
      <c r="X637" s="29">
        <v>45216.541666666664</v>
      </c>
      <c r="Y637" s="30">
        <f t="shared" si="594"/>
        <v>4.1666666664241347E-2</v>
      </c>
      <c r="Z637" s="29">
        <v>45216.506944444445</v>
      </c>
      <c r="AA637" s="29">
        <v>45216.541666666664</v>
      </c>
      <c r="AB637" s="30">
        <f t="shared" si="595"/>
        <v>3.4722222218988463E-2</v>
      </c>
    </row>
    <row r="638" spans="1:28" x14ac:dyDescent="0.25">
      <c r="A638" s="12">
        <v>45200</v>
      </c>
      <c r="B638" s="13" t="s">
        <v>1236</v>
      </c>
      <c r="C638" s="20">
        <v>45216</v>
      </c>
      <c r="D638" s="13">
        <v>7845822</v>
      </c>
      <c r="E638" s="13" t="s">
        <v>214</v>
      </c>
      <c r="F638" s="13" t="s">
        <v>215</v>
      </c>
      <c r="G638" s="13" t="s">
        <v>132</v>
      </c>
      <c r="H638" s="17">
        <v>5230831</v>
      </c>
      <c r="I638" s="17" t="s">
        <v>35</v>
      </c>
      <c r="J638" s="14" t="s">
        <v>1097</v>
      </c>
      <c r="K638" s="13">
        <v>240</v>
      </c>
      <c r="L638" s="13">
        <v>19</v>
      </c>
      <c r="M638" s="13">
        <f t="shared" si="593"/>
        <v>4560</v>
      </c>
      <c r="N638" s="20">
        <v>45216</v>
      </c>
      <c r="O638" s="13" t="s">
        <v>589</v>
      </c>
      <c r="P638" s="13" t="s">
        <v>134</v>
      </c>
      <c r="Q638" s="123">
        <v>2284</v>
      </c>
      <c r="R638" s="13" t="s">
        <v>1237</v>
      </c>
      <c r="S638" s="31">
        <v>241662968037</v>
      </c>
      <c r="T638" s="20">
        <v>45216</v>
      </c>
      <c r="U638" s="123"/>
      <c r="V638" s="13">
        <v>535</v>
      </c>
      <c r="W638" s="29">
        <v>45216.583333333336</v>
      </c>
      <c r="X638" s="29">
        <v>45216.666666666664</v>
      </c>
      <c r="Y638" s="30">
        <f t="shared" si="594"/>
        <v>8.3333333328482695E-2</v>
      </c>
      <c r="Z638" s="29">
        <v>45216.645833333336</v>
      </c>
      <c r="AA638" s="29">
        <v>45216.666666666664</v>
      </c>
      <c r="AB638" s="30">
        <f t="shared" si="595"/>
        <v>2.0833333328482695E-2</v>
      </c>
    </row>
    <row r="639" spans="1:28" x14ac:dyDescent="0.25">
      <c r="A639" s="12">
        <v>45200</v>
      </c>
      <c r="B639" s="13" t="s">
        <v>1236</v>
      </c>
      <c r="C639" s="20">
        <v>45216</v>
      </c>
      <c r="D639" s="13">
        <v>8023010</v>
      </c>
      <c r="E639" s="13" t="s">
        <v>214</v>
      </c>
      <c r="F639" s="13" t="s">
        <v>215</v>
      </c>
      <c r="G639" s="13" t="s">
        <v>132</v>
      </c>
      <c r="H639" s="17">
        <v>5230831</v>
      </c>
      <c r="I639" s="17" t="s">
        <v>35</v>
      </c>
      <c r="J639" s="14" t="s">
        <v>1156</v>
      </c>
      <c r="K639" s="13">
        <v>240</v>
      </c>
      <c r="L639" s="13">
        <v>3</v>
      </c>
      <c r="M639" s="13">
        <f t="shared" ref="M639" si="596">K639*L639</f>
        <v>720</v>
      </c>
      <c r="N639" s="20">
        <v>45216</v>
      </c>
      <c r="O639" s="13" t="s">
        <v>589</v>
      </c>
      <c r="P639" s="13" t="s">
        <v>134</v>
      </c>
      <c r="Q639" s="123">
        <v>2284</v>
      </c>
      <c r="R639" s="13" t="s">
        <v>1237</v>
      </c>
      <c r="S639" s="31">
        <v>241662968037</v>
      </c>
      <c r="T639" s="20">
        <v>45216</v>
      </c>
      <c r="U639" s="123"/>
      <c r="V639" s="13">
        <v>535</v>
      </c>
      <c r="W639" s="29">
        <v>45216.583333333336</v>
      </c>
      <c r="X639" s="29">
        <v>45216.666666666664</v>
      </c>
      <c r="Y639" s="30">
        <f t="shared" ref="Y639" si="597">+X639-W639</f>
        <v>8.3333333328482695E-2</v>
      </c>
      <c r="Z639" s="29">
        <v>45216.645833333336</v>
      </c>
      <c r="AA639" s="29">
        <v>45216.666666666664</v>
      </c>
      <c r="AB639" s="30">
        <f t="shared" ref="AB639" si="598">+AA639-Z639</f>
        <v>2.0833333328482695E-2</v>
      </c>
    </row>
    <row r="640" spans="1:28" x14ac:dyDescent="0.25">
      <c r="A640" s="12">
        <v>45200</v>
      </c>
      <c r="B640" s="13" t="s">
        <v>1238</v>
      </c>
      <c r="C640" s="20">
        <v>45216</v>
      </c>
      <c r="D640" s="13">
        <v>8023010</v>
      </c>
      <c r="E640" s="13" t="s">
        <v>1239</v>
      </c>
      <c r="F640" s="13" t="s">
        <v>268</v>
      </c>
      <c r="G640" s="13" t="s">
        <v>132</v>
      </c>
      <c r="H640" s="17">
        <v>5230831</v>
      </c>
      <c r="I640" s="17" t="s">
        <v>35</v>
      </c>
      <c r="J640" s="14" t="s">
        <v>1156</v>
      </c>
      <c r="K640" s="13">
        <v>240</v>
      </c>
      <c r="L640" s="13">
        <v>15</v>
      </c>
      <c r="M640" s="13">
        <f t="shared" si="593"/>
        <v>3600</v>
      </c>
      <c r="N640" s="20">
        <v>45216</v>
      </c>
      <c r="O640" s="13" t="s">
        <v>589</v>
      </c>
      <c r="P640" s="13" t="s">
        <v>134</v>
      </c>
      <c r="Q640" s="123">
        <v>2285</v>
      </c>
      <c r="R640" s="13" t="s">
        <v>1240</v>
      </c>
      <c r="S640" s="31">
        <v>231662969334</v>
      </c>
      <c r="T640" s="20">
        <v>45216</v>
      </c>
      <c r="U640" s="123"/>
      <c r="V640" s="13">
        <v>536</v>
      </c>
      <c r="W640" s="29">
        <v>45216.75</v>
      </c>
      <c r="X640" s="29">
        <v>45216.833333333336</v>
      </c>
      <c r="Y640" s="30">
        <f t="shared" si="594"/>
        <v>8.3333333335758653E-2</v>
      </c>
      <c r="Z640" s="29">
        <v>45216.8125</v>
      </c>
      <c r="AA640" s="29">
        <v>45216.833333333336</v>
      </c>
      <c r="AB640" s="30">
        <f t="shared" si="595"/>
        <v>2.0833333335758653E-2</v>
      </c>
    </row>
    <row r="641" spans="1:28" x14ac:dyDescent="0.25">
      <c r="A641" s="12">
        <v>45200</v>
      </c>
      <c r="B641" s="13" t="s">
        <v>1241</v>
      </c>
      <c r="C641" s="20">
        <v>45216</v>
      </c>
      <c r="D641" s="13">
        <v>7933360</v>
      </c>
      <c r="E641" s="13" t="s">
        <v>651</v>
      </c>
      <c r="F641" s="13" t="s">
        <v>1242</v>
      </c>
      <c r="G641" s="13" t="s">
        <v>132</v>
      </c>
      <c r="H641" s="17">
        <v>5309040</v>
      </c>
      <c r="I641" s="17" t="s">
        <v>105</v>
      </c>
      <c r="J641" s="13" t="s">
        <v>1204</v>
      </c>
      <c r="K641" s="13">
        <v>250</v>
      </c>
      <c r="L641" s="13">
        <v>36</v>
      </c>
      <c r="M641" s="13">
        <f t="shared" si="593"/>
        <v>9000</v>
      </c>
      <c r="N641" s="20">
        <v>45216</v>
      </c>
      <c r="O641" s="13" t="s">
        <v>136</v>
      </c>
      <c r="P641" s="13" t="s">
        <v>134</v>
      </c>
      <c r="Q641" s="123">
        <v>2286</v>
      </c>
      <c r="R641" s="13" t="s">
        <v>1243</v>
      </c>
      <c r="S641" s="31">
        <v>251662990033</v>
      </c>
      <c r="T641" s="20">
        <v>45216</v>
      </c>
      <c r="U641" s="123"/>
      <c r="V641" s="13">
        <v>537</v>
      </c>
      <c r="W641" s="29">
        <v>45216.666666666664</v>
      </c>
      <c r="X641" s="29">
        <v>45216.854166666664</v>
      </c>
      <c r="Y641" s="30">
        <f t="shared" si="594"/>
        <v>0.1875</v>
      </c>
      <c r="Z641" s="29">
        <v>45216.840277777781</v>
      </c>
      <c r="AA641" s="29">
        <v>45216.854166666664</v>
      </c>
      <c r="AB641" s="30">
        <f t="shared" si="595"/>
        <v>1.3888888883229811E-2</v>
      </c>
    </row>
    <row r="642" spans="1:28" x14ac:dyDescent="0.25">
      <c r="A642" s="12">
        <v>45200</v>
      </c>
      <c r="B642" s="13" t="s">
        <v>1244</v>
      </c>
      <c r="C642" s="20">
        <v>45216</v>
      </c>
      <c r="D642" s="13">
        <v>8023010</v>
      </c>
      <c r="E642" s="13" t="s">
        <v>1131</v>
      </c>
      <c r="F642" s="13" t="s">
        <v>215</v>
      </c>
      <c r="G642" s="13" t="s">
        <v>132</v>
      </c>
      <c r="H642" s="17">
        <v>5230831</v>
      </c>
      <c r="I642" s="17" t="s">
        <v>35</v>
      </c>
      <c r="J642" s="14" t="s">
        <v>1156</v>
      </c>
      <c r="K642" s="13">
        <v>240</v>
      </c>
      <c r="L642" s="13">
        <v>40</v>
      </c>
      <c r="M642" s="13">
        <f t="shared" si="593"/>
        <v>9600</v>
      </c>
      <c r="N642" s="20">
        <v>45216</v>
      </c>
      <c r="O642" s="13" t="s">
        <v>136</v>
      </c>
      <c r="P642" s="13" t="s">
        <v>144</v>
      </c>
      <c r="Q642" s="13" t="s">
        <v>30</v>
      </c>
      <c r="R642" s="13" t="s">
        <v>1245</v>
      </c>
      <c r="S642" s="31">
        <v>271662970255</v>
      </c>
      <c r="T642" s="20">
        <v>45216</v>
      </c>
      <c r="U642" s="123"/>
      <c r="V642" s="13">
        <v>538</v>
      </c>
      <c r="W642" s="29">
        <v>45216.708333333336</v>
      </c>
      <c r="X642" s="29">
        <v>45216.819444444445</v>
      </c>
      <c r="Y642" s="30">
        <f t="shared" si="594"/>
        <v>0.11111111110949423</v>
      </c>
      <c r="Z642" s="29">
        <v>45216.791666666664</v>
      </c>
      <c r="AA642" s="29">
        <v>45216.819444444445</v>
      </c>
      <c r="AB642" s="30">
        <f t="shared" si="595"/>
        <v>2.7777777781011537E-2</v>
      </c>
    </row>
    <row r="643" spans="1:28" x14ac:dyDescent="0.25">
      <c r="A643" s="12">
        <v>45200</v>
      </c>
      <c r="B643" s="13" t="s">
        <v>1246</v>
      </c>
      <c r="C643" s="20">
        <v>45216</v>
      </c>
      <c r="D643" s="13">
        <v>7933360</v>
      </c>
      <c r="E643" s="13" t="s">
        <v>651</v>
      </c>
      <c r="F643" s="13" t="s">
        <v>1242</v>
      </c>
      <c r="G643" s="13" t="s">
        <v>132</v>
      </c>
      <c r="H643" s="17">
        <v>5309040</v>
      </c>
      <c r="I643" s="17" t="s">
        <v>105</v>
      </c>
      <c r="J643" s="13" t="s">
        <v>1213</v>
      </c>
      <c r="K643" s="13">
        <v>250</v>
      </c>
      <c r="L643" s="13">
        <v>12</v>
      </c>
      <c r="M643" s="13">
        <f t="shared" ref="M643:M656" si="599">K643*L643</f>
        <v>3000</v>
      </c>
      <c r="N643" s="20">
        <v>45216</v>
      </c>
      <c r="O643" s="13" t="s">
        <v>136</v>
      </c>
      <c r="P643" s="13" t="s">
        <v>134</v>
      </c>
      <c r="Q643" s="13">
        <v>2287</v>
      </c>
      <c r="R643" s="13" t="s">
        <v>1245</v>
      </c>
      <c r="S643" s="31">
        <v>281662988785</v>
      </c>
      <c r="T643" s="20">
        <v>45216</v>
      </c>
      <c r="U643" s="123"/>
      <c r="V643" s="13">
        <v>539</v>
      </c>
      <c r="W643" s="29">
        <v>45216.673611111109</v>
      </c>
      <c r="X643" s="29">
        <v>45216.875</v>
      </c>
      <c r="Y643" s="30">
        <f t="shared" si="594"/>
        <v>0.20138888889050577</v>
      </c>
      <c r="Z643" s="29">
        <v>45216.854166666664</v>
      </c>
      <c r="AA643" s="29">
        <v>45216.875</v>
      </c>
      <c r="AB643" s="30">
        <f t="shared" si="595"/>
        <v>2.0833333335758653E-2</v>
      </c>
    </row>
    <row r="644" spans="1:28" x14ac:dyDescent="0.25">
      <c r="A644" s="12">
        <v>45200</v>
      </c>
      <c r="B644" s="13" t="s">
        <v>1246</v>
      </c>
      <c r="C644" s="20">
        <v>45216</v>
      </c>
      <c r="D644" s="13">
        <v>7933360</v>
      </c>
      <c r="E644" s="13" t="s">
        <v>651</v>
      </c>
      <c r="F644" s="13" t="s">
        <v>1242</v>
      </c>
      <c r="G644" s="13" t="s">
        <v>132</v>
      </c>
      <c r="H644" s="17">
        <v>5309040</v>
      </c>
      <c r="I644" s="17" t="s">
        <v>105</v>
      </c>
      <c r="J644" s="13" t="s">
        <v>1212</v>
      </c>
      <c r="K644" s="13">
        <v>250</v>
      </c>
      <c r="L644" s="13">
        <v>20</v>
      </c>
      <c r="M644" s="13">
        <f t="shared" ref="M644:M645" si="600">K644*L644</f>
        <v>5000</v>
      </c>
      <c r="N644" s="20">
        <v>45216</v>
      </c>
      <c r="O644" s="13" t="s">
        <v>136</v>
      </c>
      <c r="P644" s="13" t="s">
        <v>134</v>
      </c>
      <c r="Q644" s="13">
        <v>2287</v>
      </c>
      <c r="R644" s="13" t="s">
        <v>1245</v>
      </c>
      <c r="S644" s="31">
        <v>281662988785</v>
      </c>
      <c r="T644" s="20">
        <v>45216</v>
      </c>
      <c r="U644" s="123"/>
      <c r="V644" s="13">
        <v>539</v>
      </c>
      <c r="W644" s="29">
        <v>45216.673611111109</v>
      </c>
      <c r="X644" s="29">
        <v>45216.875</v>
      </c>
      <c r="Y644" s="30">
        <f t="shared" ref="Y644:Y645" si="601">+X644-W644</f>
        <v>0.20138888889050577</v>
      </c>
      <c r="Z644" s="29">
        <v>45216.854166666664</v>
      </c>
      <c r="AA644" s="29">
        <v>45216.875</v>
      </c>
      <c r="AB644" s="30">
        <f t="shared" ref="AB644:AB645" si="602">+AA644-Z644</f>
        <v>2.0833333335758653E-2</v>
      </c>
    </row>
    <row r="645" spans="1:28" x14ac:dyDescent="0.25">
      <c r="A645" s="12">
        <v>45200</v>
      </c>
      <c r="B645" s="13" t="s">
        <v>1246</v>
      </c>
      <c r="C645" s="20">
        <v>45216</v>
      </c>
      <c r="D645" s="13">
        <v>7933360</v>
      </c>
      <c r="E645" s="13" t="s">
        <v>651</v>
      </c>
      <c r="F645" s="13" t="s">
        <v>1242</v>
      </c>
      <c r="G645" s="13" t="s">
        <v>132</v>
      </c>
      <c r="H645" s="17">
        <v>5309040</v>
      </c>
      <c r="I645" s="17" t="s">
        <v>105</v>
      </c>
      <c r="J645" s="13" t="s">
        <v>1204</v>
      </c>
      <c r="K645" s="13">
        <v>250</v>
      </c>
      <c r="L645" s="13">
        <v>4</v>
      </c>
      <c r="M645" s="13">
        <f t="shared" si="600"/>
        <v>1000</v>
      </c>
      <c r="N645" s="20">
        <v>45216</v>
      </c>
      <c r="O645" s="13" t="s">
        <v>136</v>
      </c>
      <c r="P645" s="13" t="s">
        <v>134</v>
      </c>
      <c r="Q645" s="13">
        <v>2287</v>
      </c>
      <c r="R645" s="13" t="s">
        <v>1245</v>
      </c>
      <c r="S645" s="31">
        <v>281662988785</v>
      </c>
      <c r="T645" s="20">
        <v>45216</v>
      </c>
      <c r="U645" s="123"/>
      <c r="V645" s="13">
        <v>539</v>
      </c>
      <c r="W645" s="29">
        <v>45216.673611111109</v>
      </c>
      <c r="X645" s="29">
        <v>45216.875</v>
      </c>
      <c r="Y645" s="30">
        <f t="shared" si="601"/>
        <v>0.20138888889050577</v>
      </c>
      <c r="Z645" s="29">
        <v>45216.854166666664</v>
      </c>
      <c r="AA645" s="29">
        <v>45216.875</v>
      </c>
      <c r="AB645" s="30">
        <f t="shared" si="602"/>
        <v>2.0833333335758653E-2</v>
      </c>
    </row>
    <row r="646" spans="1:28" x14ac:dyDescent="0.25">
      <c r="A646" s="12">
        <v>45200</v>
      </c>
      <c r="B646" s="13" t="s">
        <v>1247</v>
      </c>
      <c r="C646" s="20">
        <v>45216</v>
      </c>
      <c r="D646" s="13">
        <v>8108078</v>
      </c>
      <c r="E646" s="13" t="s">
        <v>523</v>
      </c>
      <c r="F646" s="13" t="s">
        <v>524</v>
      </c>
      <c r="G646" s="13" t="s">
        <v>192</v>
      </c>
      <c r="H646" s="17">
        <v>5212252</v>
      </c>
      <c r="I646" s="17" t="s">
        <v>23</v>
      </c>
      <c r="J646" s="13" t="s">
        <v>1166</v>
      </c>
      <c r="K646" s="13">
        <v>25</v>
      </c>
      <c r="L646" s="13">
        <v>320</v>
      </c>
      <c r="M646" s="13">
        <f t="shared" si="599"/>
        <v>8000</v>
      </c>
      <c r="N646" s="20">
        <v>45216</v>
      </c>
      <c r="O646" s="13" t="s">
        <v>136</v>
      </c>
      <c r="P646" s="13" t="s">
        <v>144</v>
      </c>
      <c r="Q646" s="13" t="s">
        <v>30</v>
      </c>
      <c r="R646" s="13" t="s">
        <v>1248</v>
      </c>
      <c r="S646" s="31">
        <v>271663015597</v>
      </c>
      <c r="T646" s="20">
        <v>45216</v>
      </c>
      <c r="U646" s="123"/>
      <c r="V646" s="13">
        <v>540</v>
      </c>
      <c r="W646" s="29">
        <v>45216.625</v>
      </c>
      <c r="X646" s="29">
        <v>45216.833333333336</v>
      </c>
      <c r="Y646" s="30">
        <f t="shared" si="594"/>
        <v>0.20833333333575865</v>
      </c>
      <c r="Z646" s="29">
        <v>45216.791666666664</v>
      </c>
      <c r="AA646" s="29">
        <v>45216.833333333336</v>
      </c>
      <c r="AB646" s="30">
        <f t="shared" si="595"/>
        <v>4.1666666671517305E-2</v>
      </c>
    </row>
    <row r="647" spans="1:28" x14ac:dyDescent="0.25">
      <c r="A647" s="12">
        <v>45200</v>
      </c>
      <c r="B647" s="13" t="s">
        <v>1253</v>
      </c>
      <c r="C647" s="20">
        <v>45216</v>
      </c>
      <c r="D647" s="13">
        <v>8108078</v>
      </c>
      <c r="E647" s="13" t="s">
        <v>191</v>
      </c>
      <c r="F647" s="13" t="s">
        <v>135</v>
      </c>
      <c r="G647" s="13" t="s">
        <v>192</v>
      </c>
      <c r="H647" s="17">
        <v>5212252</v>
      </c>
      <c r="I647" s="17" t="s">
        <v>23</v>
      </c>
      <c r="J647" s="13" t="s">
        <v>1166</v>
      </c>
      <c r="K647" s="13">
        <v>25</v>
      </c>
      <c r="L647" s="13">
        <v>400</v>
      </c>
      <c r="M647" s="13">
        <f t="shared" si="599"/>
        <v>10000</v>
      </c>
      <c r="N647" s="20">
        <v>45217</v>
      </c>
      <c r="O647" s="13" t="s">
        <v>220</v>
      </c>
      <c r="P647" s="13" t="s">
        <v>144</v>
      </c>
      <c r="Q647" s="13" t="s">
        <v>30</v>
      </c>
      <c r="R647" s="13" t="s">
        <v>590</v>
      </c>
      <c r="S647" s="31">
        <v>251663244616</v>
      </c>
      <c r="T647" s="20">
        <v>45217</v>
      </c>
      <c r="U647" s="123"/>
      <c r="V647" s="13">
        <v>541</v>
      </c>
      <c r="W647" s="29">
        <v>45217.458333333336</v>
      </c>
      <c r="X647" s="29">
        <v>45217.520833333336</v>
      </c>
      <c r="Y647" s="30">
        <f t="shared" si="594"/>
        <v>6.25E-2</v>
      </c>
      <c r="Z647" s="29">
        <v>45217.486111111109</v>
      </c>
      <c r="AA647" s="29">
        <v>45217.520833333336</v>
      </c>
      <c r="AB647" s="30">
        <f t="shared" si="595"/>
        <v>3.4722222226264421E-2</v>
      </c>
    </row>
    <row r="648" spans="1:28" x14ac:dyDescent="0.25">
      <c r="A648" s="12">
        <v>45200</v>
      </c>
      <c r="B648" s="13" t="s">
        <v>1253</v>
      </c>
      <c r="C648" s="20">
        <v>45216</v>
      </c>
      <c r="D648" s="13">
        <v>7959321</v>
      </c>
      <c r="E648" s="13" t="s">
        <v>191</v>
      </c>
      <c r="F648" s="13" t="s">
        <v>135</v>
      </c>
      <c r="G648" s="13" t="s">
        <v>192</v>
      </c>
      <c r="H648" s="17">
        <v>5212256</v>
      </c>
      <c r="I648" s="17" t="s">
        <v>22</v>
      </c>
      <c r="J648" s="13" t="s">
        <v>1134</v>
      </c>
      <c r="K648" s="13">
        <v>25</v>
      </c>
      <c r="L648" s="13">
        <v>40</v>
      </c>
      <c r="M648" s="13">
        <f t="shared" si="599"/>
        <v>1000</v>
      </c>
      <c r="N648" s="20">
        <v>45217</v>
      </c>
      <c r="O648" s="13" t="s">
        <v>220</v>
      </c>
      <c r="P648" s="13" t="s">
        <v>144</v>
      </c>
      <c r="Q648" s="13" t="s">
        <v>30</v>
      </c>
      <c r="R648" s="13" t="s">
        <v>590</v>
      </c>
      <c r="S648" s="31">
        <v>251663244616</v>
      </c>
      <c r="T648" s="20">
        <v>45217</v>
      </c>
      <c r="U648" s="123"/>
      <c r="V648" s="13">
        <v>541</v>
      </c>
      <c r="W648" s="29">
        <v>45217.458333333336</v>
      </c>
      <c r="X648" s="29">
        <v>45217.520833333336</v>
      </c>
      <c r="Y648" s="30">
        <f t="shared" ref="Y648:Y660" si="603">+X648-W648</f>
        <v>6.25E-2</v>
      </c>
      <c r="Z648" s="29">
        <v>45217.486111111109</v>
      </c>
      <c r="AA648" s="29">
        <v>45217.520833333336</v>
      </c>
      <c r="AB648" s="30">
        <f t="shared" ref="AB648:AB656" si="604">+AA648-Z648</f>
        <v>3.4722222226264421E-2</v>
      </c>
    </row>
    <row r="649" spans="1:28" x14ac:dyDescent="0.25">
      <c r="A649" s="12">
        <v>45200</v>
      </c>
      <c r="B649" s="13" t="s">
        <v>1254</v>
      </c>
      <c r="C649" s="20">
        <v>45216</v>
      </c>
      <c r="D649" s="13">
        <v>7258855</v>
      </c>
      <c r="E649" s="13" t="s">
        <v>191</v>
      </c>
      <c r="F649" s="13" t="s">
        <v>135</v>
      </c>
      <c r="G649" s="13" t="s">
        <v>192</v>
      </c>
      <c r="H649" s="17">
        <v>5212252</v>
      </c>
      <c r="I649" s="17" t="s">
        <v>23</v>
      </c>
      <c r="J649" s="13" t="s">
        <v>920</v>
      </c>
      <c r="K649" s="13">
        <v>25</v>
      </c>
      <c r="L649" s="13">
        <v>2</v>
      </c>
      <c r="M649" s="13">
        <f t="shared" si="599"/>
        <v>50</v>
      </c>
      <c r="N649" s="20">
        <v>45217</v>
      </c>
      <c r="O649" s="13" t="s">
        <v>399</v>
      </c>
      <c r="P649" s="13" t="s">
        <v>144</v>
      </c>
      <c r="Q649" s="13" t="s">
        <v>30</v>
      </c>
      <c r="R649" s="13" t="s">
        <v>1255</v>
      </c>
      <c r="S649" s="31">
        <v>201663404314</v>
      </c>
      <c r="T649" s="20">
        <v>45217</v>
      </c>
      <c r="U649" s="123"/>
      <c r="V649" s="13">
        <v>542</v>
      </c>
      <c r="W649" s="29">
        <v>45217.395833333336</v>
      </c>
      <c r="X649" s="29">
        <v>45217.5625</v>
      </c>
      <c r="Y649" s="30">
        <f t="shared" si="603"/>
        <v>0.16666666666424135</v>
      </c>
      <c r="Z649" s="29">
        <v>45217.430555555555</v>
      </c>
      <c r="AA649" s="29">
        <v>45217.555555555555</v>
      </c>
      <c r="AB649" s="30">
        <f t="shared" si="604"/>
        <v>0.125</v>
      </c>
    </row>
    <row r="650" spans="1:28" x14ac:dyDescent="0.25">
      <c r="A650" s="12">
        <v>45200</v>
      </c>
      <c r="B650" s="13" t="s">
        <v>1254</v>
      </c>
      <c r="C650" s="20">
        <v>45216</v>
      </c>
      <c r="D650" s="13">
        <v>7556097</v>
      </c>
      <c r="E650" s="13" t="s">
        <v>191</v>
      </c>
      <c r="F650" s="13" t="s">
        <v>135</v>
      </c>
      <c r="G650" s="13" t="s">
        <v>192</v>
      </c>
      <c r="H650" s="17">
        <v>5212252</v>
      </c>
      <c r="I650" s="17" t="s">
        <v>23</v>
      </c>
      <c r="J650" s="13" t="s">
        <v>845</v>
      </c>
      <c r="K650" s="13">
        <v>25</v>
      </c>
      <c r="L650" s="13">
        <v>1</v>
      </c>
      <c r="M650" s="13">
        <f t="shared" ref="M650:M653" si="605">K650*L650</f>
        <v>25</v>
      </c>
      <c r="N650" s="20">
        <v>45217</v>
      </c>
      <c r="O650" s="13" t="s">
        <v>399</v>
      </c>
      <c r="P650" s="13" t="s">
        <v>144</v>
      </c>
      <c r="Q650" s="13" t="s">
        <v>30</v>
      </c>
      <c r="R650" s="13" t="s">
        <v>1255</v>
      </c>
      <c r="S650" s="31">
        <v>201663404314</v>
      </c>
      <c r="T650" s="20">
        <v>45217</v>
      </c>
      <c r="U650" s="123"/>
      <c r="V650" s="13">
        <v>542</v>
      </c>
      <c r="W650" s="29">
        <v>45217.395833333336</v>
      </c>
      <c r="X650" s="29">
        <v>45217.5625</v>
      </c>
      <c r="Y650" s="30">
        <f t="shared" ref="Y650:Y653" si="606">+X650-W650</f>
        <v>0.16666666666424135</v>
      </c>
      <c r="Z650" s="29">
        <v>45217.430555555555</v>
      </c>
      <c r="AA650" s="29">
        <v>45217.555555555555</v>
      </c>
      <c r="AB650" s="30">
        <f t="shared" ref="AB650:AB653" si="607">+AA650-Z650</f>
        <v>0.125</v>
      </c>
    </row>
    <row r="651" spans="1:28" x14ac:dyDescent="0.25">
      <c r="A651" s="12">
        <v>45200</v>
      </c>
      <c r="B651" s="13" t="s">
        <v>1254</v>
      </c>
      <c r="C651" s="20">
        <v>45216</v>
      </c>
      <c r="D651" s="13">
        <v>7734052</v>
      </c>
      <c r="E651" s="13" t="s">
        <v>191</v>
      </c>
      <c r="F651" s="13" t="s">
        <v>135</v>
      </c>
      <c r="G651" s="13" t="s">
        <v>192</v>
      </c>
      <c r="H651" s="17">
        <v>5212252</v>
      </c>
      <c r="I651" s="17" t="s">
        <v>23</v>
      </c>
      <c r="J651" s="13" t="s">
        <v>1066</v>
      </c>
      <c r="K651" s="13">
        <v>25</v>
      </c>
      <c r="L651" s="13">
        <v>2</v>
      </c>
      <c r="M651" s="13">
        <f t="shared" si="605"/>
        <v>50</v>
      </c>
      <c r="N651" s="20">
        <v>45217</v>
      </c>
      <c r="O651" s="13" t="s">
        <v>399</v>
      </c>
      <c r="P651" s="13" t="s">
        <v>144</v>
      </c>
      <c r="Q651" s="13" t="s">
        <v>30</v>
      </c>
      <c r="R651" s="13" t="s">
        <v>1255</v>
      </c>
      <c r="S651" s="31">
        <v>201663404314</v>
      </c>
      <c r="T651" s="20">
        <v>45217</v>
      </c>
      <c r="U651" s="123"/>
      <c r="V651" s="13">
        <v>542</v>
      </c>
      <c r="W651" s="29">
        <v>45217.395833333336</v>
      </c>
      <c r="X651" s="29">
        <v>45217.5625</v>
      </c>
      <c r="Y651" s="30">
        <f t="shared" si="606"/>
        <v>0.16666666666424135</v>
      </c>
      <c r="Z651" s="29">
        <v>45217.430555555555</v>
      </c>
      <c r="AA651" s="29">
        <v>45217.555555555555</v>
      </c>
      <c r="AB651" s="30">
        <f t="shared" si="607"/>
        <v>0.125</v>
      </c>
    </row>
    <row r="652" spans="1:28" x14ac:dyDescent="0.25">
      <c r="A652" s="12">
        <v>45200</v>
      </c>
      <c r="B652" s="13" t="s">
        <v>1254</v>
      </c>
      <c r="C652" s="20">
        <v>45216</v>
      </c>
      <c r="D652" s="13">
        <v>8017757</v>
      </c>
      <c r="E652" s="13" t="s">
        <v>191</v>
      </c>
      <c r="F652" s="13" t="s">
        <v>135</v>
      </c>
      <c r="G652" s="13" t="s">
        <v>192</v>
      </c>
      <c r="H652" s="17">
        <v>5212252</v>
      </c>
      <c r="I652" s="17" t="s">
        <v>23</v>
      </c>
      <c r="J652" s="13" t="s">
        <v>1166</v>
      </c>
      <c r="K652" s="13">
        <v>25</v>
      </c>
      <c r="L652" s="13">
        <v>160</v>
      </c>
      <c r="M652" s="13">
        <f t="shared" si="605"/>
        <v>4000</v>
      </c>
      <c r="N652" s="20">
        <v>45217</v>
      </c>
      <c r="O652" s="13" t="s">
        <v>399</v>
      </c>
      <c r="P652" s="13" t="s">
        <v>144</v>
      </c>
      <c r="Q652" s="13" t="s">
        <v>30</v>
      </c>
      <c r="R652" s="13" t="s">
        <v>1255</v>
      </c>
      <c r="S652" s="31">
        <v>201663404314</v>
      </c>
      <c r="T652" s="20">
        <v>45217</v>
      </c>
      <c r="U652" s="123"/>
      <c r="V652" s="13">
        <v>542</v>
      </c>
      <c r="W652" s="29">
        <v>45217.395833333336</v>
      </c>
      <c r="X652" s="29">
        <v>45217.5625</v>
      </c>
      <c r="Y652" s="30">
        <f t="shared" si="606"/>
        <v>0.16666666666424135</v>
      </c>
      <c r="Z652" s="29">
        <v>45217.430555555555</v>
      </c>
      <c r="AA652" s="29">
        <v>45217.555555555555</v>
      </c>
      <c r="AB652" s="30">
        <f t="shared" si="607"/>
        <v>0.125</v>
      </c>
    </row>
    <row r="653" spans="1:28" x14ac:dyDescent="0.25">
      <c r="A653" s="12">
        <v>45200</v>
      </c>
      <c r="B653" s="13" t="s">
        <v>1254</v>
      </c>
      <c r="C653" s="20">
        <v>45216</v>
      </c>
      <c r="D653" s="13">
        <v>8108078</v>
      </c>
      <c r="E653" s="13" t="s">
        <v>191</v>
      </c>
      <c r="F653" s="13" t="s">
        <v>135</v>
      </c>
      <c r="G653" s="13" t="s">
        <v>192</v>
      </c>
      <c r="H653" s="17">
        <v>5212252</v>
      </c>
      <c r="I653" s="17" t="s">
        <v>23</v>
      </c>
      <c r="J653" s="13" t="s">
        <v>1219</v>
      </c>
      <c r="K653" s="13">
        <v>25</v>
      </c>
      <c r="L653" s="13">
        <v>1008</v>
      </c>
      <c r="M653" s="13">
        <f t="shared" si="605"/>
        <v>25200</v>
      </c>
      <c r="N653" s="20">
        <v>45217</v>
      </c>
      <c r="O653" s="13" t="s">
        <v>399</v>
      </c>
      <c r="P653" s="13" t="s">
        <v>144</v>
      </c>
      <c r="Q653" s="13" t="s">
        <v>30</v>
      </c>
      <c r="R653" s="13" t="s">
        <v>1255</v>
      </c>
      <c r="S653" s="31">
        <v>201663404314</v>
      </c>
      <c r="T653" s="20">
        <v>45217</v>
      </c>
      <c r="U653" s="123"/>
      <c r="V653" s="13">
        <v>542</v>
      </c>
      <c r="W653" s="29">
        <v>45217.395833333336</v>
      </c>
      <c r="X653" s="29">
        <v>45217.5625</v>
      </c>
      <c r="Y653" s="30">
        <f t="shared" si="606"/>
        <v>0.16666666666424135</v>
      </c>
      <c r="Z653" s="29">
        <v>45217.430555555555</v>
      </c>
      <c r="AA653" s="29">
        <v>45217.555555555555</v>
      </c>
      <c r="AB653" s="30">
        <f t="shared" si="607"/>
        <v>0.125</v>
      </c>
    </row>
    <row r="654" spans="1:28" x14ac:dyDescent="0.25">
      <c r="A654" s="12">
        <v>45200</v>
      </c>
      <c r="B654" s="13" t="s">
        <v>1254</v>
      </c>
      <c r="C654" s="20">
        <v>45216</v>
      </c>
      <c r="D654" s="13">
        <v>8108078</v>
      </c>
      <c r="E654" s="13" t="s">
        <v>191</v>
      </c>
      <c r="F654" s="13" t="s">
        <v>135</v>
      </c>
      <c r="G654" s="13" t="s">
        <v>192</v>
      </c>
      <c r="H654" s="17">
        <v>5212252</v>
      </c>
      <c r="I654" s="17" t="s">
        <v>23</v>
      </c>
      <c r="J654" s="13" t="s">
        <v>1166</v>
      </c>
      <c r="K654" s="13">
        <v>25</v>
      </c>
      <c r="L654" s="13">
        <v>27</v>
      </c>
      <c r="M654" s="13">
        <f t="shared" ref="M654" si="608">K654*L654</f>
        <v>675</v>
      </c>
      <c r="N654" s="20">
        <v>45217</v>
      </c>
      <c r="O654" s="13" t="s">
        <v>399</v>
      </c>
      <c r="P654" s="13" t="s">
        <v>144</v>
      </c>
      <c r="Q654" s="13" t="s">
        <v>30</v>
      </c>
      <c r="R654" s="13" t="s">
        <v>1255</v>
      </c>
      <c r="S654" s="31">
        <v>201663404314</v>
      </c>
      <c r="T654" s="20">
        <v>45217</v>
      </c>
      <c r="U654" s="123"/>
      <c r="V654" s="13">
        <v>542</v>
      </c>
      <c r="W654" s="29">
        <v>45217.395833333336</v>
      </c>
      <c r="X654" s="29">
        <v>45217.5625</v>
      </c>
      <c r="Y654" s="30">
        <f t="shared" ref="Y654" si="609">+X654-W654</f>
        <v>0.16666666666424135</v>
      </c>
      <c r="Z654" s="29">
        <v>45217.430555555555</v>
      </c>
      <c r="AA654" s="29">
        <v>45217.555555555555</v>
      </c>
      <c r="AB654" s="30">
        <f t="shared" ref="AB654" si="610">+AA654-Z654</f>
        <v>0.125</v>
      </c>
    </row>
    <row r="655" spans="1:28" x14ac:dyDescent="0.25">
      <c r="A655" s="12">
        <v>45200</v>
      </c>
      <c r="B655" s="13" t="s">
        <v>1256</v>
      </c>
      <c r="C655" s="20">
        <v>45215</v>
      </c>
      <c r="D655" s="13">
        <v>7959321</v>
      </c>
      <c r="E655" s="13" t="s">
        <v>523</v>
      </c>
      <c r="F655" s="13" t="s">
        <v>524</v>
      </c>
      <c r="G655" s="13" t="s">
        <v>192</v>
      </c>
      <c r="H655" s="17">
        <v>5212256</v>
      </c>
      <c r="I655" s="17" t="s">
        <v>22</v>
      </c>
      <c r="J655" s="13" t="s">
        <v>1134</v>
      </c>
      <c r="K655" s="13">
        <v>25</v>
      </c>
      <c r="L655" s="13">
        <v>300</v>
      </c>
      <c r="M655" s="13">
        <f t="shared" si="599"/>
        <v>7500</v>
      </c>
      <c r="N655" s="20">
        <v>45217</v>
      </c>
      <c r="O655" s="13" t="s">
        <v>589</v>
      </c>
      <c r="P655" s="13" t="s">
        <v>134</v>
      </c>
      <c r="Q655" s="123">
        <v>2288</v>
      </c>
      <c r="R655" s="13" t="s">
        <v>1257</v>
      </c>
      <c r="S655" s="31">
        <v>251663435814</v>
      </c>
      <c r="T655" s="20">
        <v>45217</v>
      </c>
      <c r="U655" s="123"/>
      <c r="V655" s="13">
        <v>543</v>
      </c>
      <c r="W655" s="29">
        <v>45217.5</v>
      </c>
      <c r="X655" s="29">
        <v>45217.618055555555</v>
      </c>
      <c r="Y655" s="30">
        <f t="shared" si="603"/>
        <v>0.11805555555474712</v>
      </c>
      <c r="Z655" s="29">
        <v>45217.583333333336</v>
      </c>
      <c r="AA655" s="29">
        <v>45217.618055555555</v>
      </c>
      <c r="AB655" s="30">
        <f t="shared" si="604"/>
        <v>3.4722222218988463E-2</v>
      </c>
    </row>
    <row r="656" spans="1:28" x14ac:dyDescent="0.25">
      <c r="A656" s="12">
        <v>45200</v>
      </c>
      <c r="B656" s="13" t="s">
        <v>1262</v>
      </c>
      <c r="C656" s="20">
        <v>45216</v>
      </c>
      <c r="D656" s="13">
        <v>7463185</v>
      </c>
      <c r="E656" s="13" t="s">
        <v>727</v>
      </c>
      <c r="F656" s="13" t="s">
        <v>728</v>
      </c>
      <c r="G656" s="13" t="s">
        <v>1263</v>
      </c>
      <c r="H656" s="17" t="s">
        <v>30</v>
      </c>
      <c r="I656" s="17" t="s">
        <v>891</v>
      </c>
      <c r="J656" s="13" t="s">
        <v>889</v>
      </c>
      <c r="K656" s="13">
        <v>1000</v>
      </c>
      <c r="L656" s="13">
        <v>10</v>
      </c>
      <c r="M656" s="13">
        <f t="shared" si="599"/>
        <v>10000</v>
      </c>
      <c r="N656" s="20">
        <v>45218</v>
      </c>
      <c r="O656" s="13" t="s">
        <v>136</v>
      </c>
      <c r="P656" s="13" t="s">
        <v>1264</v>
      </c>
      <c r="Q656" s="123">
        <v>6102</v>
      </c>
      <c r="R656" s="13" t="s">
        <v>1265</v>
      </c>
      <c r="S656" s="31">
        <v>241663769330</v>
      </c>
      <c r="T656" s="20">
        <v>45218</v>
      </c>
      <c r="U656" s="123"/>
      <c r="V656" s="13">
        <v>544</v>
      </c>
      <c r="W656" s="29">
        <v>45217.75</v>
      </c>
      <c r="X656" s="29">
        <v>45218.430555555555</v>
      </c>
      <c r="Y656" s="30">
        <f t="shared" si="603"/>
        <v>0.68055555555474712</v>
      </c>
      <c r="Z656" s="29">
        <v>45217.75</v>
      </c>
      <c r="AA656" s="29">
        <v>45218.770833333336</v>
      </c>
      <c r="AB656" s="30">
        <f t="shared" si="604"/>
        <v>1.0208333333357587</v>
      </c>
    </row>
    <row r="657" spans="1:28" x14ac:dyDescent="0.25">
      <c r="A657" s="12">
        <v>45200</v>
      </c>
      <c r="B657" s="13" t="s">
        <v>1262</v>
      </c>
      <c r="C657" s="20">
        <v>45216</v>
      </c>
      <c r="D657" s="13">
        <v>7463185</v>
      </c>
      <c r="E657" s="13" t="s">
        <v>727</v>
      </c>
      <c r="F657" s="13" t="s">
        <v>728</v>
      </c>
      <c r="G657" s="13" t="s">
        <v>1263</v>
      </c>
      <c r="H657" s="17" t="s">
        <v>30</v>
      </c>
      <c r="I657" s="17" t="s">
        <v>891</v>
      </c>
      <c r="J657" s="13" t="s">
        <v>889</v>
      </c>
      <c r="K657" s="13">
        <v>1000</v>
      </c>
      <c r="L657" s="13">
        <v>10</v>
      </c>
      <c r="M657" s="13">
        <f t="shared" ref="M657:M660" si="611">K657*L657</f>
        <v>10000</v>
      </c>
      <c r="N657" s="20">
        <v>45218</v>
      </c>
      <c r="O657" s="13" t="s">
        <v>136</v>
      </c>
      <c r="P657" s="13" t="s">
        <v>1264</v>
      </c>
      <c r="Q657" s="123">
        <v>6102</v>
      </c>
      <c r="R657" s="13" t="s">
        <v>1266</v>
      </c>
      <c r="S657" s="31">
        <v>241663769330</v>
      </c>
      <c r="T657" s="20">
        <v>45218</v>
      </c>
      <c r="U657" s="123"/>
      <c r="V657" s="13">
        <v>545</v>
      </c>
      <c r="W657" s="29">
        <v>45218.395833333336</v>
      </c>
      <c r="X657" s="29">
        <v>45218.4375</v>
      </c>
      <c r="Y657" s="30">
        <f t="shared" si="603"/>
        <v>4.1666666664241347E-2</v>
      </c>
      <c r="Z657" s="29">
        <v>45217.402777777781</v>
      </c>
      <c r="AA657" s="29">
        <v>45218.4375</v>
      </c>
      <c r="AB657" s="30">
        <f t="shared" ref="AB657:AB660" si="612">+AA657-Z657</f>
        <v>1.0347222222189885</v>
      </c>
    </row>
    <row r="658" spans="1:28" x14ac:dyDescent="0.25">
      <c r="A658" s="12">
        <v>45200</v>
      </c>
      <c r="B658" s="13" t="s">
        <v>1267</v>
      </c>
      <c r="C658" s="20">
        <v>45217</v>
      </c>
      <c r="D658" s="13">
        <v>7071414</v>
      </c>
      <c r="E658" s="13" t="s">
        <v>395</v>
      </c>
      <c r="F658" s="13" t="s">
        <v>396</v>
      </c>
      <c r="G658" s="13" t="s">
        <v>192</v>
      </c>
      <c r="H658" s="17">
        <v>5210162</v>
      </c>
      <c r="I658" s="17" t="s">
        <v>24</v>
      </c>
      <c r="J658" s="13" t="s">
        <v>770</v>
      </c>
      <c r="K658" s="13">
        <v>25</v>
      </c>
      <c r="L658" s="13">
        <v>80</v>
      </c>
      <c r="M658" s="13">
        <f t="shared" si="611"/>
        <v>2000</v>
      </c>
      <c r="N658" s="20">
        <v>45218</v>
      </c>
      <c r="O658" s="13" t="s">
        <v>193</v>
      </c>
      <c r="P658" s="13" t="s">
        <v>144</v>
      </c>
      <c r="Q658" s="13" t="s">
        <v>30</v>
      </c>
      <c r="R658" s="13" t="s">
        <v>1268</v>
      </c>
      <c r="S658" s="31">
        <v>231664002327</v>
      </c>
      <c r="T658" s="20">
        <v>45218</v>
      </c>
      <c r="U658" s="123"/>
      <c r="V658" s="13">
        <v>546</v>
      </c>
      <c r="W658" s="29">
        <v>45218.625</v>
      </c>
      <c r="X658" s="29">
        <v>45218.666666666664</v>
      </c>
      <c r="Y658" s="30">
        <f t="shared" si="603"/>
        <v>4.1666666664241347E-2</v>
      </c>
      <c r="Z658" s="29">
        <v>45218.652777777781</v>
      </c>
      <c r="AA658" s="29">
        <v>45218.666666666664</v>
      </c>
      <c r="AB658" s="30">
        <f t="shared" si="612"/>
        <v>1.3888888883229811E-2</v>
      </c>
    </row>
    <row r="659" spans="1:28" x14ac:dyDescent="0.25">
      <c r="A659" s="12">
        <v>45200</v>
      </c>
      <c r="B659" s="13" t="s">
        <v>1269</v>
      </c>
      <c r="C659" s="20">
        <v>45218</v>
      </c>
      <c r="D659" s="13">
        <v>8023010</v>
      </c>
      <c r="E659" s="13" t="s">
        <v>196</v>
      </c>
      <c r="F659" s="13" t="s">
        <v>197</v>
      </c>
      <c r="G659" s="13" t="s">
        <v>132</v>
      </c>
      <c r="H659" s="17">
        <v>5230831</v>
      </c>
      <c r="I659" s="17" t="s">
        <v>35</v>
      </c>
      <c r="J659" s="14" t="s">
        <v>1156</v>
      </c>
      <c r="K659" s="13">
        <v>240</v>
      </c>
      <c r="L659" s="13">
        <v>40</v>
      </c>
      <c r="M659" s="13">
        <f t="shared" si="611"/>
        <v>9600</v>
      </c>
      <c r="N659" s="20">
        <v>45218</v>
      </c>
      <c r="O659" s="13" t="s">
        <v>136</v>
      </c>
      <c r="P659" s="13" t="s">
        <v>144</v>
      </c>
      <c r="Q659" s="13" t="s">
        <v>30</v>
      </c>
      <c r="R659" s="13" t="s">
        <v>1109</v>
      </c>
      <c r="S659" s="31">
        <v>221664129032</v>
      </c>
      <c r="T659" s="20">
        <v>45218</v>
      </c>
      <c r="U659" s="123"/>
      <c r="V659" s="13">
        <v>547</v>
      </c>
      <c r="W659" s="29">
        <v>45218.645833333336</v>
      </c>
      <c r="X659" s="29">
        <v>45218.708333333336</v>
      </c>
      <c r="Y659" s="30">
        <f t="shared" si="603"/>
        <v>6.25E-2</v>
      </c>
      <c r="Z659" s="29">
        <v>45218.673611111109</v>
      </c>
      <c r="AA659" s="29">
        <v>45218.708333333336</v>
      </c>
      <c r="AB659" s="30">
        <f t="shared" si="612"/>
        <v>3.4722222226264421E-2</v>
      </c>
    </row>
    <row r="660" spans="1:28" x14ac:dyDescent="0.25">
      <c r="A660" s="12">
        <v>45200</v>
      </c>
      <c r="B660" s="13" t="s">
        <v>1276</v>
      </c>
      <c r="C660" s="20">
        <v>45218</v>
      </c>
      <c r="D660" s="13">
        <v>7959321</v>
      </c>
      <c r="E660" s="13" t="s">
        <v>191</v>
      </c>
      <c r="F660" s="13" t="s">
        <v>135</v>
      </c>
      <c r="G660" s="13" t="s">
        <v>192</v>
      </c>
      <c r="H660" s="17">
        <v>5212256</v>
      </c>
      <c r="I660" s="17" t="s">
        <v>22</v>
      </c>
      <c r="J660" s="13" t="s">
        <v>1134</v>
      </c>
      <c r="K660" s="13">
        <v>25</v>
      </c>
      <c r="L660" s="13">
        <v>160</v>
      </c>
      <c r="M660" s="13">
        <f t="shared" si="611"/>
        <v>4000</v>
      </c>
      <c r="N660" s="20">
        <v>45219</v>
      </c>
      <c r="O660" s="13" t="s">
        <v>833</v>
      </c>
      <c r="P660" s="13" t="s">
        <v>144</v>
      </c>
      <c r="Q660" s="13" t="s">
        <v>30</v>
      </c>
      <c r="R660" s="13" t="s">
        <v>1277</v>
      </c>
      <c r="S660" s="31">
        <v>201664719048</v>
      </c>
      <c r="T660" s="15">
        <v>45219</v>
      </c>
      <c r="U660" s="123"/>
      <c r="V660" s="13">
        <v>548</v>
      </c>
      <c r="W660" s="29">
        <v>45219.604166666664</v>
      </c>
      <c r="X660" s="29">
        <v>45219.666666666664</v>
      </c>
      <c r="Y660" s="30">
        <f t="shared" si="603"/>
        <v>6.25E-2</v>
      </c>
      <c r="Z660" s="29">
        <v>45219.625</v>
      </c>
      <c r="AA660" s="29">
        <v>45219.666666666664</v>
      </c>
      <c r="AB660" s="30">
        <f t="shared" si="612"/>
        <v>4.1666666664241347E-2</v>
      </c>
    </row>
    <row r="661" spans="1:28" x14ac:dyDescent="0.25">
      <c r="A661" s="12">
        <v>45200</v>
      </c>
      <c r="B661" s="13" t="s">
        <v>1276</v>
      </c>
      <c r="C661" s="20">
        <v>45218</v>
      </c>
      <c r="D661" s="13">
        <v>7833009</v>
      </c>
      <c r="E661" s="13" t="s">
        <v>191</v>
      </c>
      <c r="F661" s="13" t="s">
        <v>135</v>
      </c>
      <c r="G661" s="13" t="s">
        <v>192</v>
      </c>
      <c r="H661" s="17">
        <v>5211013</v>
      </c>
      <c r="I661" s="17" t="s">
        <v>27</v>
      </c>
      <c r="J661" s="13" t="s">
        <v>1153</v>
      </c>
      <c r="K661" s="13">
        <v>25</v>
      </c>
      <c r="L661" s="13">
        <v>37</v>
      </c>
      <c r="M661" s="13">
        <f t="shared" ref="M661:M664" si="613">K661*L661</f>
        <v>925</v>
      </c>
      <c r="N661" s="20">
        <v>45219</v>
      </c>
      <c r="O661" s="13" t="s">
        <v>833</v>
      </c>
      <c r="P661" s="13" t="s">
        <v>144</v>
      </c>
      <c r="Q661" s="13" t="s">
        <v>30</v>
      </c>
      <c r="R661" s="13" t="s">
        <v>1277</v>
      </c>
      <c r="S661" s="31">
        <v>201664719048</v>
      </c>
      <c r="T661" s="15">
        <v>45219</v>
      </c>
      <c r="U661" s="123"/>
      <c r="V661" s="13">
        <v>548</v>
      </c>
      <c r="W661" s="29">
        <v>45219.604166666664</v>
      </c>
      <c r="X661" s="29">
        <v>45219.666666666664</v>
      </c>
      <c r="Y661" s="30">
        <f t="shared" ref="Y661:Y664" si="614">+X661-W661</f>
        <v>6.25E-2</v>
      </c>
      <c r="Z661" s="29">
        <v>45219.625</v>
      </c>
      <c r="AA661" s="29">
        <v>45219.666666666664</v>
      </c>
      <c r="AB661" s="30">
        <f t="shared" ref="AB661:AB664" si="615">+AA661-Z661</f>
        <v>4.1666666664241347E-2</v>
      </c>
    </row>
    <row r="662" spans="1:28" x14ac:dyDescent="0.25">
      <c r="A662" s="12">
        <v>45200</v>
      </c>
      <c r="B662" s="13" t="s">
        <v>1276</v>
      </c>
      <c r="C662" s="20">
        <v>45218</v>
      </c>
      <c r="D662" s="13">
        <v>8054309</v>
      </c>
      <c r="E662" s="13" t="s">
        <v>191</v>
      </c>
      <c r="F662" s="13" t="s">
        <v>135</v>
      </c>
      <c r="G662" s="13" t="s">
        <v>192</v>
      </c>
      <c r="H662" s="17">
        <v>5211013</v>
      </c>
      <c r="I662" s="17" t="s">
        <v>27</v>
      </c>
      <c r="J662" s="13" t="s">
        <v>1152</v>
      </c>
      <c r="K662" s="13">
        <v>25</v>
      </c>
      <c r="L662" s="13">
        <v>203</v>
      </c>
      <c r="M662" s="13">
        <f t="shared" ref="M662:M663" si="616">K662*L662</f>
        <v>5075</v>
      </c>
      <c r="N662" s="20">
        <v>45219</v>
      </c>
      <c r="O662" s="13" t="s">
        <v>833</v>
      </c>
      <c r="P662" s="13" t="s">
        <v>144</v>
      </c>
      <c r="Q662" s="13" t="s">
        <v>30</v>
      </c>
      <c r="R662" s="13" t="s">
        <v>1277</v>
      </c>
      <c r="S662" s="31">
        <v>201664719048</v>
      </c>
      <c r="T662" s="15">
        <v>45219</v>
      </c>
      <c r="U662" s="123"/>
      <c r="V662" s="13">
        <v>548</v>
      </c>
      <c r="W662" s="29">
        <v>45219.604166666664</v>
      </c>
      <c r="X662" s="29">
        <v>45219.666666666664</v>
      </c>
      <c r="Y662" s="30">
        <f t="shared" ref="Y662:Y663" si="617">+X662-W662</f>
        <v>6.25E-2</v>
      </c>
      <c r="Z662" s="29">
        <v>45219.625</v>
      </c>
      <c r="AA662" s="29">
        <v>45219.666666666664</v>
      </c>
      <c r="AB662" s="30">
        <f t="shared" ref="AB662:AB663" si="618">+AA662-Z662</f>
        <v>4.1666666664241347E-2</v>
      </c>
    </row>
    <row r="663" spans="1:28" x14ac:dyDescent="0.25">
      <c r="A663" s="12">
        <v>45200</v>
      </c>
      <c r="B663" s="13" t="s">
        <v>1276</v>
      </c>
      <c r="C663" s="20">
        <v>45218</v>
      </c>
      <c r="D663" s="13">
        <v>7833009</v>
      </c>
      <c r="E663" s="13" t="s">
        <v>191</v>
      </c>
      <c r="F663" s="13" t="s">
        <v>135</v>
      </c>
      <c r="G663" s="13" t="s">
        <v>192</v>
      </c>
      <c r="H663" s="17">
        <v>5211013</v>
      </c>
      <c r="I663" s="17" t="s">
        <v>27</v>
      </c>
      <c r="J663" s="13" t="s">
        <v>1183</v>
      </c>
      <c r="K663" s="13">
        <v>25</v>
      </c>
      <c r="L663" s="13">
        <v>200</v>
      </c>
      <c r="M663" s="13">
        <f t="shared" si="616"/>
        <v>5000</v>
      </c>
      <c r="N663" s="20">
        <v>45219</v>
      </c>
      <c r="O663" s="13" t="s">
        <v>833</v>
      </c>
      <c r="P663" s="13" t="s">
        <v>144</v>
      </c>
      <c r="Q663" s="13" t="s">
        <v>30</v>
      </c>
      <c r="R663" s="13" t="s">
        <v>1277</v>
      </c>
      <c r="S663" s="31">
        <v>201664719048</v>
      </c>
      <c r="T663" s="15">
        <v>45219</v>
      </c>
      <c r="U663" s="123"/>
      <c r="V663" s="13">
        <v>548</v>
      </c>
      <c r="W663" s="29">
        <v>45219.604166666664</v>
      </c>
      <c r="X663" s="29">
        <v>45219.666666666664</v>
      </c>
      <c r="Y663" s="30">
        <f t="shared" si="617"/>
        <v>6.25E-2</v>
      </c>
      <c r="Z663" s="29">
        <v>45219.625</v>
      </c>
      <c r="AA663" s="29">
        <v>45219.666666666664</v>
      </c>
      <c r="AB663" s="30">
        <f t="shared" si="618"/>
        <v>4.1666666664241347E-2</v>
      </c>
    </row>
    <row r="664" spans="1:28" x14ac:dyDescent="0.25">
      <c r="A664" s="12">
        <v>45200</v>
      </c>
      <c r="B664" s="13" t="s">
        <v>1278</v>
      </c>
      <c r="C664" s="20">
        <v>45218</v>
      </c>
      <c r="D664" s="13">
        <v>7959321</v>
      </c>
      <c r="E664" s="13" t="s">
        <v>523</v>
      </c>
      <c r="F664" s="13" t="s">
        <v>524</v>
      </c>
      <c r="G664" s="13" t="s">
        <v>192</v>
      </c>
      <c r="H664" s="17">
        <v>5212256</v>
      </c>
      <c r="I664" s="17" t="s">
        <v>22</v>
      </c>
      <c r="J664" s="13" t="s">
        <v>1134</v>
      </c>
      <c r="K664" s="13">
        <v>25</v>
      </c>
      <c r="L664" s="13">
        <v>400</v>
      </c>
      <c r="M664" s="13">
        <f t="shared" si="613"/>
        <v>10000</v>
      </c>
      <c r="N664" s="20">
        <v>45219</v>
      </c>
      <c r="O664" s="13" t="s">
        <v>136</v>
      </c>
      <c r="P664" s="13" t="s">
        <v>134</v>
      </c>
      <c r="Q664" s="123">
        <v>2290</v>
      </c>
      <c r="R664" s="13" t="s">
        <v>1279</v>
      </c>
      <c r="S664" s="31">
        <v>251664712336</v>
      </c>
      <c r="T664" s="15">
        <v>45219</v>
      </c>
      <c r="U664" s="123"/>
      <c r="V664" s="13">
        <v>549</v>
      </c>
      <c r="W664" s="29">
        <v>45219.625</v>
      </c>
      <c r="X664" s="29">
        <v>45219.75</v>
      </c>
      <c r="Y664" s="30">
        <f t="shared" si="614"/>
        <v>0.125</v>
      </c>
      <c r="Z664" s="29">
        <v>45219.708333333336</v>
      </c>
      <c r="AA664" s="29">
        <v>45219.75</v>
      </c>
      <c r="AB664" s="30">
        <f t="shared" si="615"/>
        <v>4.1666666664241347E-2</v>
      </c>
    </row>
    <row r="665" spans="1:28" x14ac:dyDescent="0.25">
      <c r="A665" s="12">
        <v>45200</v>
      </c>
      <c r="B665" s="13" t="s">
        <v>1270</v>
      </c>
      <c r="C665" s="20">
        <v>45218</v>
      </c>
      <c r="D665" s="13" t="s">
        <v>30</v>
      </c>
      <c r="E665" s="123" t="s">
        <v>477</v>
      </c>
      <c r="F665" s="13" t="s">
        <v>1280</v>
      </c>
      <c r="G665" s="13" t="s">
        <v>1273</v>
      </c>
      <c r="H665" s="17" t="s">
        <v>30</v>
      </c>
      <c r="I665" s="17" t="s">
        <v>1274</v>
      </c>
      <c r="J665" s="13" t="s">
        <v>1271</v>
      </c>
      <c r="K665" s="13">
        <v>1000</v>
      </c>
      <c r="L665" s="13">
        <v>3</v>
      </c>
      <c r="M665" s="13">
        <f t="shared" ref="M665:M675" si="619">K665*L665</f>
        <v>3000</v>
      </c>
      <c r="N665" s="20">
        <v>45219</v>
      </c>
      <c r="O665" s="13" t="s">
        <v>136</v>
      </c>
      <c r="P665" s="13" t="s">
        <v>134</v>
      </c>
      <c r="Q665" s="123">
        <v>2290</v>
      </c>
      <c r="R665" s="13" t="s">
        <v>1279</v>
      </c>
      <c r="S665" s="31">
        <v>251664712336</v>
      </c>
      <c r="T665" s="15">
        <v>45219</v>
      </c>
      <c r="U665" s="123"/>
      <c r="V665" s="13">
        <v>549</v>
      </c>
      <c r="W665" s="29">
        <v>45219.625</v>
      </c>
      <c r="X665" s="29">
        <v>45219.75</v>
      </c>
      <c r="Y665" s="30">
        <f t="shared" ref="Y665" si="620">+X665-W665</f>
        <v>0.125</v>
      </c>
      <c r="Z665" s="29">
        <v>45219.708333333336</v>
      </c>
      <c r="AA665" s="29">
        <v>45219.75</v>
      </c>
      <c r="AB665" s="30">
        <f t="shared" ref="AB665" si="621">+AA665-Z665</f>
        <v>4.1666666664241347E-2</v>
      </c>
    </row>
    <row r="666" spans="1:28" x14ac:dyDescent="0.25">
      <c r="A666" s="12">
        <v>45200</v>
      </c>
      <c r="B666" s="13" t="s">
        <v>1270</v>
      </c>
      <c r="C666" s="20">
        <v>45218</v>
      </c>
      <c r="D666" s="13" t="s">
        <v>30</v>
      </c>
      <c r="E666" s="123" t="s">
        <v>477</v>
      </c>
      <c r="F666" s="13" t="s">
        <v>1280</v>
      </c>
      <c r="G666" s="13" t="s">
        <v>1273</v>
      </c>
      <c r="H666" s="17" t="s">
        <v>30</v>
      </c>
      <c r="I666" s="17" t="s">
        <v>1274</v>
      </c>
      <c r="J666" s="13" t="s">
        <v>1272</v>
      </c>
      <c r="K666" s="13">
        <v>1000</v>
      </c>
      <c r="L666" s="13">
        <v>2</v>
      </c>
      <c r="M666" s="13">
        <f t="shared" si="619"/>
        <v>2000</v>
      </c>
      <c r="N666" s="20">
        <v>45219</v>
      </c>
      <c r="O666" s="13" t="s">
        <v>136</v>
      </c>
      <c r="P666" s="13" t="s">
        <v>134</v>
      </c>
      <c r="Q666" s="123">
        <v>2290</v>
      </c>
      <c r="R666" s="13" t="s">
        <v>1279</v>
      </c>
      <c r="S666" s="31">
        <v>261664193547</v>
      </c>
      <c r="T666" s="20">
        <v>45218</v>
      </c>
      <c r="U666" s="123"/>
      <c r="V666" s="13">
        <v>549</v>
      </c>
      <c r="W666" s="29">
        <v>45219.625</v>
      </c>
      <c r="X666" s="29">
        <v>45219.75</v>
      </c>
      <c r="Y666" s="30">
        <f t="shared" ref="Y666:Y675" si="622">+X666-W666</f>
        <v>0.125</v>
      </c>
      <c r="Z666" s="29">
        <v>45219.708333333336</v>
      </c>
      <c r="AA666" s="29">
        <v>45219.75</v>
      </c>
      <c r="AB666" s="30">
        <f t="shared" ref="AB666:AB675" si="623">+AA666-Z666</f>
        <v>4.1666666664241347E-2</v>
      </c>
    </row>
    <row r="667" spans="1:28" x14ac:dyDescent="0.25">
      <c r="A667" s="12">
        <v>45200</v>
      </c>
      <c r="B667" s="13" t="s">
        <v>1281</v>
      </c>
      <c r="C667" s="20">
        <v>45219</v>
      </c>
      <c r="D667" s="13">
        <v>7911186</v>
      </c>
      <c r="E667" s="13" t="s">
        <v>1025</v>
      </c>
      <c r="F667" s="13" t="s">
        <v>135</v>
      </c>
      <c r="G667" s="13" t="s">
        <v>132</v>
      </c>
      <c r="H667" s="17">
        <v>5215404</v>
      </c>
      <c r="I667" s="17" t="s">
        <v>1284</v>
      </c>
      <c r="J667" s="14" t="s">
        <v>1105</v>
      </c>
      <c r="K667" s="13">
        <v>180</v>
      </c>
      <c r="L667" s="13">
        <v>30</v>
      </c>
      <c r="M667" s="13">
        <f t="shared" si="619"/>
        <v>5400</v>
      </c>
      <c r="N667" s="20">
        <v>45220</v>
      </c>
      <c r="O667" s="13" t="s">
        <v>298</v>
      </c>
      <c r="P667" s="13" t="s">
        <v>144</v>
      </c>
      <c r="Q667" s="13" t="s">
        <v>30</v>
      </c>
      <c r="R667" s="13" t="s">
        <v>1026</v>
      </c>
      <c r="S667" s="31">
        <v>271664996501</v>
      </c>
      <c r="T667" s="20">
        <v>45220</v>
      </c>
      <c r="U667" s="123"/>
      <c r="V667" s="13">
        <v>550</v>
      </c>
      <c r="W667" s="29">
        <v>45220.458333333336</v>
      </c>
      <c r="X667" s="29">
        <v>45220.486111111109</v>
      </c>
      <c r="Y667" s="30">
        <f t="shared" si="622"/>
        <v>2.7777777773735579E-2</v>
      </c>
      <c r="Z667" s="29">
        <v>45220.458333333336</v>
      </c>
      <c r="AA667" s="29">
        <v>45220.479166666664</v>
      </c>
      <c r="AB667" s="30">
        <f t="shared" si="623"/>
        <v>2.0833333328482695E-2</v>
      </c>
    </row>
    <row r="668" spans="1:28" x14ac:dyDescent="0.25">
      <c r="A668" s="12">
        <v>45200</v>
      </c>
      <c r="B668" s="123" t="s">
        <v>1282</v>
      </c>
      <c r="C668" s="20">
        <v>45220</v>
      </c>
      <c r="D668" s="13">
        <v>6238187</v>
      </c>
      <c r="E668" s="13" t="s">
        <v>471</v>
      </c>
      <c r="F668" s="13" t="s">
        <v>472</v>
      </c>
      <c r="G668" s="13" t="s">
        <v>192</v>
      </c>
      <c r="H668" s="17">
        <v>5205497</v>
      </c>
      <c r="I668" s="17" t="s">
        <v>1211</v>
      </c>
      <c r="J668" s="13">
        <v>1230192062</v>
      </c>
      <c r="K668" s="13">
        <v>25</v>
      </c>
      <c r="L668" s="13">
        <v>320</v>
      </c>
      <c r="M668" s="13">
        <f t="shared" si="619"/>
        <v>8000</v>
      </c>
      <c r="N668" s="20">
        <v>45220</v>
      </c>
      <c r="O668" s="13" t="s">
        <v>177</v>
      </c>
      <c r="P668" s="13" t="s">
        <v>144</v>
      </c>
      <c r="Q668" s="13" t="s">
        <v>30</v>
      </c>
      <c r="R668" s="13" t="s">
        <v>1283</v>
      </c>
      <c r="S668" s="31">
        <v>261665300919</v>
      </c>
      <c r="T668" s="20">
        <v>45220</v>
      </c>
      <c r="U668" s="123"/>
      <c r="V668" s="13">
        <v>551</v>
      </c>
      <c r="W668" s="29">
        <v>45220.625</v>
      </c>
      <c r="X668" s="29">
        <v>45220.75</v>
      </c>
      <c r="Y668" s="30">
        <f t="shared" si="622"/>
        <v>0.125</v>
      </c>
      <c r="Z668" s="29">
        <v>45220.708333333336</v>
      </c>
      <c r="AA668" s="29">
        <v>45220.75</v>
      </c>
      <c r="AB668" s="30">
        <f t="shared" si="623"/>
        <v>4.1666666664241347E-2</v>
      </c>
    </row>
    <row r="669" spans="1:28" x14ac:dyDescent="0.25">
      <c r="A669" s="12">
        <v>45200</v>
      </c>
      <c r="B669" s="13" t="s">
        <v>1308</v>
      </c>
      <c r="C669" s="20">
        <v>45222</v>
      </c>
      <c r="D669" s="13">
        <v>8023010</v>
      </c>
      <c r="E669" s="13" t="s">
        <v>1131</v>
      </c>
      <c r="F669" s="13" t="s">
        <v>215</v>
      </c>
      <c r="G669" s="13" t="s">
        <v>132</v>
      </c>
      <c r="H669" s="17">
        <v>5230831</v>
      </c>
      <c r="I669" s="17" t="s">
        <v>35</v>
      </c>
      <c r="J669" s="14" t="s">
        <v>1156</v>
      </c>
      <c r="K669" s="13">
        <v>240</v>
      </c>
      <c r="L669" s="13">
        <v>22</v>
      </c>
      <c r="M669" s="13">
        <f t="shared" si="619"/>
        <v>5280</v>
      </c>
      <c r="N669" s="20">
        <v>45222</v>
      </c>
      <c r="O669" s="13" t="s">
        <v>136</v>
      </c>
      <c r="P669" s="13" t="s">
        <v>144</v>
      </c>
      <c r="Q669" s="13" t="s">
        <v>30</v>
      </c>
      <c r="R669" s="13" t="s">
        <v>817</v>
      </c>
      <c r="S669" s="31">
        <v>221665894788</v>
      </c>
      <c r="T669" s="20">
        <v>45222</v>
      </c>
      <c r="U669" s="123"/>
      <c r="V669" s="13">
        <v>552</v>
      </c>
      <c r="W669" s="29">
        <v>45222.5</v>
      </c>
      <c r="X669" s="29">
        <v>45222.555555555555</v>
      </c>
      <c r="Y669" s="30">
        <f t="shared" si="622"/>
        <v>5.5555555554747116E-2</v>
      </c>
      <c r="Z669" s="29">
        <v>45222.520833333336</v>
      </c>
      <c r="AA669" s="29">
        <v>45222.555555555555</v>
      </c>
      <c r="AB669" s="30">
        <f t="shared" si="623"/>
        <v>3.4722222218988463E-2</v>
      </c>
    </row>
    <row r="670" spans="1:28" x14ac:dyDescent="0.25">
      <c r="A670" s="12">
        <v>45200</v>
      </c>
      <c r="B670" s="13" t="s">
        <v>1308</v>
      </c>
      <c r="C670" s="20">
        <v>45222</v>
      </c>
      <c r="D670" s="13">
        <v>7954913</v>
      </c>
      <c r="E670" s="13" t="s">
        <v>1131</v>
      </c>
      <c r="F670" s="13" t="s">
        <v>215</v>
      </c>
      <c r="G670" s="13" t="s">
        <v>132</v>
      </c>
      <c r="H670" s="17">
        <v>5230831</v>
      </c>
      <c r="I670" s="17" t="s">
        <v>35</v>
      </c>
      <c r="J670" s="14" t="s">
        <v>1187</v>
      </c>
      <c r="K670" s="13">
        <v>240</v>
      </c>
      <c r="L670" s="13">
        <v>18</v>
      </c>
      <c r="M670" s="13">
        <f t="shared" ref="M670" si="624">K670*L670</f>
        <v>4320</v>
      </c>
      <c r="N670" s="20">
        <v>45222</v>
      </c>
      <c r="O670" s="13" t="s">
        <v>136</v>
      </c>
      <c r="P670" s="13" t="s">
        <v>144</v>
      </c>
      <c r="Q670" s="13" t="s">
        <v>30</v>
      </c>
      <c r="R670" s="13" t="s">
        <v>817</v>
      </c>
      <c r="S670" s="31">
        <v>221665894788</v>
      </c>
      <c r="T670" s="20">
        <v>45222</v>
      </c>
      <c r="U670" s="123"/>
      <c r="V670" s="13">
        <v>552</v>
      </c>
      <c r="W670" s="29">
        <v>45222.5</v>
      </c>
      <c r="X670" s="29">
        <v>45222.555555555555</v>
      </c>
      <c r="Y670" s="30">
        <f t="shared" ref="Y670" si="625">+X670-W670</f>
        <v>5.5555555554747116E-2</v>
      </c>
      <c r="Z670" s="29">
        <v>45222.520833333336</v>
      </c>
      <c r="AA670" s="29">
        <v>45222.555555555555</v>
      </c>
      <c r="AB670" s="30">
        <f t="shared" ref="AB670" si="626">+AA670-Z670</f>
        <v>3.4722222218988463E-2</v>
      </c>
    </row>
    <row r="671" spans="1:28" x14ac:dyDescent="0.25">
      <c r="A671" s="12">
        <v>45200</v>
      </c>
      <c r="B671" s="13" t="s">
        <v>1309</v>
      </c>
      <c r="C671" s="20">
        <v>45222</v>
      </c>
      <c r="D671" s="13">
        <v>8023010</v>
      </c>
      <c r="E671" s="13" t="s">
        <v>175</v>
      </c>
      <c r="F671" s="13" t="s">
        <v>135</v>
      </c>
      <c r="G671" s="13" t="s">
        <v>132</v>
      </c>
      <c r="H671" s="17">
        <v>5230831</v>
      </c>
      <c r="I671" s="17" t="s">
        <v>35</v>
      </c>
      <c r="J671" s="14" t="s">
        <v>1156</v>
      </c>
      <c r="K671" s="13">
        <v>240</v>
      </c>
      <c r="L671" s="13">
        <v>15</v>
      </c>
      <c r="M671" s="13">
        <f t="shared" si="619"/>
        <v>3600</v>
      </c>
      <c r="N671" s="20">
        <v>45222</v>
      </c>
      <c r="O671" s="13" t="s">
        <v>259</v>
      </c>
      <c r="P671" s="13" t="s">
        <v>144</v>
      </c>
      <c r="Q671" s="13" t="s">
        <v>30</v>
      </c>
      <c r="R671" s="13" t="s">
        <v>1310</v>
      </c>
      <c r="S671" s="31">
        <v>221665946018</v>
      </c>
      <c r="T671" s="20">
        <v>45222</v>
      </c>
      <c r="U671" s="123"/>
      <c r="V671" s="13">
        <v>553</v>
      </c>
      <c r="W671" s="29">
        <v>45222.583333333336</v>
      </c>
      <c r="X671" s="29">
        <v>45222.621527777781</v>
      </c>
      <c r="Y671" s="30">
        <f t="shared" si="622"/>
        <v>3.8194444445252884E-2</v>
      </c>
      <c r="Z671" s="29">
        <v>45222.597222222219</v>
      </c>
      <c r="AA671" s="29">
        <v>45222.621527777781</v>
      </c>
      <c r="AB671" s="30">
        <f t="shared" si="623"/>
        <v>2.4305555562023073E-2</v>
      </c>
    </row>
    <row r="672" spans="1:28" x14ac:dyDescent="0.25">
      <c r="A672" s="12">
        <v>45200</v>
      </c>
      <c r="B672" s="13" t="s">
        <v>1311</v>
      </c>
      <c r="C672" s="20">
        <v>45222</v>
      </c>
      <c r="D672" s="13">
        <v>8023010</v>
      </c>
      <c r="E672" s="13" t="s">
        <v>175</v>
      </c>
      <c r="F672" s="13" t="s">
        <v>135</v>
      </c>
      <c r="G672" s="13" t="s">
        <v>132</v>
      </c>
      <c r="H672" s="17">
        <v>5230831</v>
      </c>
      <c r="I672" s="17" t="s">
        <v>35</v>
      </c>
      <c r="J672" s="14" t="s">
        <v>1156</v>
      </c>
      <c r="K672" s="13">
        <v>240</v>
      </c>
      <c r="L672" s="13">
        <v>33</v>
      </c>
      <c r="M672" s="13">
        <f t="shared" si="619"/>
        <v>7920</v>
      </c>
      <c r="N672" s="20">
        <v>45222</v>
      </c>
      <c r="O672" s="13" t="s">
        <v>177</v>
      </c>
      <c r="P672" s="13" t="s">
        <v>144</v>
      </c>
      <c r="Q672" s="13" t="s">
        <v>30</v>
      </c>
      <c r="R672" s="13" t="s">
        <v>1312</v>
      </c>
      <c r="S672" s="31">
        <v>271665988297</v>
      </c>
      <c r="T672" s="20">
        <v>45222</v>
      </c>
      <c r="U672" s="123"/>
      <c r="V672" s="13">
        <v>554</v>
      </c>
      <c r="W672" s="29">
        <v>45222.590277777781</v>
      </c>
      <c r="X672" s="29">
        <v>45222.642361111109</v>
      </c>
      <c r="Y672" s="30">
        <f t="shared" si="622"/>
        <v>5.2083333328482695E-2</v>
      </c>
      <c r="Z672" s="29">
        <v>45222.625</v>
      </c>
      <c r="AA672" s="29">
        <v>45222.642361111109</v>
      </c>
      <c r="AB672" s="30">
        <f t="shared" si="623"/>
        <v>1.7361111109494232E-2</v>
      </c>
    </row>
    <row r="673" spans="1:28" x14ac:dyDescent="0.25">
      <c r="A673" s="12">
        <v>45200</v>
      </c>
      <c r="B673" s="13" t="s">
        <v>1313</v>
      </c>
      <c r="C673" s="20">
        <v>45222</v>
      </c>
      <c r="D673" s="13">
        <v>8023010</v>
      </c>
      <c r="E673" s="13" t="s">
        <v>175</v>
      </c>
      <c r="F673" s="13" t="s">
        <v>135</v>
      </c>
      <c r="G673" s="13" t="s">
        <v>132</v>
      </c>
      <c r="H673" s="17">
        <v>5230831</v>
      </c>
      <c r="I673" s="17" t="s">
        <v>35</v>
      </c>
      <c r="J673" s="14" t="s">
        <v>1156</v>
      </c>
      <c r="K673" s="13">
        <v>240</v>
      </c>
      <c r="L673" s="13">
        <v>32</v>
      </c>
      <c r="M673" s="13">
        <f t="shared" si="619"/>
        <v>7680</v>
      </c>
      <c r="N673" s="20">
        <v>45222</v>
      </c>
      <c r="O673" s="13" t="s">
        <v>177</v>
      </c>
      <c r="P673" s="13" t="s">
        <v>144</v>
      </c>
      <c r="Q673" s="13" t="s">
        <v>30</v>
      </c>
      <c r="R673" s="13" t="s">
        <v>1314</v>
      </c>
      <c r="S673" s="31">
        <v>9527025174</v>
      </c>
      <c r="T673" s="20">
        <v>45222</v>
      </c>
      <c r="U673" s="123"/>
      <c r="V673" s="13">
        <v>555</v>
      </c>
      <c r="W673" s="29">
        <v>45222.590277777781</v>
      </c>
      <c r="X673" s="29">
        <v>45222.65625</v>
      </c>
      <c r="Y673" s="30">
        <f t="shared" si="622"/>
        <v>6.5972222218988463E-2</v>
      </c>
      <c r="Z673" s="29">
        <v>45222.642361111109</v>
      </c>
      <c r="AA673" s="29">
        <v>45222.65625</v>
      </c>
      <c r="AB673" s="30">
        <f t="shared" si="623"/>
        <v>1.3888888890505768E-2</v>
      </c>
    </row>
    <row r="674" spans="1:28" x14ac:dyDescent="0.25">
      <c r="A674" s="12">
        <v>45200</v>
      </c>
      <c r="B674" s="13" t="s">
        <v>1317</v>
      </c>
      <c r="C674" s="20">
        <v>45224</v>
      </c>
      <c r="D674" s="13">
        <v>7954913</v>
      </c>
      <c r="E674" s="13" t="s">
        <v>196</v>
      </c>
      <c r="F674" s="13" t="s">
        <v>197</v>
      </c>
      <c r="G674" s="13" t="s">
        <v>132</v>
      </c>
      <c r="H674" s="17">
        <v>5230831</v>
      </c>
      <c r="I674" s="17" t="s">
        <v>35</v>
      </c>
      <c r="J674" s="14" t="s">
        <v>1187</v>
      </c>
      <c r="K674" s="13">
        <v>240</v>
      </c>
      <c r="L674" s="13">
        <v>40</v>
      </c>
      <c r="M674" s="13">
        <f t="shared" si="619"/>
        <v>9600</v>
      </c>
      <c r="N674" s="20">
        <v>45224</v>
      </c>
      <c r="O674" s="13" t="s">
        <v>136</v>
      </c>
      <c r="P674" s="13" t="s">
        <v>144</v>
      </c>
      <c r="Q674" s="13" t="s">
        <v>30</v>
      </c>
      <c r="R674" s="13" t="s">
        <v>265</v>
      </c>
      <c r="S674" s="31">
        <v>291666701884</v>
      </c>
      <c r="T674" s="20">
        <v>45224</v>
      </c>
      <c r="U674" s="123"/>
      <c r="V674" s="13">
        <v>556</v>
      </c>
      <c r="W674" s="29">
        <v>45224.597222222219</v>
      </c>
      <c r="X674" s="29">
        <v>45224.645833333336</v>
      </c>
      <c r="Y674" s="30">
        <f t="shared" si="622"/>
        <v>4.8611111116770189E-2</v>
      </c>
      <c r="Z674" s="29">
        <v>45224.604166666664</v>
      </c>
      <c r="AA674" s="29">
        <v>45224.645833333336</v>
      </c>
      <c r="AB674" s="30">
        <f t="shared" si="623"/>
        <v>4.1666666671517305E-2</v>
      </c>
    </row>
    <row r="675" spans="1:28" x14ac:dyDescent="0.25">
      <c r="A675" s="12">
        <v>45200</v>
      </c>
      <c r="B675" s="13" t="s">
        <v>1318</v>
      </c>
      <c r="C675" s="20">
        <v>45224</v>
      </c>
      <c r="D675" s="13">
        <v>8304702</v>
      </c>
      <c r="E675" s="13" t="s">
        <v>191</v>
      </c>
      <c r="F675" s="13" t="s">
        <v>135</v>
      </c>
      <c r="G675" s="13" t="s">
        <v>192</v>
      </c>
      <c r="H675" s="17">
        <v>5212252</v>
      </c>
      <c r="I675" s="17" t="s">
        <v>23</v>
      </c>
      <c r="J675" s="13" t="s">
        <v>1300</v>
      </c>
      <c r="K675" s="13">
        <v>25</v>
      </c>
      <c r="L675" s="13">
        <v>620</v>
      </c>
      <c r="M675" s="13">
        <f t="shared" si="619"/>
        <v>15500</v>
      </c>
      <c r="N675" s="20">
        <v>45224</v>
      </c>
      <c r="O675" s="13" t="s">
        <v>399</v>
      </c>
      <c r="P675" s="13" t="s">
        <v>144</v>
      </c>
      <c r="Q675" s="13" t="s">
        <v>30</v>
      </c>
      <c r="R675" s="13" t="s">
        <v>1319</v>
      </c>
      <c r="S675" s="31">
        <v>251666715599</v>
      </c>
      <c r="T675" s="20">
        <v>45224</v>
      </c>
      <c r="U675" s="123"/>
      <c r="V675" s="13">
        <v>557</v>
      </c>
      <c r="W675" s="29">
        <v>45224.395833333336</v>
      </c>
      <c r="X675" s="29">
        <v>45224.680555555555</v>
      </c>
      <c r="Y675" s="30">
        <f t="shared" si="622"/>
        <v>0.28472222221898846</v>
      </c>
      <c r="Z675" s="29">
        <v>45224.548611111109</v>
      </c>
      <c r="AA675" s="29">
        <v>45224.666666666664</v>
      </c>
      <c r="AB675" s="30">
        <f t="shared" si="623"/>
        <v>0.11805555555474712</v>
      </c>
    </row>
    <row r="676" spans="1:28" x14ac:dyDescent="0.25">
      <c r="A676" s="12">
        <v>45200</v>
      </c>
      <c r="B676" s="13" t="s">
        <v>1318</v>
      </c>
      <c r="C676" s="20">
        <v>45224</v>
      </c>
      <c r="D676" s="13">
        <v>7833009</v>
      </c>
      <c r="E676" s="13" t="s">
        <v>191</v>
      </c>
      <c r="F676" s="13" t="s">
        <v>135</v>
      </c>
      <c r="G676" s="13" t="s">
        <v>192</v>
      </c>
      <c r="H676" s="17">
        <v>5211013</v>
      </c>
      <c r="I676" s="17" t="s">
        <v>27</v>
      </c>
      <c r="J676" s="13" t="s">
        <v>1161</v>
      </c>
      <c r="K676" s="13">
        <v>25</v>
      </c>
      <c r="L676" s="13">
        <v>240</v>
      </c>
      <c r="M676" s="13">
        <f t="shared" ref="M676:M734" si="627">K676*L676</f>
        <v>6000</v>
      </c>
      <c r="N676" s="20">
        <v>45224</v>
      </c>
      <c r="O676" s="13" t="s">
        <v>399</v>
      </c>
      <c r="P676" s="13" t="s">
        <v>144</v>
      </c>
      <c r="Q676" s="13" t="s">
        <v>30</v>
      </c>
      <c r="R676" s="13" t="s">
        <v>1319</v>
      </c>
      <c r="S676" s="31">
        <v>251666715599</v>
      </c>
      <c r="T676" s="20">
        <v>45224</v>
      </c>
      <c r="U676" s="123"/>
      <c r="V676" s="13">
        <v>557</v>
      </c>
      <c r="W676" s="29">
        <v>45224.395833333336</v>
      </c>
      <c r="X676" s="29">
        <v>45224.680555555555</v>
      </c>
      <c r="Y676" s="30">
        <f t="shared" ref="Y676:Y680" si="628">+X676-W676</f>
        <v>0.28472222221898846</v>
      </c>
      <c r="Z676" s="29">
        <v>45224.548611111109</v>
      </c>
      <c r="AA676" s="29">
        <v>45224.666666666664</v>
      </c>
      <c r="AB676" s="30">
        <f t="shared" ref="AB676:AB680" si="629">+AA676-Z676</f>
        <v>0.11805555555474712</v>
      </c>
    </row>
    <row r="677" spans="1:28" x14ac:dyDescent="0.25">
      <c r="A677" s="12">
        <v>45200</v>
      </c>
      <c r="B677" s="13" t="s">
        <v>1318</v>
      </c>
      <c r="C677" s="20">
        <v>45224</v>
      </c>
      <c r="D677" s="13">
        <v>5851097</v>
      </c>
      <c r="E677" s="13" t="s">
        <v>191</v>
      </c>
      <c r="F677" s="13" t="s">
        <v>135</v>
      </c>
      <c r="G677" s="13" t="s">
        <v>192</v>
      </c>
      <c r="H677" s="17">
        <v>5211003</v>
      </c>
      <c r="I677" s="17" t="s">
        <v>31</v>
      </c>
      <c r="J677" s="13" t="s">
        <v>97</v>
      </c>
      <c r="K677" s="13">
        <v>25</v>
      </c>
      <c r="L677" s="13">
        <v>40</v>
      </c>
      <c r="M677" s="13">
        <f t="shared" si="627"/>
        <v>1000</v>
      </c>
      <c r="N677" s="20">
        <v>45224</v>
      </c>
      <c r="O677" s="13" t="s">
        <v>399</v>
      </c>
      <c r="P677" s="13" t="s">
        <v>144</v>
      </c>
      <c r="Q677" s="13" t="s">
        <v>30</v>
      </c>
      <c r="R677" s="13" t="s">
        <v>1319</v>
      </c>
      <c r="S677" s="31">
        <v>251666715599</v>
      </c>
      <c r="T677" s="20">
        <v>45224</v>
      </c>
      <c r="U677" s="123"/>
      <c r="V677" s="13">
        <v>557</v>
      </c>
      <c r="W677" s="29">
        <v>45224.395833333336</v>
      </c>
      <c r="X677" s="29">
        <v>45224.680555555555</v>
      </c>
      <c r="Y677" s="30">
        <f t="shared" si="628"/>
        <v>0.28472222221898846</v>
      </c>
      <c r="Z677" s="29">
        <v>45224.548611111109</v>
      </c>
      <c r="AA677" s="29">
        <v>45224.666666666664</v>
      </c>
      <c r="AB677" s="30">
        <f t="shared" si="629"/>
        <v>0.11805555555474712</v>
      </c>
    </row>
    <row r="678" spans="1:28" x14ac:dyDescent="0.25">
      <c r="A678" s="12">
        <v>45200</v>
      </c>
      <c r="B678" s="13" t="s">
        <v>1318</v>
      </c>
      <c r="C678" s="20">
        <v>45224</v>
      </c>
      <c r="D678" s="13">
        <v>7071414</v>
      </c>
      <c r="E678" s="13" t="s">
        <v>191</v>
      </c>
      <c r="F678" s="13" t="s">
        <v>135</v>
      </c>
      <c r="G678" s="13" t="s">
        <v>192</v>
      </c>
      <c r="H678" s="17">
        <v>5210162</v>
      </c>
      <c r="I678" s="17" t="s">
        <v>24</v>
      </c>
      <c r="J678" s="13" t="s">
        <v>770</v>
      </c>
      <c r="K678" s="13">
        <v>25</v>
      </c>
      <c r="L678" s="13">
        <v>120</v>
      </c>
      <c r="M678" s="13">
        <f t="shared" si="627"/>
        <v>3000</v>
      </c>
      <c r="N678" s="20">
        <v>45224</v>
      </c>
      <c r="O678" s="13" t="s">
        <v>399</v>
      </c>
      <c r="P678" s="13" t="s">
        <v>144</v>
      </c>
      <c r="Q678" s="13" t="s">
        <v>30</v>
      </c>
      <c r="R678" s="13" t="s">
        <v>1319</v>
      </c>
      <c r="S678" s="31">
        <v>251666715599</v>
      </c>
      <c r="T678" s="20">
        <v>45224</v>
      </c>
      <c r="U678" s="123"/>
      <c r="V678" s="13">
        <v>557</v>
      </c>
      <c r="W678" s="29">
        <v>45224.395833333336</v>
      </c>
      <c r="X678" s="29">
        <v>45224.680555555555</v>
      </c>
      <c r="Y678" s="30">
        <f t="shared" si="628"/>
        <v>0.28472222221898846</v>
      </c>
      <c r="Z678" s="29">
        <v>45224.548611111109</v>
      </c>
      <c r="AA678" s="29">
        <v>45224.666666666664</v>
      </c>
      <c r="AB678" s="30">
        <f t="shared" si="629"/>
        <v>0.11805555555474712</v>
      </c>
    </row>
    <row r="679" spans="1:28" x14ac:dyDescent="0.25">
      <c r="A679" s="12">
        <v>45200</v>
      </c>
      <c r="B679" s="13" t="s">
        <v>1318</v>
      </c>
      <c r="C679" s="20">
        <v>45224</v>
      </c>
      <c r="D679" s="13">
        <v>7959321</v>
      </c>
      <c r="E679" s="13" t="s">
        <v>191</v>
      </c>
      <c r="F679" s="13" t="s">
        <v>135</v>
      </c>
      <c r="G679" s="13" t="s">
        <v>192</v>
      </c>
      <c r="H679" s="17">
        <v>5212256</v>
      </c>
      <c r="I679" s="17" t="s">
        <v>22</v>
      </c>
      <c r="J679" s="13" t="s">
        <v>1134</v>
      </c>
      <c r="K679" s="13">
        <v>25</v>
      </c>
      <c r="L679" s="13">
        <v>180</v>
      </c>
      <c r="M679" s="13">
        <f t="shared" si="627"/>
        <v>4500</v>
      </c>
      <c r="N679" s="20">
        <v>45224</v>
      </c>
      <c r="O679" s="13" t="s">
        <v>399</v>
      </c>
      <c r="P679" s="13" t="s">
        <v>144</v>
      </c>
      <c r="Q679" s="13" t="s">
        <v>30</v>
      </c>
      <c r="R679" s="13" t="s">
        <v>1319</v>
      </c>
      <c r="S679" s="31">
        <v>251666715599</v>
      </c>
      <c r="T679" s="20">
        <v>45224</v>
      </c>
      <c r="U679" s="123"/>
      <c r="V679" s="13">
        <v>557</v>
      </c>
      <c r="W679" s="29">
        <v>45224.395833333336</v>
      </c>
      <c r="X679" s="29">
        <v>45224.680555555555</v>
      </c>
      <c r="Y679" s="30">
        <f t="shared" si="628"/>
        <v>0.28472222221898846</v>
      </c>
      <c r="Z679" s="29">
        <v>45224.548611111109</v>
      </c>
      <c r="AA679" s="29">
        <v>45224.666666666664</v>
      </c>
      <c r="AB679" s="30">
        <f t="shared" si="629"/>
        <v>0.11805555555474712</v>
      </c>
    </row>
    <row r="680" spans="1:28" x14ac:dyDescent="0.25">
      <c r="A680" s="12">
        <v>45200</v>
      </c>
      <c r="B680" s="13" t="s">
        <v>1320</v>
      </c>
      <c r="C680" s="20">
        <v>45224</v>
      </c>
      <c r="D680" s="13">
        <v>8017751</v>
      </c>
      <c r="E680" s="13" t="s">
        <v>859</v>
      </c>
      <c r="F680" s="13" t="s">
        <v>289</v>
      </c>
      <c r="G680" s="13" t="s">
        <v>192</v>
      </c>
      <c r="H680" s="17">
        <v>5211014</v>
      </c>
      <c r="I680" s="17" t="s">
        <v>38</v>
      </c>
      <c r="J680" s="13" t="s">
        <v>1191</v>
      </c>
      <c r="K680" s="13">
        <v>25</v>
      </c>
      <c r="L680" s="13">
        <v>160</v>
      </c>
      <c r="M680" s="13">
        <f t="shared" si="627"/>
        <v>4000</v>
      </c>
      <c r="N680" s="20">
        <v>45224</v>
      </c>
      <c r="O680" s="13" t="s">
        <v>399</v>
      </c>
      <c r="P680" s="13" t="s">
        <v>144</v>
      </c>
      <c r="Q680" s="13" t="s">
        <v>30</v>
      </c>
      <c r="R680" s="13" t="s">
        <v>1224</v>
      </c>
      <c r="S680" s="31">
        <v>231666764285</v>
      </c>
      <c r="T680" s="20">
        <v>45224</v>
      </c>
      <c r="U680" s="123"/>
      <c r="V680" s="13">
        <v>558</v>
      </c>
      <c r="W680" s="29">
        <v>45224.5</v>
      </c>
      <c r="X680" s="29">
        <v>45224.875</v>
      </c>
      <c r="Y680" s="30">
        <f t="shared" si="628"/>
        <v>0.375</v>
      </c>
      <c r="Z680" s="29">
        <v>45224.680555555555</v>
      </c>
      <c r="AA680" s="29">
        <v>45224.875</v>
      </c>
      <c r="AB680" s="30">
        <f t="shared" si="629"/>
        <v>0.19444444444525288</v>
      </c>
    </row>
    <row r="681" spans="1:28" x14ac:dyDescent="0.25">
      <c r="A681" s="12">
        <v>45200</v>
      </c>
      <c r="B681" s="13" t="s">
        <v>1320</v>
      </c>
      <c r="C681" s="20">
        <v>45224</v>
      </c>
      <c r="D681" s="13">
        <v>7833009</v>
      </c>
      <c r="E681" s="13" t="s">
        <v>859</v>
      </c>
      <c r="F681" s="13" t="s">
        <v>289</v>
      </c>
      <c r="G681" s="13" t="s">
        <v>192</v>
      </c>
      <c r="H681" s="17">
        <v>5211013</v>
      </c>
      <c r="I681" s="17" t="s">
        <v>27</v>
      </c>
      <c r="J681" s="13" t="s">
        <v>1161</v>
      </c>
      <c r="K681" s="13">
        <v>25</v>
      </c>
      <c r="L681" s="13">
        <v>40</v>
      </c>
      <c r="M681" s="13">
        <f t="shared" si="627"/>
        <v>1000</v>
      </c>
      <c r="N681" s="20">
        <v>45224</v>
      </c>
      <c r="O681" s="13" t="s">
        <v>399</v>
      </c>
      <c r="P681" s="13" t="s">
        <v>144</v>
      </c>
      <c r="Q681" s="13" t="s">
        <v>30</v>
      </c>
      <c r="R681" s="13" t="s">
        <v>1224</v>
      </c>
      <c r="S681" s="31">
        <v>231666764285</v>
      </c>
      <c r="T681" s="20">
        <v>45224</v>
      </c>
      <c r="U681" s="123"/>
      <c r="V681" s="13">
        <v>558</v>
      </c>
      <c r="W681" s="29">
        <v>45224.5</v>
      </c>
      <c r="X681" s="29">
        <v>45224.875</v>
      </c>
      <c r="Y681" s="30">
        <f t="shared" ref="Y681:Y691" si="630">+X681-W681</f>
        <v>0.375</v>
      </c>
      <c r="Z681" s="29">
        <v>45224.680555555555</v>
      </c>
      <c r="AA681" s="29">
        <v>45224.875</v>
      </c>
      <c r="AB681" s="30">
        <f t="shared" ref="AB681:AB691" si="631">+AA681-Z681</f>
        <v>0.19444444444525288</v>
      </c>
    </row>
    <row r="682" spans="1:28" x14ac:dyDescent="0.25">
      <c r="A682" s="12">
        <v>45200</v>
      </c>
      <c r="B682" s="13" t="s">
        <v>1320</v>
      </c>
      <c r="C682" s="20">
        <v>45224</v>
      </c>
      <c r="D682" s="13">
        <v>8304702</v>
      </c>
      <c r="E682" s="13" t="s">
        <v>859</v>
      </c>
      <c r="F682" s="13" t="s">
        <v>289</v>
      </c>
      <c r="G682" s="13" t="s">
        <v>192</v>
      </c>
      <c r="H682" s="17">
        <v>5212252</v>
      </c>
      <c r="I682" s="17" t="s">
        <v>23</v>
      </c>
      <c r="J682" s="13" t="s">
        <v>1300</v>
      </c>
      <c r="K682" s="13">
        <v>25</v>
      </c>
      <c r="L682" s="13">
        <v>13</v>
      </c>
      <c r="M682" s="13">
        <f t="shared" si="627"/>
        <v>325</v>
      </c>
      <c r="N682" s="20">
        <v>45224</v>
      </c>
      <c r="O682" s="13" t="s">
        <v>399</v>
      </c>
      <c r="P682" s="13" t="s">
        <v>144</v>
      </c>
      <c r="Q682" s="13" t="s">
        <v>30</v>
      </c>
      <c r="R682" s="13" t="s">
        <v>1224</v>
      </c>
      <c r="S682" s="31">
        <v>231666764285</v>
      </c>
      <c r="T682" s="20">
        <v>45224</v>
      </c>
      <c r="U682" s="123"/>
      <c r="V682" s="13">
        <v>558</v>
      </c>
      <c r="W682" s="29">
        <v>45224.5</v>
      </c>
      <c r="X682" s="29">
        <v>45224.875</v>
      </c>
      <c r="Y682" s="30">
        <f t="shared" si="630"/>
        <v>0.375</v>
      </c>
      <c r="Z682" s="29">
        <v>45224.680555555555</v>
      </c>
      <c r="AA682" s="29">
        <v>45224.875</v>
      </c>
      <c r="AB682" s="30">
        <f t="shared" si="631"/>
        <v>0.19444444444525288</v>
      </c>
    </row>
    <row r="683" spans="1:28" x14ac:dyDescent="0.25">
      <c r="A683" s="12">
        <v>45200</v>
      </c>
      <c r="B683" s="13" t="s">
        <v>1320</v>
      </c>
      <c r="C683" s="20">
        <v>45224</v>
      </c>
      <c r="D683" s="13">
        <v>8304702</v>
      </c>
      <c r="E683" s="13" t="s">
        <v>859</v>
      </c>
      <c r="F683" s="13" t="s">
        <v>289</v>
      </c>
      <c r="G683" s="13" t="s">
        <v>192</v>
      </c>
      <c r="H683" s="17">
        <v>5212252</v>
      </c>
      <c r="I683" s="17" t="s">
        <v>23</v>
      </c>
      <c r="J683" s="13" t="s">
        <v>1305</v>
      </c>
      <c r="K683" s="13">
        <v>25</v>
      </c>
      <c r="L683" s="13">
        <v>421</v>
      </c>
      <c r="M683" s="13">
        <f t="shared" ref="M683:M684" si="632">K683*L683</f>
        <v>10525</v>
      </c>
      <c r="N683" s="20">
        <v>45224</v>
      </c>
      <c r="O683" s="13" t="s">
        <v>399</v>
      </c>
      <c r="P683" s="13" t="s">
        <v>144</v>
      </c>
      <c r="Q683" s="13" t="s">
        <v>30</v>
      </c>
      <c r="R683" s="13" t="s">
        <v>1224</v>
      </c>
      <c r="S683" s="31">
        <v>231666764285</v>
      </c>
      <c r="T683" s="20">
        <v>45224</v>
      </c>
      <c r="U683" s="123"/>
      <c r="V683" s="13">
        <v>558</v>
      </c>
      <c r="W683" s="29">
        <v>45224.5</v>
      </c>
      <c r="X683" s="29">
        <v>45224.875</v>
      </c>
      <c r="Y683" s="30">
        <f t="shared" ref="Y683:Y684" si="633">+X683-W683</f>
        <v>0.375</v>
      </c>
      <c r="Z683" s="29">
        <v>45224.680555555555</v>
      </c>
      <c r="AA683" s="29">
        <v>45224.875</v>
      </c>
      <c r="AB683" s="30">
        <f t="shared" ref="AB683:AB684" si="634">+AA683-Z683</f>
        <v>0.19444444444525288</v>
      </c>
    </row>
    <row r="684" spans="1:28" x14ac:dyDescent="0.25">
      <c r="A684" s="12">
        <v>45200</v>
      </c>
      <c r="B684" s="13" t="s">
        <v>1320</v>
      </c>
      <c r="C684" s="20">
        <v>45224</v>
      </c>
      <c r="D684" s="13">
        <v>8304702</v>
      </c>
      <c r="E684" s="13" t="s">
        <v>859</v>
      </c>
      <c r="F684" s="13" t="s">
        <v>289</v>
      </c>
      <c r="G684" s="13" t="s">
        <v>192</v>
      </c>
      <c r="H684" s="17">
        <v>5212252</v>
      </c>
      <c r="I684" s="17" t="s">
        <v>23</v>
      </c>
      <c r="J684" s="13" t="s">
        <v>1306</v>
      </c>
      <c r="K684" s="13">
        <v>25</v>
      </c>
      <c r="L684" s="13">
        <v>566</v>
      </c>
      <c r="M684" s="13">
        <f t="shared" si="632"/>
        <v>14150</v>
      </c>
      <c r="N684" s="20">
        <v>45224</v>
      </c>
      <c r="O684" s="13" t="s">
        <v>399</v>
      </c>
      <c r="P684" s="13" t="s">
        <v>144</v>
      </c>
      <c r="Q684" s="13" t="s">
        <v>30</v>
      </c>
      <c r="R684" s="13" t="s">
        <v>1224</v>
      </c>
      <c r="S684" s="31">
        <v>231666764285</v>
      </c>
      <c r="T684" s="20">
        <v>45224</v>
      </c>
      <c r="U684" s="123"/>
      <c r="V684" s="13">
        <v>558</v>
      </c>
      <c r="W684" s="29">
        <v>45224.5</v>
      </c>
      <c r="X684" s="29">
        <v>45224.875</v>
      </c>
      <c r="Y684" s="30">
        <f t="shared" si="633"/>
        <v>0.375</v>
      </c>
      <c r="Z684" s="29">
        <v>45224.680555555555</v>
      </c>
      <c r="AA684" s="29">
        <v>45224.875</v>
      </c>
      <c r="AB684" s="30">
        <f t="shared" si="634"/>
        <v>0.19444444444525288</v>
      </c>
    </row>
    <row r="685" spans="1:28" x14ac:dyDescent="0.25">
      <c r="A685" s="12">
        <v>45200</v>
      </c>
      <c r="B685" s="13" t="s">
        <v>1321</v>
      </c>
      <c r="C685" s="20">
        <v>45224</v>
      </c>
      <c r="D685" s="13">
        <v>8227768</v>
      </c>
      <c r="E685" s="13" t="s">
        <v>214</v>
      </c>
      <c r="F685" s="13" t="s">
        <v>215</v>
      </c>
      <c r="G685" s="13" t="s">
        <v>132</v>
      </c>
      <c r="H685" s="17">
        <v>5230874</v>
      </c>
      <c r="I685" s="17" t="s">
        <v>1316</v>
      </c>
      <c r="J685" s="14" t="s">
        <v>1290</v>
      </c>
      <c r="K685" s="13">
        <v>250</v>
      </c>
      <c r="L685" s="13">
        <v>32</v>
      </c>
      <c r="M685" s="13">
        <f t="shared" si="627"/>
        <v>8000</v>
      </c>
      <c r="N685" s="20">
        <v>45224</v>
      </c>
      <c r="O685" s="13" t="s">
        <v>177</v>
      </c>
      <c r="P685" s="13" t="s">
        <v>134</v>
      </c>
      <c r="Q685" s="123">
        <v>2291</v>
      </c>
      <c r="R685" s="13" t="s">
        <v>1322</v>
      </c>
      <c r="S685" s="31">
        <v>8108769621</v>
      </c>
      <c r="T685" s="20">
        <v>45224</v>
      </c>
      <c r="U685" s="123"/>
      <c r="V685" s="13">
        <v>559</v>
      </c>
      <c r="W685" s="29">
        <v>45224.833333333336</v>
      </c>
      <c r="X685" s="29">
        <v>45224.895833333336</v>
      </c>
      <c r="Y685" s="30">
        <f t="shared" si="630"/>
        <v>6.25E-2</v>
      </c>
      <c r="Z685" s="29">
        <v>45224.875</v>
      </c>
      <c r="AA685" s="29">
        <v>45224.895833333336</v>
      </c>
      <c r="AB685" s="30">
        <f t="shared" si="631"/>
        <v>2.0833333335758653E-2</v>
      </c>
    </row>
    <row r="686" spans="1:28" x14ac:dyDescent="0.25">
      <c r="A686" s="12">
        <v>45200</v>
      </c>
      <c r="B686" s="13" t="s">
        <v>1335</v>
      </c>
      <c r="C686" s="20">
        <v>45224</v>
      </c>
      <c r="D686" s="13">
        <v>8108078</v>
      </c>
      <c r="E686" s="13" t="s">
        <v>191</v>
      </c>
      <c r="F686" s="13" t="s">
        <v>135</v>
      </c>
      <c r="G686" s="13" t="s">
        <v>192</v>
      </c>
      <c r="H686" s="17">
        <v>5212252</v>
      </c>
      <c r="I686" s="17" t="s">
        <v>23</v>
      </c>
      <c r="J686" s="13" t="s">
        <v>1166</v>
      </c>
      <c r="K686" s="13">
        <v>25</v>
      </c>
      <c r="L686" s="13">
        <v>5</v>
      </c>
      <c r="M686" s="13">
        <f t="shared" si="627"/>
        <v>125</v>
      </c>
      <c r="N686" s="20">
        <v>45225</v>
      </c>
      <c r="O686" s="13" t="s">
        <v>399</v>
      </c>
      <c r="P686" s="13" t="s">
        <v>144</v>
      </c>
      <c r="Q686" s="13" t="s">
        <v>30</v>
      </c>
      <c r="R686" s="13" t="s">
        <v>1336</v>
      </c>
      <c r="S686" s="31">
        <v>231667175118</v>
      </c>
      <c r="T686" s="20">
        <v>45225</v>
      </c>
      <c r="U686" s="123"/>
      <c r="V686" s="13">
        <v>560</v>
      </c>
      <c r="W686" s="29">
        <v>45225.395833333336</v>
      </c>
      <c r="X686" s="29">
        <v>45225.541666666664</v>
      </c>
      <c r="Y686" s="30">
        <f t="shared" si="630"/>
        <v>0.14583333332848269</v>
      </c>
      <c r="Z686" s="29">
        <v>45225.416666666664</v>
      </c>
      <c r="AA686" s="29">
        <v>45225.541666666664</v>
      </c>
      <c r="AB686" s="30">
        <f t="shared" si="631"/>
        <v>0.125</v>
      </c>
    </row>
    <row r="687" spans="1:28" x14ac:dyDescent="0.25">
      <c r="A687" s="12">
        <v>45200</v>
      </c>
      <c r="B687" s="13" t="s">
        <v>1335</v>
      </c>
      <c r="C687" s="20">
        <v>45224</v>
      </c>
      <c r="D687" s="13">
        <v>8285510</v>
      </c>
      <c r="E687" s="13" t="s">
        <v>191</v>
      </c>
      <c r="F687" s="13" t="s">
        <v>135</v>
      </c>
      <c r="G687" s="13" t="s">
        <v>192</v>
      </c>
      <c r="H687" s="17">
        <v>5212252</v>
      </c>
      <c r="I687" s="17" t="s">
        <v>23</v>
      </c>
      <c r="J687" s="13" t="s">
        <v>1299</v>
      </c>
      <c r="K687" s="13">
        <v>25</v>
      </c>
      <c r="L687" s="13">
        <v>1195</v>
      </c>
      <c r="M687" s="13">
        <f t="shared" si="627"/>
        <v>29875</v>
      </c>
      <c r="N687" s="20">
        <v>45225</v>
      </c>
      <c r="O687" s="13" t="s">
        <v>399</v>
      </c>
      <c r="P687" s="13" t="s">
        <v>144</v>
      </c>
      <c r="Q687" s="13" t="s">
        <v>30</v>
      </c>
      <c r="R687" s="13" t="s">
        <v>1336</v>
      </c>
      <c r="S687" s="31">
        <v>231667175118</v>
      </c>
      <c r="T687" s="20">
        <v>45225</v>
      </c>
      <c r="U687" s="123"/>
      <c r="V687" s="13">
        <v>560</v>
      </c>
      <c r="W687" s="29">
        <v>45225.395833333336</v>
      </c>
      <c r="X687" s="29">
        <v>45225.541666666664</v>
      </c>
      <c r="Y687" s="30">
        <f t="shared" ref="Y687" si="635">+X687-W687</f>
        <v>0.14583333332848269</v>
      </c>
      <c r="Z687" s="29">
        <v>45225.416666666664</v>
      </c>
      <c r="AA687" s="29">
        <v>45225.541666666664</v>
      </c>
      <c r="AB687" s="30">
        <f t="shared" ref="AB687" si="636">+AA687-Z687</f>
        <v>0.125</v>
      </c>
    </row>
    <row r="688" spans="1:28" x14ac:dyDescent="0.25">
      <c r="A688" s="12">
        <v>45200</v>
      </c>
      <c r="B688" s="13" t="s">
        <v>1337</v>
      </c>
      <c r="C688" s="20">
        <v>45225</v>
      </c>
      <c r="D688" s="13">
        <v>7954913</v>
      </c>
      <c r="E688" s="13" t="s">
        <v>267</v>
      </c>
      <c r="F688" s="13" t="s">
        <v>268</v>
      </c>
      <c r="G688" s="13" t="s">
        <v>132</v>
      </c>
      <c r="H688" s="17">
        <v>5230831</v>
      </c>
      <c r="I688" s="17" t="s">
        <v>35</v>
      </c>
      <c r="J688" s="14" t="s">
        <v>1187</v>
      </c>
      <c r="K688" s="13">
        <v>240</v>
      </c>
      <c r="L688" s="13">
        <v>40</v>
      </c>
      <c r="M688" s="13">
        <f t="shared" si="627"/>
        <v>9600</v>
      </c>
      <c r="N688" s="20">
        <v>45225</v>
      </c>
      <c r="O688" s="13" t="s">
        <v>136</v>
      </c>
      <c r="P688" s="13" t="s">
        <v>144</v>
      </c>
      <c r="Q688" s="123">
        <v>6662</v>
      </c>
      <c r="R688" s="13" t="s">
        <v>1338</v>
      </c>
      <c r="S688" s="31">
        <v>271667265990</v>
      </c>
      <c r="T688" s="20">
        <v>45225</v>
      </c>
      <c r="U688" s="123"/>
      <c r="V688" s="13">
        <v>561</v>
      </c>
      <c r="W688" s="29">
        <v>45225.583333333336</v>
      </c>
      <c r="X688" s="29">
        <v>45225.652777777781</v>
      </c>
      <c r="Y688" s="30">
        <f t="shared" si="630"/>
        <v>6.9444444445252884E-2</v>
      </c>
      <c r="Z688" s="29">
        <v>45225.611111111109</v>
      </c>
      <c r="AA688" s="29">
        <v>45225.652777777781</v>
      </c>
      <c r="AB688" s="30">
        <f t="shared" si="631"/>
        <v>4.1666666671517305E-2</v>
      </c>
    </row>
    <row r="689" spans="1:28" x14ac:dyDescent="0.25">
      <c r="A689" s="12">
        <v>45200</v>
      </c>
      <c r="B689" s="13" t="s">
        <v>1339</v>
      </c>
      <c r="C689" s="20">
        <v>45225</v>
      </c>
      <c r="D689" s="13">
        <v>8285510</v>
      </c>
      <c r="E689" s="13" t="s">
        <v>859</v>
      </c>
      <c r="F689" s="13" t="s">
        <v>289</v>
      </c>
      <c r="G689" s="13" t="s">
        <v>192</v>
      </c>
      <c r="H689" s="17">
        <v>5212252</v>
      </c>
      <c r="I689" s="17" t="s">
        <v>23</v>
      </c>
      <c r="J689" s="13" t="s">
        <v>1299</v>
      </c>
      <c r="K689" s="13">
        <v>25</v>
      </c>
      <c r="L689" s="13">
        <v>245</v>
      </c>
      <c r="M689" s="13">
        <f t="shared" si="627"/>
        <v>6125</v>
      </c>
      <c r="N689" s="20">
        <v>45225</v>
      </c>
      <c r="O689" s="13" t="s">
        <v>133</v>
      </c>
      <c r="P689" s="13" t="s">
        <v>144</v>
      </c>
      <c r="Q689" s="13" t="s">
        <v>30</v>
      </c>
      <c r="R689" s="13" t="s">
        <v>1340</v>
      </c>
      <c r="S689" s="31">
        <v>201667470944</v>
      </c>
      <c r="T689" s="20">
        <v>45225</v>
      </c>
      <c r="U689" s="123"/>
      <c r="V689" s="13">
        <v>562</v>
      </c>
      <c r="W689" s="29">
        <v>45225.597222222219</v>
      </c>
      <c r="X689" s="29">
        <v>45225.6875</v>
      </c>
      <c r="Y689" s="30">
        <f t="shared" si="630"/>
        <v>9.0277777781011537E-2</v>
      </c>
      <c r="Z689" s="29">
        <v>45225.659722222219</v>
      </c>
      <c r="AA689" s="29">
        <v>45225.6875</v>
      </c>
      <c r="AB689" s="30">
        <f t="shared" si="631"/>
        <v>2.7777777781011537E-2</v>
      </c>
    </row>
    <row r="690" spans="1:28" x14ac:dyDescent="0.25">
      <c r="A690" s="12">
        <v>45200</v>
      </c>
      <c r="B690" s="13" t="s">
        <v>1339</v>
      </c>
      <c r="C690" s="20">
        <v>45225</v>
      </c>
      <c r="D690" s="13">
        <v>8285510</v>
      </c>
      <c r="E690" s="13" t="s">
        <v>859</v>
      </c>
      <c r="F690" s="13" t="s">
        <v>289</v>
      </c>
      <c r="G690" s="13" t="s">
        <v>192</v>
      </c>
      <c r="H690" s="17">
        <v>5212252</v>
      </c>
      <c r="I690" s="17" t="s">
        <v>23</v>
      </c>
      <c r="J690" s="13" t="s">
        <v>1301</v>
      </c>
      <c r="K690" s="13">
        <v>25</v>
      </c>
      <c r="L690" s="13">
        <v>235</v>
      </c>
      <c r="M690" s="13">
        <f t="shared" si="627"/>
        <v>5875</v>
      </c>
      <c r="N690" s="20">
        <v>45225</v>
      </c>
      <c r="O690" s="13" t="s">
        <v>133</v>
      </c>
      <c r="P690" s="13" t="s">
        <v>144</v>
      </c>
      <c r="Q690" s="13" t="s">
        <v>30</v>
      </c>
      <c r="R690" s="13" t="s">
        <v>1340</v>
      </c>
      <c r="S690" s="31">
        <v>201667470944</v>
      </c>
      <c r="T690" s="20">
        <v>45225</v>
      </c>
      <c r="U690" s="123"/>
      <c r="V690" s="13">
        <v>562</v>
      </c>
      <c r="W690" s="29">
        <v>45225.597222222219</v>
      </c>
      <c r="X690" s="29">
        <v>45225.6875</v>
      </c>
      <c r="Y690" s="30">
        <f t="shared" ref="Y690" si="637">+X690-W690</f>
        <v>9.0277777781011537E-2</v>
      </c>
      <c r="Z690" s="29">
        <v>45225.659722222219</v>
      </c>
      <c r="AA690" s="29">
        <v>45225.6875</v>
      </c>
      <c r="AB690" s="30">
        <f t="shared" ref="AB690" si="638">+AA690-Z690</f>
        <v>2.7777777781011537E-2</v>
      </c>
    </row>
    <row r="691" spans="1:28" x14ac:dyDescent="0.25">
      <c r="A691" s="12">
        <v>45200</v>
      </c>
      <c r="B691" s="13" t="s">
        <v>1341</v>
      </c>
      <c r="C691" s="20">
        <v>45224</v>
      </c>
      <c r="D691" s="13">
        <v>7959321</v>
      </c>
      <c r="E691" s="13" t="s">
        <v>795</v>
      </c>
      <c r="F691" s="13" t="s">
        <v>407</v>
      </c>
      <c r="G691" s="13" t="s">
        <v>192</v>
      </c>
      <c r="H691" s="17">
        <v>5212256</v>
      </c>
      <c r="I691" s="17" t="s">
        <v>22</v>
      </c>
      <c r="J691" s="13" t="s">
        <v>1134</v>
      </c>
      <c r="K691" s="13">
        <v>25</v>
      </c>
      <c r="L691" s="13">
        <v>400</v>
      </c>
      <c r="M691" s="13">
        <f t="shared" si="627"/>
        <v>10000</v>
      </c>
      <c r="N691" s="20">
        <v>45225</v>
      </c>
      <c r="O691" s="13" t="s">
        <v>136</v>
      </c>
      <c r="P691" s="13" t="s">
        <v>134</v>
      </c>
      <c r="Q691" s="123">
        <v>2292</v>
      </c>
      <c r="R691" s="13" t="s">
        <v>1342</v>
      </c>
      <c r="S691" s="31">
        <v>231667477535</v>
      </c>
      <c r="T691" s="20">
        <v>45225</v>
      </c>
      <c r="U691" s="123"/>
      <c r="V691" s="13">
        <v>563</v>
      </c>
      <c r="W691" s="29">
        <v>45225.625</v>
      </c>
      <c r="X691" s="29">
        <v>45225.75</v>
      </c>
      <c r="Y691" s="30">
        <f t="shared" si="630"/>
        <v>0.125</v>
      </c>
      <c r="Z691" s="29">
        <v>45225.666666666664</v>
      </c>
      <c r="AA691" s="29">
        <v>45225.75</v>
      </c>
      <c r="AB691" s="30">
        <f t="shared" si="631"/>
        <v>8.3333333335758653E-2</v>
      </c>
    </row>
    <row r="692" spans="1:28" x14ac:dyDescent="0.25">
      <c r="A692" s="12">
        <v>45200</v>
      </c>
      <c r="B692" s="13" t="s">
        <v>1343</v>
      </c>
      <c r="C692" s="20">
        <v>45225</v>
      </c>
      <c r="D692" s="13">
        <v>8285510</v>
      </c>
      <c r="E692" s="13" t="s">
        <v>795</v>
      </c>
      <c r="F692" s="13" t="s">
        <v>407</v>
      </c>
      <c r="G692" s="13" t="s">
        <v>192</v>
      </c>
      <c r="H692" s="17">
        <v>5212252</v>
      </c>
      <c r="I692" s="17" t="s">
        <v>23</v>
      </c>
      <c r="J692" s="13" t="s">
        <v>1300</v>
      </c>
      <c r="K692" s="13">
        <v>25</v>
      </c>
      <c r="L692" s="13">
        <v>395</v>
      </c>
      <c r="M692" s="13">
        <f t="shared" si="627"/>
        <v>9875</v>
      </c>
      <c r="N692" s="20">
        <v>45225</v>
      </c>
      <c r="O692" s="13" t="s">
        <v>136</v>
      </c>
      <c r="P692" s="13" t="s">
        <v>134</v>
      </c>
      <c r="Q692" s="123">
        <v>2292</v>
      </c>
      <c r="R692" s="13" t="s">
        <v>1342</v>
      </c>
      <c r="S692" s="31">
        <v>211667474655</v>
      </c>
      <c r="T692" s="20">
        <v>45225</v>
      </c>
      <c r="U692" s="123"/>
      <c r="V692" s="13">
        <v>563</v>
      </c>
      <c r="W692" s="29">
        <v>45225.625</v>
      </c>
      <c r="X692" s="29">
        <v>45225.75</v>
      </c>
      <c r="Y692" s="30">
        <f t="shared" ref="Y692" si="639">+X692-W692</f>
        <v>0.125</v>
      </c>
      <c r="Z692" s="29">
        <v>45225.666666666664</v>
      </c>
      <c r="AA692" s="29">
        <v>45225.75</v>
      </c>
      <c r="AB692" s="30">
        <f t="shared" ref="AB692" si="640">+AA692-Z692</f>
        <v>8.3333333335758653E-2</v>
      </c>
    </row>
    <row r="693" spans="1:28" x14ac:dyDescent="0.25">
      <c r="A693" s="12">
        <v>45200</v>
      </c>
      <c r="B693" s="13" t="s">
        <v>1343</v>
      </c>
      <c r="C693" s="20">
        <v>45225</v>
      </c>
      <c r="D693" s="13">
        <v>8285510</v>
      </c>
      <c r="E693" s="13" t="s">
        <v>795</v>
      </c>
      <c r="F693" s="13" t="s">
        <v>407</v>
      </c>
      <c r="G693" s="13" t="s">
        <v>192</v>
      </c>
      <c r="H693" s="17">
        <v>5212252</v>
      </c>
      <c r="I693" s="17" t="s">
        <v>23</v>
      </c>
      <c r="J693" s="13" t="s">
        <v>1301</v>
      </c>
      <c r="K693" s="13">
        <v>25</v>
      </c>
      <c r="L693" s="13">
        <v>5</v>
      </c>
      <c r="M693" s="13">
        <f t="shared" si="627"/>
        <v>125</v>
      </c>
      <c r="N693" s="20">
        <v>45225</v>
      </c>
      <c r="O693" s="13" t="s">
        <v>136</v>
      </c>
      <c r="P693" s="13" t="s">
        <v>134</v>
      </c>
      <c r="Q693" s="123">
        <v>2292</v>
      </c>
      <c r="R693" s="13" t="s">
        <v>1342</v>
      </c>
      <c r="S693" s="31">
        <v>211667474655</v>
      </c>
      <c r="T693" s="20">
        <v>45225</v>
      </c>
      <c r="U693" s="123"/>
      <c r="V693" s="13">
        <v>563</v>
      </c>
      <c r="W693" s="29">
        <v>45225.625</v>
      </c>
      <c r="X693" s="29">
        <v>45225.75</v>
      </c>
      <c r="Y693" s="30">
        <f t="shared" ref="Y693:Y701" si="641">+X693-W693</f>
        <v>0.125</v>
      </c>
      <c r="Z693" s="29">
        <v>45225.666666666664</v>
      </c>
      <c r="AA693" s="29">
        <v>45225.75</v>
      </c>
      <c r="AB693" s="30">
        <f t="shared" ref="AB693:AB701" si="642">+AA693-Z693</f>
        <v>8.3333333335758653E-2</v>
      </c>
    </row>
    <row r="694" spans="1:28" x14ac:dyDescent="0.25">
      <c r="A694" s="12">
        <v>45200</v>
      </c>
      <c r="B694" s="123" t="s">
        <v>1350</v>
      </c>
      <c r="C694" s="20">
        <v>45226</v>
      </c>
      <c r="D694" s="13">
        <v>7954913</v>
      </c>
      <c r="E694" s="13" t="s">
        <v>624</v>
      </c>
      <c r="F694" s="13" t="s">
        <v>625</v>
      </c>
      <c r="G694" s="13" t="s">
        <v>132</v>
      </c>
      <c r="H694" s="17">
        <v>5230831</v>
      </c>
      <c r="I694" s="17" t="s">
        <v>35</v>
      </c>
      <c r="J694" s="14" t="s">
        <v>1187</v>
      </c>
      <c r="K694" s="13">
        <v>240</v>
      </c>
      <c r="L694" s="13">
        <v>32</v>
      </c>
      <c r="M694" s="13">
        <f t="shared" si="627"/>
        <v>7680</v>
      </c>
      <c r="N694" s="20">
        <v>45226</v>
      </c>
      <c r="O694" s="13" t="s">
        <v>589</v>
      </c>
      <c r="P694" s="13" t="s">
        <v>134</v>
      </c>
      <c r="Q694" s="13">
        <v>2293</v>
      </c>
      <c r="R694" s="13" t="s">
        <v>1351</v>
      </c>
      <c r="S694" s="31">
        <v>241667992099</v>
      </c>
      <c r="T694" s="20">
        <v>45226</v>
      </c>
      <c r="U694" s="123"/>
      <c r="V694" s="13">
        <v>564</v>
      </c>
      <c r="W694" s="29">
        <v>45226.652777777781</v>
      </c>
      <c r="X694" s="29">
        <v>45226.701388888891</v>
      </c>
      <c r="Y694" s="30">
        <f t="shared" si="641"/>
        <v>4.8611111109494232E-2</v>
      </c>
      <c r="Z694" s="29">
        <v>45226.666666666664</v>
      </c>
      <c r="AA694" s="29">
        <v>45226.6875</v>
      </c>
      <c r="AB694" s="30">
        <f t="shared" si="642"/>
        <v>2.0833333335758653E-2</v>
      </c>
    </row>
    <row r="695" spans="1:28" x14ac:dyDescent="0.25">
      <c r="A695" s="12">
        <v>45200</v>
      </c>
      <c r="B695" s="13" t="s">
        <v>1356</v>
      </c>
      <c r="C695" s="20">
        <v>45226</v>
      </c>
      <c r="D695" s="13">
        <v>8224388</v>
      </c>
      <c r="E695" s="13" t="s">
        <v>523</v>
      </c>
      <c r="F695" s="13" t="s">
        <v>524</v>
      </c>
      <c r="G695" s="13" t="s">
        <v>192</v>
      </c>
      <c r="H695" s="17">
        <v>5212256</v>
      </c>
      <c r="I695" s="17" t="s">
        <v>22</v>
      </c>
      <c r="J695" s="13" t="s">
        <v>1326</v>
      </c>
      <c r="K695" s="13">
        <v>25</v>
      </c>
      <c r="L695" s="13">
        <v>104</v>
      </c>
      <c r="M695" s="13">
        <f t="shared" si="627"/>
        <v>2600</v>
      </c>
      <c r="N695" s="20">
        <v>45227</v>
      </c>
      <c r="O695" s="13" t="s">
        <v>136</v>
      </c>
      <c r="P695" s="13" t="s">
        <v>134</v>
      </c>
      <c r="Q695" s="13">
        <v>2294</v>
      </c>
      <c r="R695" s="13" t="s">
        <v>1357</v>
      </c>
      <c r="S695" s="31">
        <v>221668429420</v>
      </c>
      <c r="T695" s="20">
        <v>45227</v>
      </c>
      <c r="U695" s="123"/>
      <c r="V695" s="13">
        <v>565</v>
      </c>
      <c r="W695" s="29">
        <v>45227.5</v>
      </c>
      <c r="X695" s="29">
        <v>45227.604166666664</v>
      </c>
      <c r="Y695" s="30">
        <f t="shared" si="641"/>
        <v>0.10416666666424135</v>
      </c>
      <c r="Z695" s="29">
        <v>45227.510416666664</v>
      </c>
      <c r="AA695" s="29">
        <v>45227.597222222219</v>
      </c>
      <c r="AB695" s="30">
        <f t="shared" si="642"/>
        <v>8.6805555554747116E-2</v>
      </c>
    </row>
    <row r="696" spans="1:28" x14ac:dyDescent="0.25">
      <c r="A696" s="12">
        <v>45200</v>
      </c>
      <c r="B696" s="13" t="s">
        <v>1356</v>
      </c>
      <c r="C696" s="20">
        <v>45226</v>
      </c>
      <c r="D696" s="13">
        <v>8224388</v>
      </c>
      <c r="E696" s="13" t="s">
        <v>523</v>
      </c>
      <c r="F696" s="13" t="s">
        <v>524</v>
      </c>
      <c r="G696" s="13" t="s">
        <v>192</v>
      </c>
      <c r="H696" s="17">
        <v>5212256</v>
      </c>
      <c r="I696" s="17" t="s">
        <v>22</v>
      </c>
      <c r="J696" s="13" t="s">
        <v>1327</v>
      </c>
      <c r="K696" s="13">
        <v>25</v>
      </c>
      <c r="L696" s="13">
        <v>252</v>
      </c>
      <c r="M696" s="13">
        <f t="shared" si="627"/>
        <v>6300</v>
      </c>
      <c r="N696" s="20">
        <v>45227</v>
      </c>
      <c r="O696" s="13" t="s">
        <v>136</v>
      </c>
      <c r="P696" s="13" t="s">
        <v>134</v>
      </c>
      <c r="Q696" s="13">
        <v>2294</v>
      </c>
      <c r="R696" s="13" t="s">
        <v>1357</v>
      </c>
      <c r="S696" s="31">
        <v>221668429420</v>
      </c>
      <c r="T696" s="20">
        <v>45227</v>
      </c>
      <c r="U696" s="123"/>
      <c r="V696" s="13">
        <v>565</v>
      </c>
      <c r="W696" s="29">
        <v>45227.5</v>
      </c>
      <c r="X696" s="29">
        <v>45227.604166666664</v>
      </c>
      <c r="Y696" s="30">
        <f t="shared" ref="Y696:Y697" si="643">+X696-W696</f>
        <v>0.10416666666424135</v>
      </c>
      <c r="Z696" s="29">
        <v>45227.510416666664</v>
      </c>
      <c r="AA696" s="29">
        <v>45227.597222222219</v>
      </c>
      <c r="AB696" s="30">
        <f t="shared" ref="AB696:AB697" si="644">+AA696-Z696</f>
        <v>8.6805555554747116E-2</v>
      </c>
    </row>
    <row r="697" spans="1:28" x14ac:dyDescent="0.25">
      <c r="A697" s="12">
        <v>45200</v>
      </c>
      <c r="B697" s="13" t="s">
        <v>1356</v>
      </c>
      <c r="C697" s="20">
        <v>45226</v>
      </c>
      <c r="D697" s="13">
        <v>8224388</v>
      </c>
      <c r="E697" s="13" t="s">
        <v>523</v>
      </c>
      <c r="F697" s="13" t="s">
        <v>524</v>
      </c>
      <c r="G697" s="13" t="s">
        <v>192</v>
      </c>
      <c r="H697" s="17">
        <v>5212256</v>
      </c>
      <c r="I697" s="17" t="s">
        <v>22</v>
      </c>
      <c r="J697" s="13" t="s">
        <v>1134</v>
      </c>
      <c r="K697" s="13">
        <v>25</v>
      </c>
      <c r="L697" s="13">
        <v>44</v>
      </c>
      <c r="M697" s="13">
        <f t="shared" si="627"/>
        <v>1100</v>
      </c>
      <c r="N697" s="20">
        <v>45227</v>
      </c>
      <c r="O697" s="13" t="s">
        <v>136</v>
      </c>
      <c r="P697" s="13" t="s">
        <v>134</v>
      </c>
      <c r="Q697" s="13">
        <v>2294</v>
      </c>
      <c r="R697" s="13" t="s">
        <v>1357</v>
      </c>
      <c r="S697" s="31">
        <v>221668429420</v>
      </c>
      <c r="T697" s="20">
        <v>45227</v>
      </c>
      <c r="U697" s="123"/>
      <c r="V697" s="13">
        <v>565</v>
      </c>
      <c r="W697" s="29">
        <v>45227.5</v>
      </c>
      <c r="X697" s="29">
        <v>45227.604166666664</v>
      </c>
      <c r="Y697" s="30">
        <f t="shared" si="643"/>
        <v>0.10416666666424135</v>
      </c>
      <c r="Z697" s="29">
        <v>45227.510416666664</v>
      </c>
      <c r="AA697" s="29">
        <v>45227.597222222219</v>
      </c>
      <c r="AB697" s="30">
        <f t="shared" si="644"/>
        <v>8.6805555554747116E-2</v>
      </c>
    </row>
    <row r="698" spans="1:28" x14ac:dyDescent="0.25">
      <c r="A698" s="12">
        <v>45200</v>
      </c>
      <c r="B698" s="13" t="s">
        <v>1358</v>
      </c>
      <c r="C698" s="20">
        <v>45227</v>
      </c>
      <c r="D698" s="13">
        <v>7911186</v>
      </c>
      <c r="E698" s="13" t="s">
        <v>1025</v>
      </c>
      <c r="F698" s="13" t="s">
        <v>453</v>
      </c>
      <c r="G698" s="13" t="s">
        <v>132</v>
      </c>
      <c r="H698" s="17">
        <v>5215404</v>
      </c>
      <c r="I698" s="17" t="s">
        <v>1284</v>
      </c>
      <c r="J698" s="14" t="s">
        <v>1105</v>
      </c>
      <c r="K698" s="13">
        <v>180</v>
      </c>
      <c r="L698" s="13">
        <v>30</v>
      </c>
      <c r="M698" s="13">
        <f t="shared" si="627"/>
        <v>5400</v>
      </c>
      <c r="N698" s="20">
        <v>45227</v>
      </c>
      <c r="O698" s="13" t="s">
        <v>298</v>
      </c>
      <c r="P698" s="13" t="s">
        <v>144</v>
      </c>
      <c r="Q698" s="13" t="s">
        <v>30</v>
      </c>
      <c r="R698" s="13" t="s">
        <v>1053</v>
      </c>
      <c r="S698" s="31">
        <v>291668446347</v>
      </c>
      <c r="T698" s="20">
        <v>45227</v>
      </c>
      <c r="U698" s="123"/>
      <c r="V698" s="13">
        <v>566</v>
      </c>
      <c r="W698" s="29">
        <v>45227.583333333336</v>
      </c>
      <c r="X698" s="29">
        <v>45227.659722222219</v>
      </c>
      <c r="Y698" s="30">
        <f t="shared" si="641"/>
        <v>7.6388888883229811E-2</v>
      </c>
      <c r="Z698" s="29">
        <v>45227.645833333336</v>
      </c>
      <c r="AA698" s="29">
        <v>45227.659722222219</v>
      </c>
      <c r="AB698" s="30">
        <f t="shared" si="642"/>
        <v>1.3888888883229811E-2</v>
      </c>
    </row>
    <row r="699" spans="1:28" x14ac:dyDescent="0.25">
      <c r="A699" s="12">
        <v>45200</v>
      </c>
      <c r="B699" s="13" t="s">
        <v>1361</v>
      </c>
      <c r="C699" s="20">
        <v>45227</v>
      </c>
      <c r="D699" s="13">
        <v>7954913</v>
      </c>
      <c r="E699" s="13" t="s">
        <v>1131</v>
      </c>
      <c r="F699" s="13" t="s">
        <v>215</v>
      </c>
      <c r="G699" s="13" t="s">
        <v>132</v>
      </c>
      <c r="H699" s="17">
        <v>5230831</v>
      </c>
      <c r="I699" s="17" t="s">
        <v>35</v>
      </c>
      <c r="J699" s="14" t="s">
        <v>1187</v>
      </c>
      <c r="K699" s="13">
        <v>240</v>
      </c>
      <c r="L699" s="13">
        <v>30</v>
      </c>
      <c r="M699" s="13">
        <f t="shared" si="627"/>
        <v>7200</v>
      </c>
      <c r="N699" s="20">
        <v>45227</v>
      </c>
      <c r="O699" s="13" t="s">
        <v>136</v>
      </c>
      <c r="P699" s="13" t="s">
        <v>144</v>
      </c>
      <c r="Q699" s="13" t="s">
        <v>30</v>
      </c>
      <c r="R699" s="13" t="s">
        <v>827</v>
      </c>
      <c r="S699" s="31">
        <v>261668705153</v>
      </c>
      <c r="T699" s="20">
        <v>45227</v>
      </c>
      <c r="U699" s="123"/>
      <c r="V699" s="13">
        <v>567</v>
      </c>
      <c r="W699" s="29">
        <v>45227.645833333336</v>
      </c>
      <c r="X699" s="29">
        <v>45227.875</v>
      </c>
      <c r="Y699" s="30">
        <f t="shared" si="641"/>
        <v>0.22916666666424135</v>
      </c>
      <c r="Z699" s="29">
        <v>45227.847222222219</v>
      </c>
      <c r="AA699" s="29">
        <v>45227.875</v>
      </c>
      <c r="AB699" s="30">
        <f t="shared" si="642"/>
        <v>2.7777777781011537E-2</v>
      </c>
    </row>
    <row r="700" spans="1:28" x14ac:dyDescent="0.25">
      <c r="A700" s="12">
        <v>45200</v>
      </c>
      <c r="B700" s="13" t="s">
        <v>1361</v>
      </c>
      <c r="C700" s="20">
        <v>45227</v>
      </c>
      <c r="D700" s="13">
        <v>8262234</v>
      </c>
      <c r="E700" s="13" t="s">
        <v>1131</v>
      </c>
      <c r="F700" s="13" t="s">
        <v>215</v>
      </c>
      <c r="G700" s="13" t="s">
        <v>132</v>
      </c>
      <c r="H700" s="17">
        <v>5230831</v>
      </c>
      <c r="I700" s="17" t="s">
        <v>35</v>
      </c>
      <c r="J700" s="14" t="s">
        <v>1232</v>
      </c>
      <c r="K700" s="13">
        <v>240</v>
      </c>
      <c r="L700" s="13">
        <v>10</v>
      </c>
      <c r="M700" s="13">
        <f t="shared" si="627"/>
        <v>2400</v>
      </c>
      <c r="N700" s="20">
        <v>45227</v>
      </c>
      <c r="O700" s="13" t="s">
        <v>136</v>
      </c>
      <c r="P700" s="13" t="s">
        <v>144</v>
      </c>
      <c r="Q700" s="13" t="s">
        <v>30</v>
      </c>
      <c r="R700" s="13" t="s">
        <v>827</v>
      </c>
      <c r="S700" s="31">
        <v>261668705153</v>
      </c>
      <c r="T700" s="20">
        <v>45227</v>
      </c>
      <c r="U700" s="123"/>
      <c r="V700" s="13">
        <v>567</v>
      </c>
      <c r="W700" s="29">
        <v>45227.645833333336</v>
      </c>
      <c r="X700" s="29">
        <v>45227.875</v>
      </c>
      <c r="Y700" s="30">
        <f t="shared" ref="Y700" si="645">+X700-W700</f>
        <v>0.22916666666424135</v>
      </c>
      <c r="Z700" s="29">
        <v>45227.847222222219</v>
      </c>
      <c r="AA700" s="29">
        <v>45227.875</v>
      </c>
      <c r="AB700" s="30">
        <f t="shared" ref="AB700" si="646">+AA700-Z700</f>
        <v>2.7777777781011537E-2</v>
      </c>
    </row>
    <row r="701" spans="1:28" x14ac:dyDescent="0.25">
      <c r="A701" s="12">
        <v>45200</v>
      </c>
      <c r="B701" s="123" t="s">
        <v>1362</v>
      </c>
      <c r="C701" s="20">
        <v>45227</v>
      </c>
      <c r="D701" s="13">
        <v>8231129</v>
      </c>
      <c r="E701" s="13" t="s">
        <v>214</v>
      </c>
      <c r="F701" s="13" t="s">
        <v>215</v>
      </c>
      <c r="G701" s="13" t="s">
        <v>132</v>
      </c>
      <c r="H701" s="17">
        <v>5230874</v>
      </c>
      <c r="I701" s="17" t="s">
        <v>1316</v>
      </c>
      <c r="J701" s="14" t="s">
        <v>1290</v>
      </c>
      <c r="K701" s="13">
        <v>250</v>
      </c>
      <c r="L701" s="13">
        <v>16</v>
      </c>
      <c r="M701" s="13">
        <f t="shared" si="627"/>
        <v>4000</v>
      </c>
      <c r="N701" s="20">
        <v>45227</v>
      </c>
      <c r="O701" s="13" t="s">
        <v>136</v>
      </c>
      <c r="P701" s="13" t="s">
        <v>134</v>
      </c>
      <c r="Q701" s="13">
        <v>2295</v>
      </c>
      <c r="R701" s="13" t="s">
        <v>1363</v>
      </c>
      <c r="S701" s="31">
        <v>231668700485</v>
      </c>
      <c r="T701" s="20">
        <v>45227</v>
      </c>
      <c r="U701" s="123"/>
      <c r="V701" s="13">
        <v>568</v>
      </c>
      <c r="W701" s="29">
        <v>45227.78125</v>
      </c>
      <c r="X701" s="29">
        <v>45227.916666666664</v>
      </c>
      <c r="Y701" s="30">
        <f t="shared" si="641"/>
        <v>0.13541666666424135</v>
      </c>
      <c r="Z701" s="29">
        <v>45227.875</v>
      </c>
      <c r="AA701" s="29">
        <v>45227.888888888891</v>
      </c>
      <c r="AB701" s="30">
        <f t="shared" si="642"/>
        <v>1.3888888890505768E-2</v>
      </c>
    </row>
    <row r="702" spans="1:28" x14ac:dyDescent="0.25">
      <c r="A702" s="12">
        <v>45200</v>
      </c>
      <c r="B702" s="123" t="s">
        <v>1362</v>
      </c>
      <c r="C702" s="20">
        <v>45227</v>
      </c>
      <c r="D702" s="13">
        <v>8227768</v>
      </c>
      <c r="E702" s="13" t="s">
        <v>214</v>
      </c>
      <c r="F702" s="13" t="s">
        <v>215</v>
      </c>
      <c r="G702" s="13" t="s">
        <v>132</v>
      </c>
      <c r="H702" s="17">
        <v>5230874</v>
      </c>
      <c r="I702" s="17" t="s">
        <v>1316</v>
      </c>
      <c r="J702" s="14" t="s">
        <v>1307</v>
      </c>
      <c r="K702" s="13">
        <v>250</v>
      </c>
      <c r="L702" s="13">
        <v>16</v>
      </c>
      <c r="M702" s="13">
        <f t="shared" si="627"/>
        <v>4000</v>
      </c>
      <c r="N702" s="20">
        <v>45227</v>
      </c>
      <c r="O702" s="13" t="s">
        <v>136</v>
      </c>
      <c r="P702" s="13" t="s">
        <v>134</v>
      </c>
      <c r="Q702" s="13">
        <v>2295</v>
      </c>
      <c r="R702" s="13" t="s">
        <v>1363</v>
      </c>
      <c r="S702" s="31">
        <v>231668700485</v>
      </c>
      <c r="T702" s="20">
        <v>45227</v>
      </c>
      <c r="U702" s="123"/>
      <c r="V702" s="13">
        <v>568</v>
      </c>
      <c r="W702" s="29">
        <v>45227.78125</v>
      </c>
      <c r="X702" s="29">
        <v>45227.916666666664</v>
      </c>
      <c r="Y702" s="30">
        <f t="shared" ref="Y702" si="647">+X702-W702</f>
        <v>0.13541666666424135</v>
      </c>
      <c r="Z702" s="29">
        <v>45227.875</v>
      </c>
      <c r="AA702" s="29">
        <v>45227.888888888891</v>
      </c>
      <c r="AB702" s="30">
        <f t="shared" ref="AB702" si="648">+AA702-Z702</f>
        <v>1.3888888890505768E-2</v>
      </c>
    </row>
    <row r="703" spans="1:28" x14ac:dyDescent="0.25">
      <c r="A703" s="12">
        <v>45200</v>
      </c>
      <c r="B703" s="13" t="s">
        <v>1382</v>
      </c>
      <c r="C703" s="46">
        <v>45229</v>
      </c>
      <c r="D703" s="13">
        <v>7071414</v>
      </c>
      <c r="E703" s="13" t="s">
        <v>395</v>
      </c>
      <c r="F703" s="13" t="s">
        <v>240</v>
      </c>
      <c r="G703" s="13" t="s">
        <v>192</v>
      </c>
      <c r="H703" s="17">
        <v>5210162</v>
      </c>
      <c r="I703" s="17" t="s">
        <v>24</v>
      </c>
      <c r="J703" s="14" t="s">
        <v>770</v>
      </c>
      <c r="K703" s="13">
        <v>25</v>
      </c>
      <c r="L703" s="13">
        <v>80</v>
      </c>
      <c r="M703" s="13">
        <f t="shared" si="627"/>
        <v>2000</v>
      </c>
      <c r="N703" s="46">
        <v>45229</v>
      </c>
      <c r="O703" s="13" t="s">
        <v>555</v>
      </c>
      <c r="P703" s="13" t="s">
        <v>144</v>
      </c>
      <c r="Q703" s="53"/>
      <c r="R703" s="13" t="s">
        <v>1383</v>
      </c>
      <c r="S703" s="31">
        <v>241669463241</v>
      </c>
      <c r="T703" s="46">
        <v>45229</v>
      </c>
      <c r="U703" s="53"/>
      <c r="V703" s="13">
        <v>569</v>
      </c>
      <c r="W703" s="29">
        <v>45229.611111111109</v>
      </c>
      <c r="X703" s="29">
        <v>45229.621527777781</v>
      </c>
      <c r="Y703" s="30">
        <f t="shared" ref="Y703:Y704" si="649">+X703-W703</f>
        <v>1.0416666671517305E-2</v>
      </c>
      <c r="Z703" s="29">
        <v>45229.604166666664</v>
      </c>
      <c r="AA703" s="29">
        <v>45229.631944444445</v>
      </c>
      <c r="AB703" s="30">
        <f t="shared" ref="AB703:AB704" si="650">+AA703-Z703</f>
        <v>2.7777777781011537E-2</v>
      </c>
    </row>
    <row r="704" spans="1:28" x14ac:dyDescent="0.25">
      <c r="A704" s="12">
        <v>45200</v>
      </c>
      <c r="B704" s="13" t="s">
        <v>1384</v>
      </c>
      <c r="C704" s="46">
        <v>45229</v>
      </c>
      <c r="D704" s="13">
        <v>8304702</v>
      </c>
      <c r="E704" s="13" t="s">
        <v>191</v>
      </c>
      <c r="F704" s="13" t="s">
        <v>135</v>
      </c>
      <c r="G704" s="13" t="s">
        <v>192</v>
      </c>
      <c r="H704" s="17">
        <v>5212252</v>
      </c>
      <c r="I704" s="17" t="s">
        <v>23</v>
      </c>
      <c r="J704" s="13" t="s">
        <v>1300</v>
      </c>
      <c r="K704" s="13">
        <v>25</v>
      </c>
      <c r="L704" s="13">
        <v>65</v>
      </c>
      <c r="M704" s="13">
        <f t="shared" si="627"/>
        <v>1625</v>
      </c>
      <c r="N704" s="46">
        <v>45229</v>
      </c>
      <c r="O704" s="13" t="s">
        <v>259</v>
      </c>
      <c r="P704" s="13" t="s">
        <v>144</v>
      </c>
      <c r="Q704" s="53"/>
      <c r="R704" s="13" t="s">
        <v>1385</v>
      </c>
      <c r="S704" s="31">
        <v>261669501365</v>
      </c>
      <c r="T704" s="46">
        <v>45229</v>
      </c>
      <c r="U704" s="53"/>
      <c r="V704" s="13">
        <v>570</v>
      </c>
      <c r="W704" s="29">
        <v>45229.604166666664</v>
      </c>
      <c r="X704" s="29">
        <v>45229.625</v>
      </c>
      <c r="Y704" s="30">
        <f t="shared" si="649"/>
        <v>2.0833333335758653E-2</v>
      </c>
      <c r="Z704" s="29">
        <v>45229.597222222219</v>
      </c>
      <c r="AA704" s="29">
        <v>45229.631944444445</v>
      </c>
      <c r="AB704" s="30">
        <f t="shared" si="650"/>
        <v>3.4722222226264421E-2</v>
      </c>
    </row>
    <row r="705" spans="1:28" x14ac:dyDescent="0.25">
      <c r="A705" s="12">
        <v>45200</v>
      </c>
      <c r="B705" s="13" t="s">
        <v>1384</v>
      </c>
      <c r="C705" s="46">
        <v>45229</v>
      </c>
      <c r="D705" s="13">
        <v>8285500</v>
      </c>
      <c r="E705" s="13" t="s">
        <v>191</v>
      </c>
      <c r="F705" s="13" t="s">
        <v>135</v>
      </c>
      <c r="G705" s="13" t="s">
        <v>192</v>
      </c>
      <c r="H705" s="17">
        <v>5212252</v>
      </c>
      <c r="I705" s="17" t="s">
        <v>23</v>
      </c>
      <c r="J705" s="13" t="s">
        <v>1301</v>
      </c>
      <c r="K705" s="13">
        <v>25</v>
      </c>
      <c r="L705" s="13">
        <v>135</v>
      </c>
      <c r="M705" s="13">
        <f t="shared" si="627"/>
        <v>3375</v>
      </c>
      <c r="N705" s="46">
        <v>45229</v>
      </c>
      <c r="O705" s="13" t="s">
        <v>259</v>
      </c>
      <c r="P705" s="13" t="s">
        <v>144</v>
      </c>
      <c r="Q705" s="53"/>
      <c r="R705" s="13" t="s">
        <v>1385</v>
      </c>
      <c r="S705" s="31">
        <v>261669501365</v>
      </c>
      <c r="T705" s="46">
        <v>45229</v>
      </c>
      <c r="U705" s="53"/>
      <c r="V705" s="13">
        <v>570</v>
      </c>
      <c r="W705" s="29">
        <v>45229.604166666664</v>
      </c>
      <c r="X705" s="29">
        <v>45229.625</v>
      </c>
      <c r="Y705" s="30">
        <f t="shared" ref="Y705:Y706" si="651">+X705-W705</f>
        <v>2.0833333335758653E-2</v>
      </c>
      <c r="Z705" s="29">
        <v>45229.597222222219</v>
      </c>
      <c r="AA705" s="29">
        <v>45229.631944444445</v>
      </c>
      <c r="AB705" s="30">
        <f t="shared" ref="AB705:AB706" si="652">+AA705-Z705</f>
        <v>3.4722222226264421E-2</v>
      </c>
    </row>
    <row r="706" spans="1:28" x14ac:dyDescent="0.25">
      <c r="A706" s="12">
        <v>45200</v>
      </c>
      <c r="B706" s="13" t="s">
        <v>1386</v>
      </c>
      <c r="C706" s="46">
        <v>45229</v>
      </c>
      <c r="D706" s="13">
        <v>8285500</v>
      </c>
      <c r="E706" s="13" t="s">
        <v>191</v>
      </c>
      <c r="F706" s="13" t="s">
        <v>135</v>
      </c>
      <c r="G706" s="13" t="s">
        <v>192</v>
      </c>
      <c r="H706" s="17">
        <v>5212252</v>
      </c>
      <c r="I706" s="17" t="s">
        <v>23</v>
      </c>
      <c r="J706" s="13" t="s">
        <v>1300</v>
      </c>
      <c r="K706" s="13">
        <v>25</v>
      </c>
      <c r="L706" s="13">
        <v>400</v>
      </c>
      <c r="M706" s="13">
        <f t="shared" si="627"/>
        <v>10000</v>
      </c>
      <c r="N706" s="46">
        <v>45229</v>
      </c>
      <c r="O706" s="13" t="s">
        <v>739</v>
      </c>
      <c r="P706" s="13" t="s">
        <v>144</v>
      </c>
      <c r="Q706" s="53"/>
      <c r="R706" s="13" t="s">
        <v>525</v>
      </c>
      <c r="S706" s="31">
        <v>201669525159</v>
      </c>
      <c r="T706" s="46">
        <v>45229</v>
      </c>
      <c r="U706" s="53"/>
      <c r="V706" s="13">
        <v>571</v>
      </c>
      <c r="W706" s="29">
        <v>45229.576388888891</v>
      </c>
      <c r="X706" s="29">
        <v>45229.944444444445</v>
      </c>
      <c r="Y706" s="30">
        <f t="shared" si="651"/>
        <v>0.36805555555474712</v>
      </c>
      <c r="Z706" s="29">
        <v>45229.916666666664</v>
      </c>
      <c r="AA706" s="29">
        <v>45229.944444444445</v>
      </c>
      <c r="AB706" s="30">
        <f t="shared" si="652"/>
        <v>2.7777777781011537E-2</v>
      </c>
    </row>
    <row r="707" spans="1:28" x14ac:dyDescent="0.25">
      <c r="A707" s="12">
        <v>45200</v>
      </c>
      <c r="B707" s="13" t="s">
        <v>1386</v>
      </c>
      <c r="C707" s="46">
        <v>45229</v>
      </c>
      <c r="D707" s="13">
        <v>8017751</v>
      </c>
      <c r="E707" s="13" t="s">
        <v>191</v>
      </c>
      <c r="F707" s="13" t="s">
        <v>135</v>
      </c>
      <c r="G707" s="13" t="s">
        <v>192</v>
      </c>
      <c r="H707" s="17">
        <v>5211014</v>
      </c>
      <c r="I707" s="17" t="s">
        <v>38</v>
      </c>
      <c r="J707" s="13" t="s">
        <v>1191</v>
      </c>
      <c r="K707" s="13">
        <v>25</v>
      </c>
      <c r="L707" s="13">
        <v>18</v>
      </c>
      <c r="M707" s="13">
        <f t="shared" si="627"/>
        <v>450</v>
      </c>
      <c r="N707" s="46">
        <v>45229</v>
      </c>
      <c r="O707" s="13" t="s">
        <v>739</v>
      </c>
      <c r="P707" s="13" t="s">
        <v>144</v>
      </c>
      <c r="Q707" s="53"/>
      <c r="R707" s="13" t="s">
        <v>525</v>
      </c>
      <c r="S707" s="31">
        <v>201669525159</v>
      </c>
      <c r="T707" s="46">
        <v>45229</v>
      </c>
      <c r="U707" s="53"/>
      <c r="V707" s="13">
        <v>571</v>
      </c>
      <c r="W707" s="29">
        <v>45229.576388888891</v>
      </c>
      <c r="X707" s="29">
        <v>45229.944444444445</v>
      </c>
      <c r="Y707" s="30">
        <f t="shared" ref="Y707:Y708" si="653">+X707-W707</f>
        <v>0.36805555555474712</v>
      </c>
      <c r="Z707" s="29">
        <v>45229.916666666664</v>
      </c>
      <c r="AA707" s="29">
        <v>45229.944444444445</v>
      </c>
      <c r="AB707" s="30">
        <f t="shared" ref="AB707:AB708" si="654">+AA707-Z707</f>
        <v>2.7777777781011537E-2</v>
      </c>
    </row>
    <row r="708" spans="1:28" x14ac:dyDescent="0.25">
      <c r="A708" s="12">
        <v>45200</v>
      </c>
      <c r="B708" s="13" t="s">
        <v>1386</v>
      </c>
      <c r="C708" s="46">
        <v>45229</v>
      </c>
      <c r="D708" s="13">
        <v>8285503</v>
      </c>
      <c r="E708" s="13" t="s">
        <v>191</v>
      </c>
      <c r="F708" s="13" t="s">
        <v>135</v>
      </c>
      <c r="G708" s="13" t="s">
        <v>192</v>
      </c>
      <c r="H708" s="17">
        <v>5211014</v>
      </c>
      <c r="I708" s="17" t="s">
        <v>38</v>
      </c>
      <c r="J708" s="13" t="s">
        <v>1355</v>
      </c>
      <c r="K708" s="13">
        <v>25</v>
      </c>
      <c r="L708" s="13">
        <v>102</v>
      </c>
      <c r="M708" s="13">
        <f t="shared" si="627"/>
        <v>2550</v>
      </c>
      <c r="N708" s="46">
        <v>45229</v>
      </c>
      <c r="O708" s="13" t="s">
        <v>739</v>
      </c>
      <c r="P708" s="13" t="s">
        <v>144</v>
      </c>
      <c r="Q708" s="53"/>
      <c r="R708" s="13" t="s">
        <v>525</v>
      </c>
      <c r="S708" s="31">
        <v>201669525159</v>
      </c>
      <c r="T708" s="46">
        <v>45229</v>
      </c>
      <c r="U708" s="53"/>
      <c r="V708" s="13">
        <v>571</v>
      </c>
      <c r="W708" s="29">
        <v>45229.576388888891</v>
      </c>
      <c r="X708" s="29">
        <v>45229.944444444445</v>
      </c>
      <c r="Y708" s="30">
        <f t="shared" si="653"/>
        <v>0.36805555555474712</v>
      </c>
      <c r="Z708" s="29">
        <v>45229.916666666664</v>
      </c>
      <c r="AA708" s="29">
        <v>45229.944444444445</v>
      </c>
      <c r="AB708" s="30">
        <f t="shared" si="654"/>
        <v>2.7777777781011537E-2</v>
      </c>
    </row>
    <row r="709" spans="1:28" x14ac:dyDescent="0.25">
      <c r="A709" s="12">
        <v>45200</v>
      </c>
      <c r="B709" s="13" t="s">
        <v>1387</v>
      </c>
      <c r="C709" s="46">
        <v>45229</v>
      </c>
      <c r="D709" s="13">
        <v>8227768</v>
      </c>
      <c r="E709" s="13" t="s">
        <v>214</v>
      </c>
      <c r="F709" s="13" t="s">
        <v>215</v>
      </c>
      <c r="G709" s="13" t="s">
        <v>132</v>
      </c>
      <c r="H709" s="17">
        <v>5230874</v>
      </c>
      <c r="I709" s="17" t="s">
        <v>1316</v>
      </c>
      <c r="J709" s="14" t="s">
        <v>1290</v>
      </c>
      <c r="K709" s="13">
        <v>250</v>
      </c>
      <c r="L709" s="13">
        <v>32</v>
      </c>
      <c r="M709" s="13">
        <f t="shared" si="627"/>
        <v>8000</v>
      </c>
      <c r="N709" s="46">
        <v>45229</v>
      </c>
      <c r="O709" s="13" t="s">
        <v>177</v>
      </c>
      <c r="P709" s="13" t="s">
        <v>134</v>
      </c>
      <c r="Q709" s="50">
        <v>2296</v>
      </c>
      <c r="R709" s="13" t="s">
        <v>1388</v>
      </c>
      <c r="S709" s="31">
        <v>221669523114</v>
      </c>
      <c r="T709" s="46">
        <v>45229</v>
      </c>
      <c r="U709" s="53"/>
      <c r="V709" s="13">
        <v>572</v>
      </c>
      <c r="W709" s="29">
        <v>45229.618055555555</v>
      </c>
      <c r="X709" s="29">
        <v>45229.947916666664</v>
      </c>
      <c r="Y709" s="30">
        <f t="shared" ref="Y709" si="655">+X709-W709</f>
        <v>0.32986111110949423</v>
      </c>
      <c r="Z709" s="29">
        <v>45229.916666666664</v>
      </c>
      <c r="AA709" s="29">
        <v>45229.947916666664</v>
      </c>
      <c r="AB709" s="30">
        <f t="shared" ref="AB709" si="656">+AA709-Z709</f>
        <v>3.125E-2</v>
      </c>
    </row>
    <row r="710" spans="1:28" x14ac:dyDescent="0.25">
      <c r="A710" s="12">
        <v>45200</v>
      </c>
      <c r="B710" s="13" t="s">
        <v>1394</v>
      </c>
      <c r="C710" s="46">
        <v>45229</v>
      </c>
      <c r="D710" s="13">
        <v>8178885</v>
      </c>
      <c r="E710" s="13" t="s">
        <v>196</v>
      </c>
      <c r="F710" s="13" t="s">
        <v>197</v>
      </c>
      <c r="G710" s="13" t="s">
        <v>132</v>
      </c>
      <c r="H710" s="17">
        <v>5230831</v>
      </c>
      <c r="I710" s="17" t="s">
        <v>35</v>
      </c>
      <c r="J710" s="14" t="s">
        <v>1259</v>
      </c>
      <c r="K710" s="13">
        <v>240</v>
      </c>
      <c r="L710" s="13">
        <v>40</v>
      </c>
      <c r="M710" s="13">
        <f t="shared" si="627"/>
        <v>9600</v>
      </c>
      <c r="N710" s="46">
        <v>45230</v>
      </c>
      <c r="O710" s="13" t="s">
        <v>136</v>
      </c>
      <c r="P710" s="13" t="s">
        <v>144</v>
      </c>
      <c r="Q710" s="53"/>
      <c r="R710" s="13" t="s">
        <v>1403</v>
      </c>
      <c r="S710" s="31">
        <v>261669840424</v>
      </c>
      <c r="T710" s="46">
        <v>45230</v>
      </c>
      <c r="U710" s="53"/>
      <c r="V710" s="13">
        <v>573</v>
      </c>
      <c r="W710" s="29">
        <v>45230.451388888891</v>
      </c>
      <c r="X710" s="29">
        <v>45230.472222222219</v>
      </c>
      <c r="Y710" s="30">
        <f t="shared" ref="Y710" si="657">+X710-W710</f>
        <v>2.0833333328482695E-2</v>
      </c>
      <c r="Z710" s="29">
        <v>45230.458333333336</v>
      </c>
      <c r="AA710" s="29">
        <v>45230.472222222219</v>
      </c>
      <c r="AB710" s="30">
        <f t="shared" ref="AB710" si="658">+AA710-Z710</f>
        <v>1.3888888883229811E-2</v>
      </c>
    </row>
    <row r="711" spans="1:28" x14ac:dyDescent="0.25">
      <c r="A711" s="12">
        <v>45200</v>
      </c>
      <c r="B711" s="13" t="s">
        <v>1395</v>
      </c>
      <c r="C711" s="46">
        <v>45230</v>
      </c>
      <c r="D711" s="13">
        <v>8262234</v>
      </c>
      <c r="E711" s="13" t="s">
        <v>1131</v>
      </c>
      <c r="F711" s="13" t="s">
        <v>215</v>
      </c>
      <c r="G711" s="13" t="s">
        <v>132</v>
      </c>
      <c r="H711" s="17">
        <v>5230831</v>
      </c>
      <c r="I711" s="17" t="s">
        <v>35</v>
      </c>
      <c r="J711" s="14" t="s">
        <v>1259</v>
      </c>
      <c r="K711" s="13">
        <v>240</v>
      </c>
      <c r="L711" s="13">
        <v>40</v>
      </c>
      <c r="M711" s="13">
        <f t="shared" si="627"/>
        <v>9600</v>
      </c>
      <c r="N711" s="46">
        <v>45230</v>
      </c>
      <c r="O711" s="13" t="s">
        <v>136</v>
      </c>
      <c r="P711" s="13" t="s">
        <v>144</v>
      </c>
      <c r="Q711" s="53"/>
      <c r="R711" s="13" t="s">
        <v>817</v>
      </c>
      <c r="S711" s="31">
        <v>251669823199</v>
      </c>
      <c r="T711" s="46">
        <v>45230</v>
      </c>
      <c r="U711" s="53"/>
      <c r="V711" s="13">
        <v>574</v>
      </c>
      <c r="W711" s="29">
        <v>45230.534722222219</v>
      </c>
      <c r="X711" s="29">
        <v>45230.548611111109</v>
      </c>
      <c r="Y711" s="30">
        <f t="shared" ref="Y711" si="659">+X711-W711</f>
        <v>1.3888888890505768E-2</v>
      </c>
      <c r="Z711" s="29">
        <v>45230.513888888891</v>
      </c>
      <c r="AA711" s="29">
        <v>45230.555555555555</v>
      </c>
      <c r="AB711" s="30">
        <f t="shared" ref="AB711" si="660">+AA711-Z711</f>
        <v>4.1666666664241347E-2</v>
      </c>
    </row>
    <row r="712" spans="1:28" x14ac:dyDescent="0.25">
      <c r="A712" s="12">
        <v>45200</v>
      </c>
      <c r="B712" s="13" t="s">
        <v>1396</v>
      </c>
      <c r="C712" s="46">
        <v>45230</v>
      </c>
      <c r="D712" s="13">
        <v>8285500</v>
      </c>
      <c r="E712" s="13" t="s">
        <v>523</v>
      </c>
      <c r="F712" s="13" t="s">
        <v>524</v>
      </c>
      <c r="G712" s="13" t="s">
        <v>192</v>
      </c>
      <c r="H712" s="17">
        <v>5212252</v>
      </c>
      <c r="I712" s="17" t="s">
        <v>23</v>
      </c>
      <c r="J712" s="14" t="s">
        <v>1329</v>
      </c>
      <c r="K712" s="13">
        <v>25</v>
      </c>
      <c r="L712" s="13">
        <v>320</v>
      </c>
      <c r="M712" s="13">
        <f t="shared" si="627"/>
        <v>8000</v>
      </c>
      <c r="N712" s="46">
        <v>45230</v>
      </c>
      <c r="O712" s="13" t="s">
        <v>136</v>
      </c>
      <c r="P712" s="13" t="s">
        <v>144</v>
      </c>
      <c r="Q712" s="53"/>
      <c r="R712" s="13" t="s">
        <v>180</v>
      </c>
      <c r="S712" s="31">
        <v>261669927165</v>
      </c>
      <c r="T712" s="46">
        <v>45230</v>
      </c>
      <c r="U712" s="53"/>
      <c r="V712" s="13">
        <v>575</v>
      </c>
      <c r="W712" s="29">
        <v>45230.506944444445</v>
      </c>
      <c r="X712" s="29">
        <v>45230.569444444445</v>
      </c>
      <c r="Y712" s="30">
        <f t="shared" ref="Y712" si="661">+X712-W712</f>
        <v>6.25E-2</v>
      </c>
      <c r="Z712" s="29">
        <v>45230.486111111109</v>
      </c>
      <c r="AA712" s="29">
        <v>45230.576388888891</v>
      </c>
      <c r="AB712" s="30">
        <f t="shared" ref="AB712" si="662">+AA712-Z712</f>
        <v>9.0277777781011537E-2</v>
      </c>
    </row>
    <row r="713" spans="1:28" x14ac:dyDescent="0.25">
      <c r="A713" s="12">
        <v>45200</v>
      </c>
      <c r="B713" s="13" t="s">
        <v>1397</v>
      </c>
      <c r="C713" s="46">
        <v>45230</v>
      </c>
      <c r="D713" s="13">
        <v>8262234</v>
      </c>
      <c r="E713" s="13" t="s">
        <v>196</v>
      </c>
      <c r="F713" s="13" t="s">
        <v>197</v>
      </c>
      <c r="G713" s="13" t="s">
        <v>132</v>
      </c>
      <c r="H713" s="17">
        <v>5230831</v>
      </c>
      <c r="I713" s="17" t="s">
        <v>35</v>
      </c>
      <c r="J713" s="14" t="s">
        <v>1259</v>
      </c>
      <c r="K713" s="13">
        <v>240</v>
      </c>
      <c r="L713" s="13">
        <v>40</v>
      </c>
      <c r="M713" s="13">
        <f t="shared" si="627"/>
        <v>9600</v>
      </c>
      <c r="N713" s="46">
        <v>45230</v>
      </c>
      <c r="O713" s="13" t="s">
        <v>136</v>
      </c>
      <c r="P713" s="13" t="s">
        <v>144</v>
      </c>
      <c r="Q713" s="53"/>
      <c r="R713" s="13" t="s">
        <v>265</v>
      </c>
      <c r="S713" s="31">
        <v>261669949101</v>
      </c>
      <c r="T713" s="46">
        <v>45230</v>
      </c>
      <c r="U713" s="53"/>
      <c r="V713" s="13">
        <v>576</v>
      </c>
      <c r="W713" s="29">
        <v>45230.625</v>
      </c>
      <c r="X713" s="29">
        <v>45230.645833333336</v>
      </c>
      <c r="Y713" s="30">
        <f t="shared" ref="Y713" si="663">+X713-W713</f>
        <v>2.0833333335758653E-2</v>
      </c>
      <c r="Z713" s="29">
        <v>45230.604166666664</v>
      </c>
      <c r="AA713" s="29">
        <v>45230.659722222219</v>
      </c>
      <c r="AB713" s="30">
        <f t="shared" ref="AB713" si="664">+AA713-Z713</f>
        <v>5.5555555554747116E-2</v>
      </c>
    </row>
    <row r="714" spans="1:28" x14ac:dyDescent="0.25">
      <c r="A714" s="12">
        <v>45200</v>
      </c>
      <c r="B714" s="13" t="s">
        <v>1398</v>
      </c>
      <c r="C714" s="46">
        <v>45229</v>
      </c>
      <c r="D714" s="13">
        <v>8285500</v>
      </c>
      <c r="E714" s="13" t="s">
        <v>191</v>
      </c>
      <c r="F714" s="13" t="s">
        <v>135</v>
      </c>
      <c r="G714" s="13" t="s">
        <v>192</v>
      </c>
      <c r="H714" s="17">
        <v>5212252</v>
      </c>
      <c r="I714" s="17" t="s">
        <v>23</v>
      </c>
      <c r="J714" s="31" t="s">
        <v>1301</v>
      </c>
      <c r="K714" s="13">
        <v>25</v>
      </c>
      <c r="L714" s="13">
        <v>1025</v>
      </c>
      <c r="M714" s="13">
        <f t="shared" si="627"/>
        <v>25625</v>
      </c>
      <c r="N714" s="46">
        <v>45230</v>
      </c>
      <c r="O714" s="13" t="s">
        <v>204</v>
      </c>
      <c r="P714" s="13" t="s">
        <v>144</v>
      </c>
      <c r="Q714" s="53"/>
      <c r="R714" s="13" t="s">
        <v>1399</v>
      </c>
      <c r="S714" s="31" t="s">
        <v>1161</v>
      </c>
      <c r="T714" s="46">
        <v>45230</v>
      </c>
      <c r="U714" s="53"/>
      <c r="V714" s="13">
        <v>577</v>
      </c>
      <c r="W714" s="29">
        <v>45230.520833333336</v>
      </c>
      <c r="X714" s="29">
        <v>45230.704861111109</v>
      </c>
      <c r="Y714" s="30">
        <f t="shared" ref="Y714:Y716" si="665">+X714-W714</f>
        <v>0.18402777777373558</v>
      </c>
      <c r="Z714" s="29">
        <v>45230.5</v>
      </c>
      <c r="AA714" s="29">
        <v>45230.729166666664</v>
      </c>
      <c r="AB714" s="30">
        <f t="shared" ref="AB714:AB716" si="666">+AA714-Z714</f>
        <v>0.22916666666424135</v>
      </c>
    </row>
    <row r="715" spans="1:28" x14ac:dyDescent="0.25">
      <c r="A715" s="12">
        <v>45200</v>
      </c>
      <c r="B715" s="13" t="s">
        <v>1398</v>
      </c>
      <c r="C715" s="46">
        <v>45229</v>
      </c>
      <c r="D715" s="13">
        <v>8285500</v>
      </c>
      <c r="E715" s="13" t="s">
        <v>191</v>
      </c>
      <c r="F715" s="13" t="s">
        <v>135</v>
      </c>
      <c r="G715" s="13" t="s">
        <v>192</v>
      </c>
      <c r="H715" s="17">
        <v>5212252</v>
      </c>
      <c r="I715" s="17" t="s">
        <v>23</v>
      </c>
      <c r="J715" s="14" t="s">
        <v>1329</v>
      </c>
      <c r="K715" s="13">
        <v>25</v>
      </c>
      <c r="L715" s="13">
        <v>175</v>
      </c>
      <c r="M715" s="13">
        <f t="shared" si="627"/>
        <v>4375</v>
      </c>
      <c r="N715" s="46">
        <v>45230</v>
      </c>
      <c r="O715" s="13" t="s">
        <v>204</v>
      </c>
      <c r="P715" s="13" t="s">
        <v>144</v>
      </c>
      <c r="Q715" s="53"/>
      <c r="R715" s="13" t="s">
        <v>1399</v>
      </c>
      <c r="S715" s="31" t="s">
        <v>1161</v>
      </c>
      <c r="T715" s="46">
        <v>45230</v>
      </c>
      <c r="U715" s="53"/>
      <c r="V715" s="13">
        <v>577</v>
      </c>
      <c r="W715" s="29">
        <v>45230.520833333336</v>
      </c>
      <c r="X715" s="29">
        <v>45230.704861111109</v>
      </c>
      <c r="Y715" s="30">
        <f t="shared" ref="Y715" si="667">+X715-W715</f>
        <v>0.18402777777373558</v>
      </c>
      <c r="Z715" s="29">
        <v>45230.5</v>
      </c>
      <c r="AA715" s="29">
        <v>45230.729166666664</v>
      </c>
      <c r="AB715" s="30">
        <f t="shared" ref="AB715" si="668">+AA715-Z715</f>
        <v>0.22916666666424135</v>
      </c>
    </row>
    <row r="716" spans="1:28" x14ac:dyDescent="0.25">
      <c r="A716" s="12">
        <v>45200</v>
      </c>
      <c r="B716" s="13" t="s">
        <v>1398</v>
      </c>
      <c r="C716" s="46">
        <v>45229</v>
      </c>
      <c r="D716" s="13">
        <v>7933011</v>
      </c>
      <c r="E716" s="13" t="s">
        <v>191</v>
      </c>
      <c r="F716" s="13" t="s">
        <v>135</v>
      </c>
      <c r="G716" s="13" t="s">
        <v>192</v>
      </c>
      <c r="H716" s="17">
        <v>5211013</v>
      </c>
      <c r="I716" s="17" t="s">
        <v>27</v>
      </c>
      <c r="J716" s="53" t="s">
        <v>1161</v>
      </c>
      <c r="K716" s="13">
        <v>25</v>
      </c>
      <c r="L716" s="13">
        <v>200</v>
      </c>
      <c r="M716" s="13">
        <f t="shared" si="627"/>
        <v>5000</v>
      </c>
      <c r="N716" s="46">
        <v>45230</v>
      </c>
      <c r="O716" s="13" t="s">
        <v>204</v>
      </c>
      <c r="P716" s="13" t="s">
        <v>144</v>
      </c>
      <c r="Q716" s="53"/>
      <c r="R716" s="13" t="s">
        <v>1399</v>
      </c>
      <c r="S716" s="31" t="s">
        <v>1301</v>
      </c>
      <c r="T716" s="46">
        <v>45230</v>
      </c>
      <c r="U716" s="53"/>
      <c r="V716" s="13">
        <v>577</v>
      </c>
      <c r="W716" s="29">
        <v>45230.520833333336</v>
      </c>
      <c r="X716" s="29">
        <v>45230.704861111109</v>
      </c>
      <c r="Y716" s="30">
        <f t="shared" si="665"/>
        <v>0.18402777777373558</v>
      </c>
      <c r="Z716" s="29">
        <v>45230.5</v>
      </c>
      <c r="AA716" s="29">
        <v>45230.729166666664</v>
      </c>
      <c r="AB716" s="30">
        <f t="shared" si="666"/>
        <v>0.22916666666424135</v>
      </c>
    </row>
    <row r="717" spans="1:28" x14ac:dyDescent="0.25">
      <c r="A717" s="12">
        <v>45200</v>
      </c>
      <c r="B717" s="13" t="s">
        <v>1400</v>
      </c>
      <c r="C717" s="46">
        <v>45229</v>
      </c>
      <c r="D717" s="13">
        <v>8262234</v>
      </c>
      <c r="E717" s="13" t="s">
        <v>679</v>
      </c>
      <c r="F717" s="13" t="s">
        <v>680</v>
      </c>
      <c r="G717" s="13" t="s">
        <v>132</v>
      </c>
      <c r="H717" s="17">
        <v>5230831</v>
      </c>
      <c r="I717" s="17" t="s">
        <v>35</v>
      </c>
      <c r="J717" s="14" t="s">
        <v>1259</v>
      </c>
      <c r="K717" s="13">
        <v>240</v>
      </c>
      <c r="L717" s="13">
        <v>12</v>
      </c>
      <c r="M717" s="13">
        <f t="shared" si="627"/>
        <v>2880</v>
      </c>
      <c r="N717" s="46">
        <v>45230</v>
      </c>
      <c r="O717" s="13" t="s">
        <v>555</v>
      </c>
      <c r="P717" s="13" t="s">
        <v>144</v>
      </c>
      <c r="Q717" s="53"/>
      <c r="R717" s="13" t="s">
        <v>934</v>
      </c>
      <c r="S717" s="31">
        <v>231670138067</v>
      </c>
      <c r="T717" s="46">
        <v>45230</v>
      </c>
      <c r="U717" s="53"/>
      <c r="V717" s="13">
        <v>578</v>
      </c>
      <c r="W717" s="29">
        <v>45230.736111111109</v>
      </c>
      <c r="X717" s="29">
        <v>45230.743055555555</v>
      </c>
      <c r="Y717" s="30">
        <f t="shared" ref="Y717" si="669">+X717-W717</f>
        <v>6.9444444452528842E-3</v>
      </c>
      <c r="Z717" s="29">
        <v>45230.708333333336</v>
      </c>
      <c r="AA717" s="29">
        <v>45230.756944444445</v>
      </c>
      <c r="AB717" s="30">
        <f t="shared" ref="AB717" si="670">+AA717-Z717</f>
        <v>4.8611111109494232E-2</v>
      </c>
    </row>
    <row r="718" spans="1:28" x14ac:dyDescent="0.25">
      <c r="A718" s="12">
        <v>45200</v>
      </c>
      <c r="B718" s="13" t="s">
        <v>1401</v>
      </c>
      <c r="C718" s="46">
        <v>45230</v>
      </c>
      <c r="D718" s="13">
        <v>8262234</v>
      </c>
      <c r="E718" s="13" t="s">
        <v>1089</v>
      </c>
      <c r="F718" s="13" t="s">
        <v>215</v>
      </c>
      <c r="G718" s="13" t="s">
        <v>132</v>
      </c>
      <c r="H718" s="17">
        <v>5230831</v>
      </c>
      <c r="I718" s="17" t="s">
        <v>35</v>
      </c>
      <c r="J718" s="14" t="s">
        <v>1259</v>
      </c>
      <c r="K718" s="13">
        <v>240</v>
      </c>
      <c r="L718" s="13">
        <v>20</v>
      </c>
      <c r="M718" s="13">
        <f t="shared" si="627"/>
        <v>4800</v>
      </c>
      <c r="N718" s="46">
        <v>45230</v>
      </c>
      <c r="O718" s="13" t="s">
        <v>259</v>
      </c>
      <c r="P718" s="13" t="s">
        <v>134</v>
      </c>
      <c r="Q718" s="53"/>
      <c r="R718" s="13" t="s">
        <v>1402</v>
      </c>
      <c r="S718" s="31">
        <v>281670224978</v>
      </c>
      <c r="T718" s="46">
        <v>45230</v>
      </c>
      <c r="U718" s="53"/>
      <c r="V718" s="13">
        <v>579</v>
      </c>
      <c r="W718" s="29">
        <v>45230.625</v>
      </c>
      <c r="X718" s="29">
        <v>45230.65625</v>
      </c>
      <c r="Y718" s="30">
        <f>+X718-W718</f>
        <v>3.125E-2</v>
      </c>
      <c r="Z718" s="29">
        <v>45230.5</v>
      </c>
      <c r="AA718" s="29">
        <v>45230.666666666664</v>
      </c>
      <c r="AB718" s="30">
        <f>+AA718-Z718</f>
        <v>0.16666666666424135</v>
      </c>
    </row>
    <row r="719" spans="1:28" x14ac:dyDescent="0.25">
      <c r="A719" s="12">
        <v>45200</v>
      </c>
      <c r="B719" s="13" t="s">
        <v>1405</v>
      </c>
      <c r="C719" s="46">
        <v>45230</v>
      </c>
      <c r="D719" s="13">
        <v>8285507</v>
      </c>
      <c r="E719" s="13" t="s">
        <v>523</v>
      </c>
      <c r="F719" s="13" t="s">
        <v>524</v>
      </c>
      <c r="G719" s="13" t="s">
        <v>192</v>
      </c>
      <c r="H719" s="17">
        <v>5212256</v>
      </c>
      <c r="I719" s="17" t="s">
        <v>22</v>
      </c>
      <c r="J719" s="14" t="s">
        <v>1334</v>
      </c>
      <c r="K719" s="13">
        <v>25</v>
      </c>
      <c r="L719" s="13">
        <v>88</v>
      </c>
      <c r="M719" s="13">
        <f t="shared" si="627"/>
        <v>2200</v>
      </c>
      <c r="N719" s="46">
        <v>45230</v>
      </c>
      <c r="O719" s="13" t="s">
        <v>136</v>
      </c>
      <c r="P719" s="13" t="s">
        <v>134</v>
      </c>
      <c r="Q719" s="53"/>
      <c r="R719" s="13" t="s">
        <v>1404</v>
      </c>
      <c r="S719" s="31">
        <v>221670236483</v>
      </c>
      <c r="T719" s="46">
        <v>45230</v>
      </c>
      <c r="U719" s="53"/>
      <c r="V719" s="13">
        <v>580</v>
      </c>
      <c r="W719" s="29">
        <v>45230.729166666664</v>
      </c>
      <c r="X719" s="29">
        <v>45230.805555555555</v>
      </c>
      <c r="Y719" s="30">
        <f>+X719-W719</f>
        <v>7.6388888890505768E-2</v>
      </c>
      <c r="Z719" s="29">
        <v>45230.722222222219</v>
      </c>
      <c r="AA719" s="29">
        <v>45230.857638888891</v>
      </c>
      <c r="AB719" s="30">
        <f>+AA719-Z719</f>
        <v>0.13541666667151731</v>
      </c>
    </row>
    <row r="720" spans="1:28" x14ac:dyDescent="0.25">
      <c r="A720" s="12">
        <v>45200</v>
      </c>
      <c r="B720" s="13" t="s">
        <v>1405</v>
      </c>
      <c r="C720" s="46">
        <v>45230</v>
      </c>
      <c r="D720" s="13">
        <v>8285507</v>
      </c>
      <c r="E720" s="13" t="s">
        <v>523</v>
      </c>
      <c r="F720" s="13" t="s">
        <v>524</v>
      </c>
      <c r="G720" s="13" t="s">
        <v>192</v>
      </c>
      <c r="H720" s="17">
        <v>5212256</v>
      </c>
      <c r="I720" s="17" t="s">
        <v>22</v>
      </c>
      <c r="J720" s="14" t="s">
        <v>1334</v>
      </c>
      <c r="K720" s="13">
        <v>25</v>
      </c>
      <c r="L720" s="13">
        <v>312</v>
      </c>
      <c r="M720" s="13">
        <f t="shared" si="627"/>
        <v>7800</v>
      </c>
      <c r="N720" s="46">
        <v>45230</v>
      </c>
      <c r="O720" s="13" t="s">
        <v>136</v>
      </c>
      <c r="P720" s="13" t="s">
        <v>134</v>
      </c>
      <c r="Q720" s="53"/>
      <c r="R720" s="13" t="s">
        <v>1404</v>
      </c>
      <c r="S720" s="31">
        <v>221670236483</v>
      </c>
      <c r="T720" s="46">
        <v>45230</v>
      </c>
      <c r="U720" s="53"/>
      <c r="V720" s="13">
        <v>580</v>
      </c>
      <c r="W720" s="29">
        <v>45230.729166666664</v>
      </c>
      <c r="X720" s="29">
        <v>45230.805555555555</v>
      </c>
      <c r="Y720" s="30">
        <f>+X720-W720</f>
        <v>7.6388888890505768E-2</v>
      </c>
      <c r="Z720" s="29">
        <v>45230.722222222219</v>
      </c>
      <c r="AA720" s="29">
        <v>45230.857638888891</v>
      </c>
      <c r="AB720" s="30">
        <f>+AA720-Z720</f>
        <v>0.13541666667151731</v>
      </c>
    </row>
    <row r="721" spans="1:28" x14ac:dyDescent="0.25">
      <c r="A721" s="12">
        <v>45200</v>
      </c>
      <c r="B721" s="13" t="s">
        <v>1406</v>
      </c>
      <c r="C721" s="46">
        <v>45230</v>
      </c>
      <c r="D721" s="51">
        <v>8368021</v>
      </c>
      <c r="E721" s="13" t="s">
        <v>859</v>
      </c>
      <c r="F721" s="13" t="s">
        <v>289</v>
      </c>
      <c r="G721" s="13" t="s">
        <v>192</v>
      </c>
      <c r="H721" s="17">
        <v>5212252</v>
      </c>
      <c r="I721" s="17" t="s">
        <v>23</v>
      </c>
      <c r="J721" s="31" t="s">
        <v>1365</v>
      </c>
      <c r="K721" s="13">
        <v>25</v>
      </c>
      <c r="L721" s="13">
        <v>495</v>
      </c>
      <c r="M721" s="13">
        <f t="shared" si="627"/>
        <v>12375</v>
      </c>
      <c r="N721" s="46">
        <v>45230</v>
      </c>
      <c r="O721" s="13" t="s">
        <v>204</v>
      </c>
      <c r="P721" s="13" t="s">
        <v>144</v>
      </c>
      <c r="Q721" s="53"/>
      <c r="R721" s="13" t="s">
        <v>1407</v>
      </c>
      <c r="S721" s="31">
        <v>701380018828</v>
      </c>
      <c r="T721" s="46">
        <v>45230</v>
      </c>
      <c r="U721" s="53"/>
      <c r="V721" s="13">
        <v>581</v>
      </c>
      <c r="W721" s="29">
        <v>45230.798611111109</v>
      </c>
      <c r="X721" s="29">
        <v>45230.888888888891</v>
      </c>
      <c r="Y721" s="30">
        <f>+X721-W721</f>
        <v>9.0277777781011537E-2</v>
      </c>
      <c r="Z721" s="29">
        <v>45230.583333333336</v>
      </c>
      <c r="AA721" s="29">
        <v>45230.909722222219</v>
      </c>
      <c r="AB721" s="30">
        <f>+AA721-Z721</f>
        <v>0.32638888888322981</v>
      </c>
    </row>
    <row r="722" spans="1:28" x14ac:dyDescent="0.25">
      <c r="A722" s="12">
        <v>45200</v>
      </c>
      <c r="B722" s="13" t="s">
        <v>1406</v>
      </c>
      <c r="C722" s="46">
        <v>45230</v>
      </c>
      <c r="D722" s="13">
        <v>8285500</v>
      </c>
      <c r="E722" s="13" t="s">
        <v>859</v>
      </c>
      <c r="F722" s="13" t="s">
        <v>289</v>
      </c>
      <c r="G722" s="13" t="s">
        <v>192</v>
      </c>
      <c r="H722" s="17">
        <v>5212252</v>
      </c>
      <c r="I722" s="17" t="s">
        <v>23</v>
      </c>
      <c r="J722" s="31" t="s">
        <v>1329</v>
      </c>
      <c r="K722" s="13">
        <v>25</v>
      </c>
      <c r="L722" s="13">
        <v>425</v>
      </c>
      <c r="M722" s="13">
        <f t="shared" si="627"/>
        <v>10625</v>
      </c>
      <c r="N722" s="46">
        <v>45230</v>
      </c>
      <c r="O722" s="13" t="s">
        <v>204</v>
      </c>
      <c r="P722" s="13" t="s">
        <v>144</v>
      </c>
      <c r="Q722" s="53"/>
      <c r="R722" s="13" t="s">
        <v>1407</v>
      </c>
      <c r="S722" s="31">
        <v>701380018828</v>
      </c>
      <c r="T722" s="46">
        <v>45230</v>
      </c>
      <c r="U722" s="53"/>
      <c r="V722" s="13">
        <v>581</v>
      </c>
      <c r="W722" s="29">
        <v>45230.798611111109</v>
      </c>
      <c r="X722" s="29">
        <v>45230.888888888891</v>
      </c>
      <c r="Y722" s="30">
        <f>+X722-W722</f>
        <v>9.0277777781011537E-2</v>
      </c>
      <c r="Z722" s="29">
        <v>45230.583333333336</v>
      </c>
      <c r="AA722" s="29">
        <v>45230.909722222219</v>
      </c>
      <c r="AB722" s="30">
        <f>+AA722-Z722</f>
        <v>0.32638888888322981</v>
      </c>
    </row>
    <row r="723" spans="1:28" x14ac:dyDescent="0.25">
      <c r="A723" s="12">
        <v>45200</v>
      </c>
      <c r="B723" s="13" t="s">
        <v>1406</v>
      </c>
      <c r="C723" s="46">
        <v>45230</v>
      </c>
      <c r="D723" s="13">
        <v>8285503</v>
      </c>
      <c r="E723" s="13" t="s">
        <v>859</v>
      </c>
      <c r="F723" s="13" t="s">
        <v>289</v>
      </c>
      <c r="G723" s="13" t="s">
        <v>192</v>
      </c>
      <c r="H723" s="17">
        <v>5211014</v>
      </c>
      <c r="I723" s="17" t="s">
        <v>38</v>
      </c>
      <c r="J723" s="53" t="s">
        <v>1353</v>
      </c>
      <c r="K723" s="13">
        <v>25</v>
      </c>
      <c r="L723" s="13">
        <v>276</v>
      </c>
      <c r="M723" s="13">
        <f t="shared" si="627"/>
        <v>6900</v>
      </c>
      <c r="N723" s="46">
        <v>45230</v>
      </c>
      <c r="O723" s="13" t="s">
        <v>204</v>
      </c>
      <c r="P723" s="13" t="s">
        <v>144</v>
      </c>
      <c r="Q723" s="53"/>
      <c r="R723" s="13" t="s">
        <v>1407</v>
      </c>
      <c r="S723" s="31">
        <v>701380018828</v>
      </c>
      <c r="T723" s="46">
        <v>45230</v>
      </c>
      <c r="U723" s="53"/>
      <c r="V723" s="13">
        <v>581</v>
      </c>
      <c r="W723" s="29">
        <v>45230.798611111109</v>
      </c>
      <c r="X723" s="29">
        <v>45230.888888888891</v>
      </c>
      <c r="Y723" s="30">
        <f t="shared" ref="Y723:Y725" si="671">+X723-W723</f>
        <v>9.0277777781011537E-2</v>
      </c>
      <c r="Z723" s="29">
        <v>45230.583333333336</v>
      </c>
      <c r="AA723" s="29">
        <v>45230.909722222219</v>
      </c>
      <c r="AB723" s="30">
        <f t="shared" ref="AB723:AB725" si="672">+AA723-Z723</f>
        <v>0.32638888888322981</v>
      </c>
    </row>
    <row r="724" spans="1:28" x14ac:dyDescent="0.25">
      <c r="A724" s="12">
        <v>45200</v>
      </c>
      <c r="B724" s="13" t="s">
        <v>1406</v>
      </c>
      <c r="C724" s="46">
        <v>45230</v>
      </c>
      <c r="D724" s="13">
        <v>7933011</v>
      </c>
      <c r="E724" s="13" t="s">
        <v>859</v>
      </c>
      <c r="F724" s="13" t="s">
        <v>289</v>
      </c>
      <c r="G724" s="13" t="s">
        <v>192</v>
      </c>
      <c r="H724" s="17">
        <v>5211013</v>
      </c>
      <c r="I724" s="17" t="s">
        <v>27</v>
      </c>
      <c r="J724" s="53" t="s">
        <v>1161</v>
      </c>
      <c r="K724" s="13">
        <v>25</v>
      </c>
      <c r="L724" s="13">
        <v>200</v>
      </c>
      <c r="M724" s="13">
        <f t="shared" si="627"/>
        <v>5000</v>
      </c>
      <c r="N724" s="46">
        <v>45230</v>
      </c>
      <c r="O724" s="13" t="s">
        <v>204</v>
      </c>
      <c r="P724" s="13" t="s">
        <v>144</v>
      </c>
      <c r="Q724" s="53"/>
      <c r="R724" s="13" t="s">
        <v>1407</v>
      </c>
      <c r="S724" s="31">
        <v>701380018828</v>
      </c>
      <c r="T724" s="46">
        <v>45230</v>
      </c>
      <c r="U724" s="53"/>
      <c r="V724" s="13">
        <v>581</v>
      </c>
      <c r="W724" s="29">
        <v>45230.798611111109</v>
      </c>
      <c r="X724" s="29">
        <v>45230.888888888891</v>
      </c>
      <c r="Y724" s="30">
        <f t="shared" si="671"/>
        <v>9.0277777781011537E-2</v>
      </c>
      <c r="Z724" s="29">
        <v>45230.583333333336</v>
      </c>
      <c r="AA724" s="29">
        <v>45230.909722222219</v>
      </c>
      <c r="AB724" s="30">
        <f t="shared" si="672"/>
        <v>0.32638888888322981</v>
      </c>
    </row>
    <row r="725" spans="1:28" x14ac:dyDescent="0.25">
      <c r="A725" s="12">
        <v>45200</v>
      </c>
      <c r="B725" s="13" t="s">
        <v>1406</v>
      </c>
      <c r="C725" s="46">
        <v>45230</v>
      </c>
      <c r="D725" s="13">
        <v>5743118</v>
      </c>
      <c r="E725" s="13" t="s">
        <v>859</v>
      </c>
      <c r="F725" s="13" t="s">
        <v>289</v>
      </c>
      <c r="G725" s="13" t="s">
        <v>192</v>
      </c>
      <c r="H725" s="17">
        <v>5211003</v>
      </c>
      <c r="I725" s="17" t="s">
        <v>31</v>
      </c>
      <c r="J725" s="53" t="s">
        <v>85</v>
      </c>
      <c r="K725" s="13">
        <v>25</v>
      </c>
      <c r="L725" s="13">
        <v>4</v>
      </c>
      <c r="M725" s="13">
        <f t="shared" si="627"/>
        <v>100</v>
      </c>
      <c r="N725" s="46">
        <v>45230</v>
      </c>
      <c r="O725" s="13" t="s">
        <v>204</v>
      </c>
      <c r="P725" s="13" t="s">
        <v>144</v>
      </c>
      <c r="Q725" s="53"/>
      <c r="R725" s="13" t="s">
        <v>1407</v>
      </c>
      <c r="S725" s="31">
        <v>701380018828</v>
      </c>
      <c r="T725" s="46">
        <v>45230</v>
      </c>
      <c r="U725" s="53"/>
      <c r="V725" s="13">
        <v>581</v>
      </c>
      <c r="W725" s="29">
        <v>45230.798611111109</v>
      </c>
      <c r="X725" s="29">
        <v>45230.888888888891</v>
      </c>
      <c r="Y725" s="30">
        <f t="shared" si="671"/>
        <v>9.0277777781011537E-2</v>
      </c>
      <c r="Z725" s="29">
        <v>45230.583333333336</v>
      </c>
      <c r="AA725" s="29">
        <v>45230.909722222219</v>
      </c>
      <c r="AB725" s="30">
        <f t="shared" si="672"/>
        <v>0.32638888888322981</v>
      </c>
    </row>
    <row r="726" spans="1:28" x14ac:dyDescent="0.25">
      <c r="A726" s="12">
        <v>45200</v>
      </c>
      <c r="B726" s="13" t="s">
        <v>1409</v>
      </c>
      <c r="C726" s="46">
        <v>45230</v>
      </c>
      <c r="D726" s="13">
        <v>8231129</v>
      </c>
      <c r="E726" s="13" t="s">
        <v>1410</v>
      </c>
      <c r="F726" s="13" t="s">
        <v>1411</v>
      </c>
      <c r="G726" s="13" t="s">
        <v>132</v>
      </c>
      <c r="H726" s="17">
        <v>5230874</v>
      </c>
      <c r="I726" s="17" t="s">
        <v>1316</v>
      </c>
      <c r="J726" s="60" t="s">
        <v>1289</v>
      </c>
      <c r="K726" s="13">
        <v>250</v>
      </c>
      <c r="L726" s="13">
        <v>40</v>
      </c>
      <c r="M726" s="13">
        <f t="shared" si="627"/>
        <v>10000</v>
      </c>
      <c r="N726" s="46">
        <v>45230</v>
      </c>
      <c r="O726" s="13" t="s">
        <v>133</v>
      </c>
      <c r="P726" s="13" t="s">
        <v>134</v>
      </c>
      <c r="Q726" s="53"/>
      <c r="R726" s="13" t="s">
        <v>1408</v>
      </c>
      <c r="S726" s="31">
        <v>281670334417</v>
      </c>
      <c r="T726" s="46">
        <v>45230</v>
      </c>
      <c r="U726" s="53"/>
      <c r="V726" s="13">
        <v>582</v>
      </c>
      <c r="W726" s="29">
        <v>45230.965277777781</v>
      </c>
      <c r="X726" s="29">
        <v>45230.979166666664</v>
      </c>
      <c r="Y726" s="30">
        <f t="shared" ref="Y726" si="673">+X726-W726</f>
        <v>1.3888888883229811E-2</v>
      </c>
      <c r="Z726" s="29">
        <v>45230.944444444445</v>
      </c>
      <c r="AA726" s="29">
        <v>45230.982638888891</v>
      </c>
      <c r="AB726" s="30">
        <f t="shared" ref="AB726" si="674">+AA726-Z726</f>
        <v>3.8194444445252884E-2</v>
      </c>
    </row>
    <row r="727" spans="1:28" x14ac:dyDescent="0.25">
      <c r="A727" s="12">
        <v>45231</v>
      </c>
      <c r="B727" s="13" t="s">
        <v>1422</v>
      </c>
      <c r="C727" s="46">
        <v>45230</v>
      </c>
      <c r="D727" s="13">
        <v>7911186</v>
      </c>
      <c r="E727" s="13" t="s">
        <v>1423</v>
      </c>
      <c r="F727" s="13" t="s">
        <v>240</v>
      </c>
      <c r="G727" s="13" t="s">
        <v>132</v>
      </c>
      <c r="H727" s="17">
        <v>5215404</v>
      </c>
      <c r="I727" s="17" t="s">
        <v>1284</v>
      </c>
      <c r="J727" s="50">
        <v>123004901</v>
      </c>
      <c r="K727" s="13">
        <v>180</v>
      </c>
      <c r="L727" s="13">
        <v>80</v>
      </c>
      <c r="M727" s="13">
        <f t="shared" si="627"/>
        <v>14400</v>
      </c>
      <c r="N727" s="46">
        <v>45231</v>
      </c>
      <c r="O727" s="13" t="s">
        <v>833</v>
      </c>
      <c r="P727" s="13" t="s">
        <v>134</v>
      </c>
      <c r="Q727" s="53"/>
      <c r="R727" s="13" t="s">
        <v>1421</v>
      </c>
      <c r="S727" s="31">
        <v>291670698981</v>
      </c>
      <c r="T727" s="46">
        <v>45231</v>
      </c>
      <c r="U727" s="53"/>
      <c r="V727" s="13">
        <v>583</v>
      </c>
      <c r="W727" s="29">
        <v>45231.631944444445</v>
      </c>
      <c r="X727" s="29">
        <v>45231.680555555555</v>
      </c>
      <c r="Y727" s="30">
        <f t="shared" ref="Y727:Y728" si="675">+X727-W727</f>
        <v>4.8611111109494232E-2</v>
      </c>
      <c r="Z727" s="29">
        <v>45231.645833333336</v>
      </c>
      <c r="AA727" s="29">
        <v>45231.666666666664</v>
      </c>
      <c r="AB727" s="30">
        <f t="shared" ref="AB727" si="676">+AA727-Z727</f>
        <v>2.0833333328482695E-2</v>
      </c>
    </row>
    <row r="728" spans="1:28" x14ac:dyDescent="0.25">
      <c r="A728" s="12">
        <v>45231</v>
      </c>
      <c r="B728" s="13" t="s">
        <v>1436</v>
      </c>
      <c r="C728" s="46">
        <v>45232</v>
      </c>
      <c r="D728" s="13">
        <v>8299233</v>
      </c>
      <c r="E728" s="13" t="s">
        <v>1239</v>
      </c>
      <c r="F728" s="13" t="s">
        <v>1437</v>
      </c>
      <c r="G728" s="13" t="s">
        <v>132</v>
      </c>
      <c r="H728" s="17">
        <v>5303117</v>
      </c>
      <c r="I728" s="17" t="s">
        <v>36</v>
      </c>
      <c r="J728" s="58" t="s">
        <v>1372</v>
      </c>
      <c r="K728" s="50">
        <v>210</v>
      </c>
      <c r="L728" s="13">
        <v>3</v>
      </c>
      <c r="M728" s="13">
        <f t="shared" si="627"/>
        <v>630</v>
      </c>
      <c r="N728" s="46">
        <v>45232</v>
      </c>
      <c r="O728" s="13" t="s">
        <v>186</v>
      </c>
      <c r="P728" s="13" t="s">
        <v>144</v>
      </c>
      <c r="Q728" s="53"/>
      <c r="R728" s="13" t="s">
        <v>1438</v>
      </c>
      <c r="S728" s="53"/>
      <c r="T728" s="46">
        <v>45232</v>
      </c>
      <c r="U728" s="53"/>
      <c r="V728" s="13">
        <v>584</v>
      </c>
      <c r="W728" s="29">
        <v>45232.590277777781</v>
      </c>
      <c r="X728" s="29">
        <v>45232.677083333336</v>
      </c>
      <c r="Y728" s="30">
        <f t="shared" si="675"/>
        <v>8.6805555554747116E-2</v>
      </c>
      <c r="Z728" s="29">
        <v>45232.597222222219</v>
      </c>
      <c r="AA728" s="29">
        <v>45232.600694444445</v>
      </c>
      <c r="AB728" s="30">
        <f t="shared" ref="AB728" si="677">+AA728-Z728</f>
        <v>3.4722222262644209E-3</v>
      </c>
    </row>
    <row r="729" spans="1:28" x14ac:dyDescent="0.25">
      <c r="A729" s="12">
        <v>45231</v>
      </c>
      <c r="B729" s="13" t="s">
        <v>1439</v>
      </c>
      <c r="C729" s="46">
        <v>45232</v>
      </c>
      <c r="D729" s="13">
        <v>8285503</v>
      </c>
      <c r="E729" s="13" t="s">
        <v>859</v>
      </c>
      <c r="F729" s="13" t="s">
        <v>289</v>
      </c>
      <c r="G729" s="13" t="s">
        <v>192</v>
      </c>
      <c r="H729" s="17">
        <v>5211014</v>
      </c>
      <c r="I729" s="17" t="s">
        <v>38</v>
      </c>
      <c r="J729" s="58" t="s">
        <v>1353</v>
      </c>
      <c r="K729" s="13">
        <v>25</v>
      </c>
      <c r="L729" s="13">
        <v>320</v>
      </c>
      <c r="M729" s="13">
        <f t="shared" si="627"/>
        <v>8000</v>
      </c>
      <c r="N729" s="46">
        <v>45232</v>
      </c>
      <c r="O729" s="13" t="s">
        <v>204</v>
      </c>
      <c r="P729" s="13" t="s">
        <v>144</v>
      </c>
      <c r="Q729" s="53"/>
      <c r="R729" s="13" t="s">
        <v>1444</v>
      </c>
      <c r="S729" s="31">
        <v>711380608028</v>
      </c>
      <c r="T729" s="46">
        <v>45232</v>
      </c>
      <c r="U729" s="53"/>
      <c r="V729" s="13">
        <v>585</v>
      </c>
      <c r="W729" s="29">
        <v>45232.444444444445</v>
      </c>
      <c r="X729" s="29">
        <v>45232.645833333336</v>
      </c>
      <c r="Y729" s="30">
        <f t="shared" ref="Y729:Y731" si="678">+X729-W729</f>
        <v>0.20138888889050577</v>
      </c>
      <c r="Z729" s="29">
        <v>45232.506944444445</v>
      </c>
      <c r="AA729" s="29">
        <v>45232.635416666664</v>
      </c>
      <c r="AB729" s="30">
        <f t="shared" ref="AB729:AB731" si="679">+AA729-Z729</f>
        <v>0.12847222221898846</v>
      </c>
    </row>
    <row r="730" spans="1:28" x14ac:dyDescent="0.25">
      <c r="A730" s="12">
        <v>45231</v>
      </c>
      <c r="B730" s="13" t="s">
        <v>1439</v>
      </c>
      <c r="C730" s="46">
        <v>45232</v>
      </c>
      <c r="D730" s="13">
        <v>7833009</v>
      </c>
      <c r="E730" s="13" t="s">
        <v>859</v>
      </c>
      <c r="F730" s="13" t="s">
        <v>289</v>
      </c>
      <c r="G730" s="13" t="s">
        <v>192</v>
      </c>
      <c r="H730" s="17">
        <v>5211013</v>
      </c>
      <c r="I730" s="17" t="s">
        <v>27</v>
      </c>
      <c r="J730" s="53" t="s">
        <v>1161</v>
      </c>
      <c r="K730" s="13">
        <v>25</v>
      </c>
      <c r="L730" s="13">
        <v>120</v>
      </c>
      <c r="M730" s="13">
        <f t="shared" si="627"/>
        <v>3000</v>
      </c>
      <c r="N730" s="46">
        <v>45232</v>
      </c>
      <c r="O730" s="13" t="s">
        <v>204</v>
      </c>
      <c r="P730" s="13" t="s">
        <v>144</v>
      </c>
      <c r="Q730" s="53"/>
      <c r="R730" s="13" t="s">
        <v>1444</v>
      </c>
      <c r="S730" s="31">
        <v>711380608028</v>
      </c>
      <c r="T730" s="46">
        <v>45232</v>
      </c>
      <c r="U730" s="53"/>
      <c r="V730" s="13">
        <v>585</v>
      </c>
      <c r="W730" s="29">
        <v>45232.444444444445</v>
      </c>
      <c r="X730" s="29">
        <v>45232.645833333336</v>
      </c>
      <c r="Y730" s="30">
        <f t="shared" si="678"/>
        <v>0.20138888889050577</v>
      </c>
      <c r="Z730" s="29">
        <v>45232.506944444445</v>
      </c>
      <c r="AA730" s="29">
        <v>45232.635416666664</v>
      </c>
      <c r="AB730" s="30">
        <f t="shared" si="679"/>
        <v>0.12847222221898846</v>
      </c>
    </row>
    <row r="731" spans="1:28" x14ac:dyDescent="0.25">
      <c r="A731" s="12">
        <v>45231</v>
      </c>
      <c r="B731" s="13" t="s">
        <v>1439</v>
      </c>
      <c r="C731" s="46">
        <v>45232</v>
      </c>
      <c r="D731" s="13">
        <v>8017652</v>
      </c>
      <c r="E731" s="13" t="s">
        <v>859</v>
      </c>
      <c r="F731" s="13" t="s">
        <v>289</v>
      </c>
      <c r="G731" s="13" t="s">
        <v>192</v>
      </c>
      <c r="H731" s="17">
        <v>5212252</v>
      </c>
      <c r="I731" s="17" t="s">
        <v>23</v>
      </c>
      <c r="J731" s="31" t="s">
        <v>1441</v>
      </c>
      <c r="K731" s="13">
        <v>25</v>
      </c>
      <c r="L731" s="13">
        <v>415</v>
      </c>
      <c r="M731" s="13">
        <f t="shared" si="627"/>
        <v>10375</v>
      </c>
      <c r="N731" s="46">
        <v>45232</v>
      </c>
      <c r="O731" s="13" t="s">
        <v>204</v>
      </c>
      <c r="P731" s="13" t="s">
        <v>144</v>
      </c>
      <c r="Q731" s="53"/>
      <c r="R731" s="13" t="s">
        <v>1444</v>
      </c>
      <c r="S731" s="31">
        <v>711380608028</v>
      </c>
      <c r="T731" s="46">
        <v>45232</v>
      </c>
      <c r="U731" s="53"/>
      <c r="V731" s="13">
        <v>585</v>
      </c>
      <c r="W731" s="29">
        <v>45232.444444444445</v>
      </c>
      <c r="X731" s="29">
        <v>45232.645833333336</v>
      </c>
      <c r="Y731" s="30">
        <f t="shared" si="678"/>
        <v>0.20138888889050577</v>
      </c>
      <c r="Z731" s="29">
        <v>45232.506944444445</v>
      </c>
      <c r="AA731" s="29">
        <v>45232.635416666664</v>
      </c>
      <c r="AB731" s="30">
        <f t="shared" si="679"/>
        <v>0.12847222221898846</v>
      </c>
    </row>
    <row r="732" spans="1:28" x14ac:dyDescent="0.25">
      <c r="A732" s="12">
        <v>45231</v>
      </c>
      <c r="B732" s="13" t="s">
        <v>1439</v>
      </c>
      <c r="C732" s="46">
        <v>45232</v>
      </c>
      <c r="D732" s="13">
        <v>8285500</v>
      </c>
      <c r="E732" s="13" t="s">
        <v>859</v>
      </c>
      <c r="F732" s="13" t="s">
        <v>289</v>
      </c>
      <c r="G732" s="13" t="s">
        <v>192</v>
      </c>
      <c r="H732" s="17">
        <v>5212252</v>
      </c>
      <c r="I732" s="17" t="s">
        <v>23</v>
      </c>
      <c r="J732" s="31" t="s">
        <v>1440</v>
      </c>
      <c r="K732" s="13">
        <v>25</v>
      </c>
      <c r="L732" s="13">
        <v>545</v>
      </c>
      <c r="M732" s="13">
        <f t="shared" si="627"/>
        <v>13625</v>
      </c>
      <c r="N732" s="46">
        <v>45232</v>
      </c>
      <c r="O732" s="13" t="s">
        <v>204</v>
      </c>
      <c r="P732" s="13" t="s">
        <v>144</v>
      </c>
      <c r="Q732" s="53"/>
      <c r="R732" s="13" t="s">
        <v>1444</v>
      </c>
      <c r="S732" s="31">
        <v>711380608028</v>
      </c>
      <c r="T732" s="46">
        <v>45232</v>
      </c>
      <c r="U732" s="53"/>
      <c r="V732" s="13">
        <v>585</v>
      </c>
      <c r="W732" s="29">
        <v>45232.444444444445</v>
      </c>
      <c r="X732" s="29">
        <v>45232.645833333336</v>
      </c>
      <c r="Y732" s="30">
        <f t="shared" ref="Y732:Y734" si="680">+X732-W732</f>
        <v>0.20138888889050577</v>
      </c>
      <c r="Z732" s="29">
        <v>45232.506944444445</v>
      </c>
      <c r="AA732" s="29">
        <v>45232.635416666664</v>
      </c>
      <c r="AB732" s="30">
        <f t="shared" ref="AB732:AB734" si="681">+AA732-Z732</f>
        <v>0.12847222221898846</v>
      </c>
    </row>
    <row r="733" spans="1:28" x14ac:dyDescent="0.25">
      <c r="A733" s="12">
        <v>45231</v>
      </c>
      <c r="B733" s="13" t="s">
        <v>1445</v>
      </c>
      <c r="C733" s="20">
        <v>45232</v>
      </c>
      <c r="D733" s="13">
        <v>8017652</v>
      </c>
      <c r="E733" s="80" t="s">
        <v>859</v>
      </c>
      <c r="F733" s="80" t="s">
        <v>289</v>
      </c>
      <c r="G733" s="80" t="s">
        <v>192</v>
      </c>
      <c r="H733" s="17">
        <v>5212252</v>
      </c>
      <c r="I733" s="17" t="s">
        <v>23</v>
      </c>
      <c r="J733" s="31" t="s">
        <v>1441</v>
      </c>
      <c r="K733" s="80">
        <v>25</v>
      </c>
      <c r="L733" s="123">
        <v>280</v>
      </c>
      <c r="M733" s="13">
        <f t="shared" si="627"/>
        <v>7000</v>
      </c>
      <c r="N733" s="20">
        <v>45233</v>
      </c>
      <c r="O733" s="80" t="s">
        <v>589</v>
      </c>
      <c r="P733" s="13" t="s">
        <v>144</v>
      </c>
      <c r="Q733" s="123"/>
      <c r="R733" s="80" t="s">
        <v>803</v>
      </c>
      <c r="S733" s="81">
        <v>221671766707</v>
      </c>
      <c r="T733" s="20">
        <v>45233</v>
      </c>
      <c r="U733" s="123"/>
      <c r="V733" s="80">
        <v>586</v>
      </c>
      <c r="W733" s="29">
        <v>45233.513888888891</v>
      </c>
      <c r="X733" s="29">
        <v>45233.590277777781</v>
      </c>
      <c r="Y733" s="30">
        <f t="shared" si="680"/>
        <v>7.6388888890505768E-2</v>
      </c>
      <c r="Z733" s="29">
        <v>45233.520833333336</v>
      </c>
      <c r="AA733" s="29">
        <v>45233.583333333336</v>
      </c>
      <c r="AB733" s="30">
        <f t="shared" si="681"/>
        <v>6.25E-2</v>
      </c>
    </row>
    <row r="734" spans="1:28" x14ac:dyDescent="0.25">
      <c r="A734" s="12">
        <v>45231</v>
      </c>
      <c r="B734" s="13" t="s">
        <v>1446</v>
      </c>
      <c r="C734" s="20">
        <v>45233</v>
      </c>
      <c r="D734" s="13">
        <v>8285507</v>
      </c>
      <c r="E734" s="80" t="s">
        <v>523</v>
      </c>
      <c r="F734" s="80" t="s">
        <v>524</v>
      </c>
      <c r="G734" s="80" t="s">
        <v>192</v>
      </c>
      <c r="H734" s="17">
        <v>5212256</v>
      </c>
      <c r="I734" s="17" t="s">
        <v>22</v>
      </c>
      <c r="J734" s="13" t="s">
        <v>1334</v>
      </c>
      <c r="K734" s="80">
        <v>25</v>
      </c>
      <c r="L734" s="80">
        <v>640</v>
      </c>
      <c r="M734" s="80">
        <f t="shared" si="627"/>
        <v>16000</v>
      </c>
      <c r="N734" s="20">
        <v>45233</v>
      </c>
      <c r="O734" s="80" t="s">
        <v>425</v>
      </c>
      <c r="P734" s="80" t="s">
        <v>134</v>
      </c>
      <c r="Q734" s="123">
        <v>2300</v>
      </c>
      <c r="R734" s="80" t="s">
        <v>1447</v>
      </c>
      <c r="S734" s="81">
        <v>201671808128</v>
      </c>
      <c r="T734" s="20">
        <v>45233</v>
      </c>
      <c r="U734" s="123"/>
      <c r="V734" s="80">
        <v>587</v>
      </c>
      <c r="W734" s="29">
        <v>45233.611111111109</v>
      </c>
      <c r="X734" s="29">
        <v>45233.708333333336</v>
      </c>
      <c r="Y734" s="30">
        <f t="shared" si="680"/>
        <v>9.7222222226264421E-2</v>
      </c>
      <c r="Z734" s="29">
        <v>45233.625</v>
      </c>
      <c r="AA734" s="29">
        <v>45233.701388888891</v>
      </c>
      <c r="AB734" s="30">
        <f t="shared" si="681"/>
        <v>7.6388888890505768E-2</v>
      </c>
    </row>
    <row r="735" spans="1:28" x14ac:dyDescent="0.25">
      <c r="A735" s="12">
        <v>45231</v>
      </c>
      <c r="B735" s="13" t="s">
        <v>1446</v>
      </c>
      <c r="C735" s="20">
        <v>45233</v>
      </c>
      <c r="D735" s="13">
        <v>8224388</v>
      </c>
      <c r="E735" s="80" t="s">
        <v>523</v>
      </c>
      <c r="F735" s="80" t="s">
        <v>524</v>
      </c>
      <c r="G735" s="80" t="s">
        <v>192</v>
      </c>
      <c r="H735" s="17">
        <v>5212256</v>
      </c>
      <c r="I735" s="17" t="s">
        <v>22</v>
      </c>
      <c r="J735" s="13" t="s">
        <v>1334</v>
      </c>
      <c r="K735" s="80">
        <v>25</v>
      </c>
      <c r="L735" s="80">
        <v>160</v>
      </c>
      <c r="M735" s="80">
        <f t="shared" ref="M735:M738" si="682">K735*L735</f>
        <v>4000</v>
      </c>
      <c r="N735" s="20">
        <v>45233</v>
      </c>
      <c r="O735" s="80" t="s">
        <v>425</v>
      </c>
      <c r="P735" s="80" t="s">
        <v>134</v>
      </c>
      <c r="Q735" s="123">
        <v>2300</v>
      </c>
      <c r="R735" s="80" t="s">
        <v>1447</v>
      </c>
      <c r="S735" s="81">
        <v>201671808128</v>
      </c>
      <c r="T735" s="20">
        <v>45233</v>
      </c>
      <c r="U735" s="123"/>
      <c r="V735" s="80">
        <v>587</v>
      </c>
      <c r="W735" s="29">
        <v>45233.611111111109</v>
      </c>
      <c r="X735" s="29">
        <v>45233.708333333336</v>
      </c>
      <c r="Y735" s="30">
        <f t="shared" ref="Y735:Y738" si="683">+X735-W735</f>
        <v>9.7222222226264421E-2</v>
      </c>
      <c r="Z735" s="29">
        <v>45233.625</v>
      </c>
      <c r="AA735" s="29">
        <v>45233.701388888891</v>
      </c>
      <c r="AB735" s="30">
        <f t="shared" ref="AB735:AB738" si="684">+AA735-Z735</f>
        <v>7.6388888890505768E-2</v>
      </c>
    </row>
    <row r="736" spans="1:28" x14ac:dyDescent="0.25">
      <c r="A736" s="12">
        <v>45231</v>
      </c>
      <c r="B736" s="13" t="s">
        <v>1448</v>
      </c>
      <c r="C736" s="20">
        <v>45233</v>
      </c>
      <c r="D736" s="13">
        <v>8017652</v>
      </c>
      <c r="E736" s="80" t="s">
        <v>395</v>
      </c>
      <c r="F736" s="80" t="s">
        <v>396</v>
      </c>
      <c r="G736" s="80" t="s">
        <v>192</v>
      </c>
      <c r="H736" s="17">
        <v>5212252</v>
      </c>
      <c r="I736" s="17" t="s">
        <v>23</v>
      </c>
      <c r="J736" s="31" t="s">
        <v>1441</v>
      </c>
      <c r="K736" s="80">
        <v>25</v>
      </c>
      <c r="L736" s="80">
        <v>320</v>
      </c>
      <c r="M736" s="80">
        <f t="shared" si="682"/>
        <v>8000</v>
      </c>
      <c r="N736" s="20">
        <v>45233</v>
      </c>
      <c r="O736" s="80" t="s">
        <v>136</v>
      </c>
      <c r="P736" s="80" t="s">
        <v>134</v>
      </c>
      <c r="Q736" s="123">
        <v>2652</v>
      </c>
      <c r="R736" s="80" t="s">
        <v>1449</v>
      </c>
      <c r="S736" s="81">
        <v>251671855877</v>
      </c>
      <c r="T736" s="20">
        <v>45233</v>
      </c>
      <c r="U736" s="123"/>
      <c r="V736" s="80">
        <v>588</v>
      </c>
      <c r="W736" s="29">
        <v>45233.625</v>
      </c>
      <c r="X736" s="29">
        <v>45233.75</v>
      </c>
      <c r="Y736" s="30">
        <f t="shared" si="683"/>
        <v>0.125</v>
      </c>
      <c r="Z736" s="29">
        <v>45233.638888888891</v>
      </c>
      <c r="AA736" s="29">
        <v>45233.673611111109</v>
      </c>
      <c r="AB736" s="30">
        <f t="shared" si="684"/>
        <v>3.4722222218988463E-2</v>
      </c>
    </row>
    <row r="737" spans="1:28" s="66" customFormat="1" x14ac:dyDescent="0.25">
      <c r="A737" s="12">
        <v>45231</v>
      </c>
      <c r="B737" s="13" t="s">
        <v>1450</v>
      </c>
      <c r="C737" s="20">
        <v>45233</v>
      </c>
      <c r="D737" s="13">
        <v>8231129</v>
      </c>
      <c r="E737" s="80" t="s">
        <v>214</v>
      </c>
      <c r="F737" s="80" t="s">
        <v>215</v>
      </c>
      <c r="G737" s="80" t="s">
        <v>132</v>
      </c>
      <c r="H737" s="17">
        <v>5230874</v>
      </c>
      <c r="I737" s="17" t="s">
        <v>1316</v>
      </c>
      <c r="J737" s="14" t="s">
        <v>1289</v>
      </c>
      <c r="K737" s="80">
        <v>250</v>
      </c>
      <c r="L737" s="80">
        <v>32</v>
      </c>
      <c r="M737" s="80">
        <f t="shared" si="682"/>
        <v>8000</v>
      </c>
      <c r="N737" s="20">
        <v>45233</v>
      </c>
      <c r="O737" s="80" t="s">
        <v>136</v>
      </c>
      <c r="P737" s="80" t="s">
        <v>134</v>
      </c>
      <c r="Q737" s="80">
        <v>2653</v>
      </c>
      <c r="R737" s="80" t="s">
        <v>1451</v>
      </c>
      <c r="S737" s="81">
        <v>221671890176</v>
      </c>
      <c r="T737" s="20">
        <v>45233</v>
      </c>
      <c r="U737" s="123"/>
      <c r="V737" s="80">
        <v>589</v>
      </c>
      <c r="W737" s="29">
        <v>45233.708333333336</v>
      </c>
      <c r="X737" s="29">
        <v>45233.763888888891</v>
      </c>
      <c r="Y737" s="30">
        <f t="shared" si="683"/>
        <v>5.5555555554747116E-2</v>
      </c>
      <c r="Z737" s="29">
        <v>45233.71875</v>
      </c>
      <c r="AA737" s="29">
        <v>45233.756944444445</v>
      </c>
      <c r="AB737" s="30">
        <f t="shared" si="684"/>
        <v>3.8194444445252884E-2</v>
      </c>
    </row>
    <row r="738" spans="1:28" s="66" customFormat="1" x14ac:dyDescent="0.25">
      <c r="A738" s="12">
        <v>45231</v>
      </c>
      <c r="B738" s="13" t="s">
        <v>1452</v>
      </c>
      <c r="C738" s="20">
        <v>45233</v>
      </c>
      <c r="D738" s="13">
        <v>8017652</v>
      </c>
      <c r="E738" s="80" t="s">
        <v>859</v>
      </c>
      <c r="F738" s="80" t="s">
        <v>289</v>
      </c>
      <c r="G738" s="80" t="s">
        <v>192</v>
      </c>
      <c r="H738" s="17">
        <v>5212252</v>
      </c>
      <c r="I738" s="17" t="s">
        <v>23</v>
      </c>
      <c r="J738" s="31" t="s">
        <v>1441</v>
      </c>
      <c r="K738" s="80">
        <v>25</v>
      </c>
      <c r="L738" s="80">
        <v>23</v>
      </c>
      <c r="M738" s="80">
        <f t="shared" si="682"/>
        <v>575</v>
      </c>
      <c r="N738" s="20">
        <v>45233</v>
      </c>
      <c r="O738" s="80" t="s">
        <v>204</v>
      </c>
      <c r="P738" s="80" t="s">
        <v>144</v>
      </c>
      <c r="Q738" s="85" t="s">
        <v>30</v>
      </c>
      <c r="R738" s="80" t="s">
        <v>1453</v>
      </c>
      <c r="S738" s="81">
        <v>281671920129</v>
      </c>
      <c r="T738" s="20">
        <v>45233</v>
      </c>
      <c r="U738" s="123"/>
      <c r="V738" s="80">
        <v>590</v>
      </c>
      <c r="W738" s="29">
        <v>45233.729166666664</v>
      </c>
      <c r="X738" s="29">
        <v>45233.875</v>
      </c>
      <c r="Y738" s="30">
        <f t="shared" si="683"/>
        <v>0.14583333333575865</v>
      </c>
      <c r="Z738" s="29">
        <v>45233.756944444445</v>
      </c>
      <c r="AA738" s="29">
        <v>45233.871527777781</v>
      </c>
      <c r="AB738" s="30">
        <f t="shared" si="684"/>
        <v>0.11458333333575865</v>
      </c>
    </row>
    <row r="739" spans="1:28" s="66" customFormat="1" x14ac:dyDescent="0.25">
      <c r="A739" s="12">
        <v>45231</v>
      </c>
      <c r="B739" s="13" t="s">
        <v>1452</v>
      </c>
      <c r="C739" s="20">
        <v>45233</v>
      </c>
      <c r="D739" s="74">
        <v>8017652</v>
      </c>
      <c r="E739" s="80" t="s">
        <v>859</v>
      </c>
      <c r="F739" s="80" t="s">
        <v>289</v>
      </c>
      <c r="G739" s="80" t="s">
        <v>192</v>
      </c>
      <c r="H739" s="17">
        <v>5212252</v>
      </c>
      <c r="I739" s="17" t="s">
        <v>23</v>
      </c>
      <c r="J739" s="72" t="s">
        <v>1306</v>
      </c>
      <c r="K739" s="80">
        <v>25</v>
      </c>
      <c r="L739" s="80">
        <v>680</v>
      </c>
      <c r="M739" s="80">
        <f t="shared" ref="M739:M745" si="685">K739*L739</f>
        <v>17000</v>
      </c>
      <c r="N739" s="20">
        <v>45233</v>
      </c>
      <c r="O739" s="80" t="s">
        <v>204</v>
      </c>
      <c r="P739" s="80" t="s">
        <v>144</v>
      </c>
      <c r="Q739" s="85" t="s">
        <v>30</v>
      </c>
      <c r="R739" s="80" t="s">
        <v>1453</v>
      </c>
      <c r="S739" s="81">
        <v>281671920129</v>
      </c>
      <c r="T739" s="20">
        <v>45233</v>
      </c>
      <c r="U739" s="123"/>
      <c r="V739" s="80">
        <v>590</v>
      </c>
      <c r="W739" s="29">
        <v>45233.729166666664</v>
      </c>
      <c r="X739" s="29">
        <v>45233.875</v>
      </c>
      <c r="Y739" s="30">
        <f t="shared" ref="Y739:Y745" si="686">+X739-W739</f>
        <v>0.14583333333575865</v>
      </c>
      <c r="Z739" s="29">
        <v>45233.756944444445</v>
      </c>
      <c r="AA739" s="29">
        <v>45233.871527777781</v>
      </c>
      <c r="AB739" s="30">
        <f t="shared" ref="AB739:AB745" si="687">+AA739-Z739</f>
        <v>0.11458333333575865</v>
      </c>
    </row>
    <row r="740" spans="1:28" s="66" customFormat="1" x14ac:dyDescent="0.25">
      <c r="A740" s="12">
        <v>45231</v>
      </c>
      <c r="B740" s="13" t="s">
        <v>1452</v>
      </c>
      <c r="C740" s="20">
        <v>45233</v>
      </c>
      <c r="D740" s="74">
        <v>8017652</v>
      </c>
      <c r="E740" s="80" t="s">
        <v>859</v>
      </c>
      <c r="F740" s="80" t="s">
        <v>289</v>
      </c>
      <c r="G740" s="80" t="s">
        <v>192</v>
      </c>
      <c r="H740" s="17">
        <v>5212252</v>
      </c>
      <c r="I740" s="17" t="s">
        <v>23</v>
      </c>
      <c r="J740" s="72" t="s">
        <v>1166</v>
      </c>
      <c r="K740" s="80">
        <v>25</v>
      </c>
      <c r="L740" s="80">
        <v>248</v>
      </c>
      <c r="M740" s="80">
        <f t="shared" si="685"/>
        <v>6200</v>
      </c>
      <c r="N740" s="20">
        <v>45233</v>
      </c>
      <c r="O740" s="80" t="s">
        <v>204</v>
      </c>
      <c r="P740" s="80" t="s">
        <v>144</v>
      </c>
      <c r="Q740" s="85" t="s">
        <v>30</v>
      </c>
      <c r="R740" s="80" t="s">
        <v>1453</v>
      </c>
      <c r="S740" s="81">
        <v>281671920129</v>
      </c>
      <c r="T740" s="20">
        <v>45233</v>
      </c>
      <c r="U740" s="123"/>
      <c r="V740" s="80">
        <v>590</v>
      </c>
      <c r="W740" s="29">
        <v>45233.729166666664</v>
      </c>
      <c r="X740" s="29">
        <v>45233.875</v>
      </c>
      <c r="Y740" s="30">
        <f t="shared" si="686"/>
        <v>0.14583333333575865</v>
      </c>
      <c r="Z740" s="29">
        <v>45233.756944444445</v>
      </c>
      <c r="AA740" s="29">
        <v>45233.871527777781</v>
      </c>
      <c r="AB740" s="30">
        <f t="shared" si="687"/>
        <v>0.11458333333575865</v>
      </c>
    </row>
    <row r="741" spans="1:28" s="66" customFormat="1" x14ac:dyDescent="0.25">
      <c r="A741" s="12">
        <v>45231</v>
      </c>
      <c r="B741" s="13" t="s">
        <v>1452</v>
      </c>
      <c r="C741" s="20">
        <v>45233</v>
      </c>
      <c r="D741" s="74">
        <v>8017652</v>
      </c>
      <c r="E741" s="80" t="s">
        <v>859</v>
      </c>
      <c r="F741" s="80" t="s">
        <v>289</v>
      </c>
      <c r="G741" s="80" t="s">
        <v>192</v>
      </c>
      <c r="H741" s="17">
        <v>5212252</v>
      </c>
      <c r="I741" s="17" t="s">
        <v>23</v>
      </c>
      <c r="J741" s="72" t="s">
        <v>1219</v>
      </c>
      <c r="K741" s="80">
        <v>25</v>
      </c>
      <c r="L741" s="80">
        <v>52</v>
      </c>
      <c r="M741" s="80">
        <f t="shared" si="685"/>
        <v>1300</v>
      </c>
      <c r="N741" s="20">
        <v>45233</v>
      </c>
      <c r="O741" s="80" t="s">
        <v>204</v>
      </c>
      <c r="P741" s="80" t="s">
        <v>144</v>
      </c>
      <c r="Q741" s="85" t="s">
        <v>30</v>
      </c>
      <c r="R741" s="80" t="s">
        <v>1453</v>
      </c>
      <c r="S741" s="81">
        <v>281671920129</v>
      </c>
      <c r="T741" s="20">
        <v>45233</v>
      </c>
      <c r="U741" s="123"/>
      <c r="V741" s="80">
        <v>590</v>
      </c>
      <c r="W741" s="29">
        <v>45233.729166666664</v>
      </c>
      <c r="X741" s="29">
        <v>45233.875</v>
      </c>
      <c r="Y741" s="30">
        <f t="shared" si="686"/>
        <v>0.14583333333575865</v>
      </c>
      <c r="Z741" s="29">
        <v>45233.756944444445</v>
      </c>
      <c r="AA741" s="29">
        <v>45233.871527777781</v>
      </c>
      <c r="AB741" s="30">
        <f t="shared" si="687"/>
        <v>0.11458333333575865</v>
      </c>
    </row>
    <row r="742" spans="1:28" s="66" customFormat="1" x14ac:dyDescent="0.25">
      <c r="A742" s="12">
        <v>45231</v>
      </c>
      <c r="B742" s="13" t="s">
        <v>1452</v>
      </c>
      <c r="C742" s="20">
        <v>45233</v>
      </c>
      <c r="D742" s="74">
        <v>8017652</v>
      </c>
      <c r="E742" s="80" t="s">
        <v>859</v>
      </c>
      <c r="F742" s="80" t="s">
        <v>289</v>
      </c>
      <c r="G742" s="80" t="s">
        <v>192</v>
      </c>
      <c r="H742" s="17">
        <v>5212252</v>
      </c>
      <c r="I742" s="17" t="s">
        <v>23</v>
      </c>
      <c r="J742" s="74">
        <v>2021640709</v>
      </c>
      <c r="K742" s="80">
        <v>25</v>
      </c>
      <c r="L742" s="80">
        <v>60</v>
      </c>
      <c r="M742" s="80">
        <f t="shared" si="685"/>
        <v>1500</v>
      </c>
      <c r="N742" s="20">
        <v>45233</v>
      </c>
      <c r="O742" s="80" t="s">
        <v>204</v>
      </c>
      <c r="P742" s="80" t="s">
        <v>144</v>
      </c>
      <c r="Q742" s="85" t="s">
        <v>30</v>
      </c>
      <c r="R742" s="80" t="s">
        <v>1453</v>
      </c>
      <c r="S742" s="81">
        <v>281671920129</v>
      </c>
      <c r="T742" s="20">
        <v>45233</v>
      </c>
      <c r="U742" s="123"/>
      <c r="V742" s="80">
        <v>590</v>
      </c>
      <c r="W742" s="29">
        <v>45233.729166666664</v>
      </c>
      <c r="X742" s="29">
        <v>45233.875</v>
      </c>
      <c r="Y742" s="30">
        <f t="shared" si="686"/>
        <v>0.14583333333575865</v>
      </c>
      <c r="Z742" s="29">
        <v>45233.756944444445</v>
      </c>
      <c r="AA742" s="29">
        <v>45233.871527777781</v>
      </c>
      <c r="AB742" s="30">
        <f t="shared" si="687"/>
        <v>0.11458333333575865</v>
      </c>
    </row>
    <row r="743" spans="1:28" s="66" customFormat="1" x14ac:dyDescent="0.25">
      <c r="A743" s="12">
        <v>45231</v>
      </c>
      <c r="B743" s="13" t="s">
        <v>1452</v>
      </c>
      <c r="C743" s="20">
        <v>45233</v>
      </c>
      <c r="D743" s="123">
        <v>8404720</v>
      </c>
      <c r="E743" s="80" t="s">
        <v>859</v>
      </c>
      <c r="F743" s="80" t="s">
        <v>289</v>
      </c>
      <c r="G743" s="80" t="s">
        <v>192</v>
      </c>
      <c r="H743" s="17">
        <v>5212252</v>
      </c>
      <c r="I743" s="17" t="s">
        <v>23</v>
      </c>
      <c r="J743" s="13" t="s">
        <v>1377</v>
      </c>
      <c r="K743" s="80">
        <v>25</v>
      </c>
      <c r="L743" s="80">
        <v>337</v>
      </c>
      <c r="M743" s="80">
        <f t="shared" si="685"/>
        <v>8425</v>
      </c>
      <c r="N743" s="20">
        <v>45233</v>
      </c>
      <c r="O743" s="80" t="s">
        <v>204</v>
      </c>
      <c r="P743" s="80" t="s">
        <v>144</v>
      </c>
      <c r="Q743" s="85" t="s">
        <v>30</v>
      </c>
      <c r="R743" s="80" t="s">
        <v>1453</v>
      </c>
      <c r="S743" s="81">
        <v>281671920129</v>
      </c>
      <c r="T743" s="20">
        <v>45233</v>
      </c>
      <c r="U743" s="123"/>
      <c r="V743" s="80">
        <v>590</v>
      </c>
      <c r="W743" s="29">
        <v>45233.729166666664</v>
      </c>
      <c r="X743" s="29">
        <v>45233.875</v>
      </c>
      <c r="Y743" s="30">
        <f t="shared" si="686"/>
        <v>0.14583333333575865</v>
      </c>
      <c r="Z743" s="29">
        <v>45233.756944444445</v>
      </c>
      <c r="AA743" s="29">
        <v>45233.871527777781</v>
      </c>
      <c r="AB743" s="30">
        <f t="shared" si="687"/>
        <v>0.11458333333575865</v>
      </c>
    </row>
    <row r="744" spans="1:28" x14ac:dyDescent="0.25">
      <c r="A744" s="12">
        <v>45231</v>
      </c>
      <c r="B744" s="13" t="s">
        <v>1454</v>
      </c>
      <c r="C744" s="20">
        <v>45236</v>
      </c>
      <c r="D744" s="50">
        <v>8404720</v>
      </c>
      <c r="E744" s="80" t="s">
        <v>859</v>
      </c>
      <c r="F744" s="80" t="s">
        <v>289</v>
      </c>
      <c r="G744" s="80" t="s">
        <v>192</v>
      </c>
      <c r="H744" s="17">
        <v>5212252</v>
      </c>
      <c r="I744" s="17" t="s">
        <v>23</v>
      </c>
      <c r="J744" s="13" t="s">
        <v>1377</v>
      </c>
      <c r="K744" s="80">
        <v>25</v>
      </c>
      <c r="L744" s="80">
        <v>400</v>
      </c>
      <c r="M744" s="80">
        <f t="shared" si="685"/>
        <v>10000</v>
      </c>
      <c r="N744" s="20">
        <v>45236</v>
      </c>
      <c r="O744" s="80" t="s">
        <v>136</v>
      </c>
      <c r="P744" s="80" t="s">
        <v>144</v>
      </c>
      <c r="Q744" s="85" t="s">
        <v>30</v>
      </c>
      <c r="R744" s="80" t="s">
        <v>1455</v>
      </c>
      <c r="S744" s="81">
        <v>221673094945</v>
      </c>
      <c r="T744" s="20">
        <v>45236</v>
      </c>
      <c r="U744" s="123"/>
      <c r="V744" s="80">
        <v>591</v>
      </c>
      <c r="W744" s="29">
        <v>45236.5</v>
      </c>
      <c r="X744" s="29">
        <v>45236.597222222219</v>
      </c>
      <c r="Y744" s="30">
        <f t="shared" si="686"/>
        <v>9.7222222218988463E-2</v>
      </c>
      <c r="Z744" s="29">
        <v>45236.548611111109</v>
      </c>
      <c r="AA744" s="29">
        <v>45236.597222222219</v>
      </c>
      <c r="AB744" s="30">
        <f t="shared" si="687"/>
        <v>4.8611111109494232E-2</v>
      </c>
    </row>
    <row r="745" spans="1:28" x14ac:dyDescent="0.25">
      <c r="A745" s="12">
        <v>45231</v>
      </c>
      <c r="B745" s="13" t="s">
        <v>1456</v>
      </c>
      <c r="C745" s="20">
        <v>45236</v>
      </c>
      <c r="D745" s="13">
        <v>7463185</v>
      </c>
      <c r="E745" s="80" t="s">
        <v>727</v>
      </c>
      <c r="F745" s="80" t="s">
        <v>728</v>
      </c>
      <c r="G745" s="80" t="s">
        <v>1263</v>
      </c>
      <c r="H745" s="123" t="s">
        <v>30</v>
      </c>
      <c r="I745" s="17" t="s">
        <v>891</v>
      </c>
      <c r="J745" s="13" t="s">
        <v>889</v>
      </c>
      <c r="K745" s="80">
        <v>1000</v>
      </c>
      <c r="L745" s="80">
        <v>10</v>
      </c>
      <c r="M745" s="80">
        <f t="shared" si="685"/>
        <v>10000</v>
      </c>
      <c r="N745" s="20">
        <v>45236</v>
      </c>
      <c r="O745" s="80" t="s">
        <v>136</v>
      </c>
      <c r="P745" s="80" t="s">
        <v>1264</v>
      </c>
      <c r="Q745" s="123">
        <v>6190</v>
      </c>
      <c r="R745" s="80" t="s">
        <v>1457</v>
      </c>
      <c r="S745" s="81">
        <v>201673186006</v>
      </c>
      <c r="T745" s="20">
        <v>45236</v>
      </c>
      <c r="U745" s="123"/>
      <c r="V745" s="80">
        <v>592</v>
      </c>
      <c r="W745" s="29">
        <v>45236.583333333336</v>
      </c>
      <c r="X745" s="29">
        <v>45236.743055555555</v>
      </c>
      <c r="Y745" s="30">
        <f t="shared" si="686"/>
        <v>0.15972222221898846</v>
      </c>
      <c r="Z745" s="29">
        <v>45236.71875</v>
      </c>
      <c r="AA745" s="29">
        <v>45236.743055555555</v>
      </c>
      <c r="AB745" s="30">
        <f t="shared" si="687"/>
        <v>2.4305555554747116E-2</v>
      </c>
    </row>
    <row r="746" spans="1:28" x14ac:dyDescent="0.25">
      <c r="A746" s="12">
        <v>45231</v>
      </c>
      <c r="B746" s="13" t="s">
        <v>1456</v>
      </c>
      <c r="C746" s="20">
        <v>45236</v>
      </c>
      <c r="D746" s="13">
        <v>7463185</v>
      </c>
      <c r="E746" s="80" t="s">
        <v>727</v>
      </c>
      <c r="F746" s="80" t="s">
        <v>728</v>
      </c>
      <c r="G746" s="80" t="s">
        <v>1263</v>
      </c>
      <c r="H746" s="123" t="s">
        <v>30</v>
      </c>
      <c r="I746" s="17" t="s">
        <v>891</v>
      </c>
      <c r="J746" s="13" t="s">
        <v>889</v>
      </c>
      <c r="K746" s="80">
        <v>1000</v>
      </c>
      <c r="L746" s="80">
        <v>10</v>
      </c>
      <c r="M746" s="80">
        <f t="shared" ref="M746:M760" si="688">K746*L746</f>
        <v>10000</v>
      </c>
      <c r="N746" s="20">
        <v>45236</v>
      </c>
      <c r="O746" s="80" t="s">
        <v>136</v>
      </c>
      <c r="P746" s="80" t="s">
        <v>1264</v>
      </c>
      <c r="Q746" s="123">
        <v>6190</v>
      </c>
      <c r="R746" s="80" t="s">
        <v>1458</v>
      </c>
      <c r="S746" s="81">
        <v>201673186006</v>
      </c>
      <c r="T746" s="20">
        <v>45236</v>
      </c>
      <c r="U746" s="123"/>
      <c r="V746" s="80">
        <v>593</v>
      </c>
      <c r="W746" s="29">
        <v>45236.604166666664</v>
      </c>
      <c r="X746" s="29">
        <v>45236.75</v>
      </c>
      <c r="Y746" s="30">
        <f t="shared" ref="Y746:Y760" si="689">+X746-W746</f>
        <v>0.14583333333575865</v>
      </c>
      <c r="Z746" s="29">
        <v>45236.729166666664</v>
      </c>
      <c r="AA746" s="29">
        <v>45236.743055555555</v>
      </c>
      <c r="AB746" s="30">
        <f t="shared" ref="AB746:AB760" si="690">+AA746-Z746</f>
        <v>1.3888888890505768E-2</v>
      </c>
    </row>
    <row r="747" spans="1:28" x14ac:dyDescent="0.25">
      <c r="A747" s="12">
        <v>45231</v>
      </c>
      <c r="B747" s="13" t="s">
        <v>1459</v>
      </c>
      <c r="C747" s="20">
        <v>45236</v>
      </c>
      <c r="D747" s="13">
        <v>7071414</v>
      </c>
      <c r="E747" s="80" t="s">
        <v>1460</v>
      </c>
      <c r="F747" s="80" t="s">
        <v>396</v>
      </c>
      <c r="G747" s="80" t="s">
        <v>192</v>
      </c>
      <c r="H747" s="17">
        <v>5210162</v>
      </c>
      <c r="I747" s="17" t="s">
        <v>24</v>
      </c>
      <c r="J747" s="13" t="s">
        <v>770</v>
      </c>
      <c r="K747" s="80">
        <v>25</v>
      </c>
      <c r="L747" s="80">
        <v>400</v>
      </c>
      <c r="M747" s="80">
        <f t="shared" si="688"/>
        <v>10000</v>
      </c>
      <c r="N747" s="20">
        <v>45236</v>
      </c>
      <c r="O747" s="80" t="s">
        <v>136</v>
      </c>
      <c r="P747" s="80" t="s">
        <v>134</v>
      </c>
      <c r="Q747" s="123">
        <v>2654</v>
      </c>
      <c r="R747" s="80" t="s">
        <v>1461</v>
      </c>
      <c r="S747" s="81">
        <v>291673202242</v>
      </c>
      <c r="T747" s="20">
        <v>45236</v>
      </c>
      <c r="U747" s="123"/>
      <c r="V747" s="80">
        <v>594</v>
      </c>
      <c r="W747" s="29">
        <v>45236.625</v>
      </c>
      <c r="X747" s="29">
        <v>45236.763888888891</v>
      </c>
      <c r="Y747" s="30">
        <f t="shared" si="689"/>
        <v>0.13888888889050577</v>
      </c>
      <c r="Z747" s="29">
        <v>45236.732638888891</v>
      </c>
      <c r="AA747" s="29">
        <v>45236.763888888891</v>
      </c>
      <c r="AB747" s="30">
        <f t="shared" si="690"/>
        <v>3.125E-2</v>
      </c>
    </row>
    <row r="748" spans="1:28" x14ac:dyDescent="0.25">
      <c r="A748" s="12">
        <v>45231</v>
      </c>
      <c r="B748" s="13" t="s">
        <v>1462</v>
      </c>
      <c r="C748" s="20">
        <v>45236</v>
      </c>
      <c r="D748" s="13">
        <v>8178885</v>
      </c>
      <c r="E748" s="80" t="s">
        <v>1089</v>
      </c>
      <c r="F748" s="80" t="s">
        <v>215</v>
      </c>
      <c r="G748" s="80" t="s">
        <v>132</v>
      </c>
      <c r="H748" s="17">
        <v>5230831</v>
      </c>
      <c r="I748" s="17" t="s">
        <v>35</v>
      </c>
      <c r="J748" s="14" t="s">
        <v>1259</v>
      </c>
      <c r="K748" s="80">
        <v>240</v>
      </c>
      <c r="L748" s="80">
        <v>20</v>
      </c>
      <c r="M748" s="80">
        <f t="shared" si="688"/>
        <v>4800</v>
      </c>
      <c r="N748" s="20">
        <v>45236</v>
      </c>
      <c r="O748" s="80" t="s">
        <v>298</v>
      </c>
      <c r="P748" s="80" t="s">
        <v>134</v>
      </c>
      <c r="Q748" s="85">
        <v>2655</v>
      </c>
      <c r="R748" s="80" t="s">
        <v>1463</v>
      </c>
      <c r="S748" s="81">
        <v>201673203714</v>
      </c>
      <c r="T748" s="20">
        <v>45236</v>
      </c>
      <c r="U748" s="123"/>
      <c r="V748" s="80">
        <v>595</v>
      </c>
      <c r="W748" s="29">
        <v>45236.666666666664</v>
      </c>
      <c r="X748" s="29">
        <v>45236.791666666664</v>
      </c>
      <c r="Y748" s="30">
        <f t="shared" si="689"/>
        <v>0.125</v>
      </c>
      <c r="Z748" s="29">
        <v>45236.75</v>
      </c>
      <c r="AA748" s="29">
        <v>45236.791666666664</v>
      </c>
      <c r="AB748" s="30">
        <f t="shared" si="690"/>
        <v>4.1666666664241347E-2</v>
      </c>
    </row>
    <row r="749" spans="1:28" x14ac:dyDescent="0.25">
      <c r="A749" s="12">
        <v>45231</v>
      </c>
      <c r="B749" s="13" t="s">
        <v>1464</v>
      </c>
      <c r="C749" s="20">
        <v>45236</v>
      </c>
      <c r="D749" s="13">
        <v>8178885</v>
      </c>
      <c r="E749" s="80" t="s">
        <v>624</v>
      </c>
      <c r="F749" s="80" t="s">
        <v>625</v>
      </c>
      <c r="G749" s="80" t="s">
        <v>132</v>
      </c>
      <c r="H749" s="17">
        <v>5230831</v>
      </c>
      <c r="I749" s="17" t="s">
        <v>35</v>
      </c>
      <c r="J749" s="14" t="s">
        <v>1259</v>
      </c>
      <c r="K749" s="80">
        <v>240</v>
      </c>
      <c r="L749" s="80">
        <v>32</v>
      </c>
      <c r="M749" s="80">
        <f t="shared" si="688"/>
        <v>7680</v>
      </c>
      <c r="N749" s="20">
        <v>45236</v>
      </c>
      <c r="O749" s="80" t="s">
        <v>177</v>
      </c>
      <c r="P749" s="80" t="s">
        <v>134</v>
      </c>
      <c r="Q749" s="85">
        <v>2656</v>
      </c>
      <c r="R749" s="80" t="s">
        <v>1465</v>
      </c>
      <c r="S749" s="81">
        <v>221673244227</v>
      </c>
      <c r="T749" s="20">
        <v>45236</v>
      </c>
      <c r="U749" s="123"/>
      <c r="V749" s="80">
        <v>596</v>
      </c>
      <c r="W749" s="29">
        <v>45236.659722222219</v>
      </c>
      <c r="X749" s="29">
        <v>45236.798611111109</v>
      </c>
      <c r="Y749" s="30">
        <f t="shared" si="689"/>
        <v>0.13888888889050577</v>
      </c>
      <c r="Z749" s="29">
        <v>45236.791666666664</v>
      </c>
      <c r="AA749" s="29">
        <v>45236.805555555555</v>
      </c>
      <c r="AB749" s="30">
        <f t="shared" si="690"/>
        <v>1.3888888890505768E-2</v>
      </c>
    </row>
    <row r="750" spans="1:28" x14ac:dyDescent="0.25">
      <c r="A750" s="12">
        <v>45231</v>
      </c>
      <c r="B750" s="13" t="s">
        <v>1466</v>
      </c>
      <c r="C750" s="20">
        <v>45236</v>
      </c>
      <c r="D750" s="13">
        <v>7197282</v>
      </c>
      <c r="E750" s="80" t="s">
        <v>1467</v>
      </c>
      <c r="F750" s="80" t="s">
        <v>240</v>
      </c>
      <c r="G750" s="80" t="s">
        <v>132</v>
      </c>
      <c r="H750" s="17">
        <v>5309040</v>
      </c>
      <c r="I750" s="17" t="s">
        <v>105</v>
      </c>
      <c r="J750" s="13" t="s">
        <v>811</v>
      </c>
      <c r="K750" s="80">
        <v>250</v>
      </c>
      <c r="L750" s="80">
        <v>80</v>
      </c>
      <c r="M750" s="80">
        <f t="shared" si="688"/>
        <v>20000</v>
      </c>
      <c r="N750" s="20">
        <v>45236</v>
      </c>
      <c r="O750" s="80" t="s">
        <v>425</v>
      </c>
      <c r="P750" s="80" t="s">
        <v>134</v>
      </c>
      <c r="Q750" s="85">
        <v>2657</v>
      </c>
      <c r="R750" s="80" t="s">
        <v>1468</v>
      </c>
      <c r="S750" s="81">
        <v>261673260481</v>
      </c>
      <c r="T750" s="20">
        <v>45236</v>
      </c>
      <c r="U750" s="123"/>
      <c r="V750" s="80">
        <v>597</v>
      </c>
      <c r="W750" s="29">
        <v>45236.722222222219</v>
      </c>
      <c r="X750" s="29">
        <v>45236.892361111109</v>
      </c>
      <c r="Y750" s="30">
        <f t="shared" si="689"/>
        <v>0.17013888889050577</v>
      </c>
      <c r="Z750" s="29">
        <v>45236.8125</v>
      </c>
      <c r="AA750" s="29">
        <v>45236.888888888891</v>
      </c>
      <c r="AB750" s="30">
        <f t="shared" si="690"/>
        <v>7.6388888890505768E-2</v>
      </c>
    </row>
    <row r="751" spans="1:28" x14ac:dyDescent="0.25">
      <c r="A751" s="12">
        <v>45231</v>
      </c>
      <c r="B751" s="13" t="s">
        <v>1469</v>
      </c>
      <c r="C751" s="20">
        <v>45237</v>
      </c>
      <c r="D751" s="13">
        <v>8262234</v>
      </c>
      <c r="E751" s="80" t="s">
        <v>196</v>
      </c>
      <c r="F751" s="80" t="s">
        <v>197</v>
      </c>
      <c r="G751" s="80" t="s">
        <v>132</v>
      </c>
      <c r="H751" s="17">
        <v>5230831</v>
      </c>
      <c r="I751" s="17" t="s">
        <v>35</v>
      </c>
      <c r="J751" s="14" t="s">
        <v>1232</v>
      </c>
      <c r="K751" s="80">
        <v>240</v>
      </c>
      <c r="L751" s="80">
        <v>40</v>
      </c>
      <c r="M751" s="80">
        <f t="shared" si="688"/>
        <v>9600</v>
      </c>
      <c r="N751" s="20">
        <v>45237</v>
      </c>
      <c r="O751" s="80" t="s">
        <v>136</v>
      </c>
      <c r="P751" s="80" t="s">
        <v>144</v>
      </c>
      <c r="Q751" s="80">
        <v>5712</v>
      </c>
      <c r="R751" s="80" t="s">
        <v>265</v>
      </c>
      <c r="S751" s="81">
        <v>241673623307</v>
      </c>
      <c r="T751" s="20">
        <v>45237</v>
      </c>
      <c r="U751" s="123"/>
      <c r="V751" s="80">
        <v>598</v>
      </c>
      <c r="W751" s="29">
        <v>45237.583333333336</v>
      </c>
      <c r="X751" s="29">
        <v>45237.638888888891</v>
      </c>
      <c r="Y751" s="30">
        <f t="shared" si="689"/>
        <v>5.5555555554747116E-2</v>
      </c>
      <c r="Z751" s="29">
        <v>45237.611111111109</v>
      </c>
      <c r="AA751" s="29">
        <v>45237.631944444445</v>
      </c>
      <c r="AB751" s="30">
        <f t="shared" si="690"/>
        <v>2.0833333335758653E-2</v>
      </c>
    </row>
    <row r="752" spans="1:28" x14ac:dyDescent="0.25">
      <c r="A752" s="12">
        <v>45231</v>
      </c>
      <c r="B752" s="13" t="s">
        <v>1470</v>
      </c>
      <c r="C752" s="20">
        <v>45237</v>
      </c>
      <c r="D752" s="13">
        <v>8231129</v>
      </c>
      <c r="E752" s="80" t="s">
        <v>214</v>
      </c>
      <c r="F752" s="80" t="s">
        <v>215</v>
      </c>
      <c r="G752" s="80" t="s">
        <v>132</v>
      </c>
      <c r="H752" s="17">
        <v>5230874</v>
      </c>
      <c r="I752" s="17" t="s">
        <v>1316</v>
      </c>
      <c r="J752" s="14" t="s">
        <v>1287</v>
      </c>
      <c r="K752" s="80">
        <v>250</v>
      </c>
      <c r="L752" s="80">
        <v>1</v>
      </c>
      <c r="M752" s="80">
        <f t="shared" si="688"/>
        <v>250</v>
      </c>
      <c r="N752" s="20">
        <v>45237</v>
      </c>
      <c r="O752" s="80" t="s">
        <v>136</v>
      </c>
      <c r="P752" s="80" t="s">
        <v>134</v>
      </c>
      <c r="Q752" s="80">
        <v>2659</v>
      </c>
      <c r="R752" s="80" t="s">
        <v>764</v>
      </c>
      <c r="S752" s="81">
        <v>211673809515</v>
      </c>
      <c r="T752" s="20">
        <v>45237</v>
      </c>
      <c r="U752" s="123"/>
      <c r="V752" s="80">
        <v>599</v>
      </c>
      <c r="W752" s="29">
        <v>45237.645833333336</v>
      </c>
      <c r="X752" s="29">
        <v>45237.743055555555</v>
      </c>
      <c r="Y752" s="30">
        <f t="shared" si="689"/>
        <v>9.7222222218988463E-2</v>
      </c>
      <c r="Z752" s="29">
        <v>45237.694444444445</v>
      </c>
      <c r="AA752" s="29">
        <v>45237.743055555555</v>
      </c>
      <c r="AB752" s="30">
        <f t="shared" si="690"/>
        <v>4.8611111109494232E-2</v>
      </c>
    </row>
    <row r="753" spans="1:28" x14ac:dyDescent="0.25">
      <c r="A753" s="12">
        <v>45231</v>
      </c>
      <c r="B753" s="13" t="s">
        <v>1470</v>
      </c>
      <c r="C753" s="20">
        <v>45237</v>
      </c>
      <c r="D753" s="13">
        <v>8231129</v>
      </c>
      <c r="E753" s="80" t="s">
        <v>214</v>
      </c>
      <c r="F753" s="80" t="s">
        <v>215</v>
      </c>
      <c r="G753" s="80" t="s">
        <v>132</v>
      </c>
      <c r="H753" s="17">
        <v>5230874</v>
      </c>
      <c r="I753" s="17" t="s">
        <v>1316</v>
      </c>
      <c r="J753" s="14" t="s">
        <v>1289</v>
      </c>
      <c r="K753" s="80">
        <v>250</v>
      </c>
      <c r="L753" s="80">
        <v>8</v>
      </c>
      <c r="M753" s="80">
        <f t="shared" ref="M753:M754" si="691">K753*L753</f>
        <v>2000</v>
      </c>
      <c r="N753" s="20">
        <v>45237</v>
      </c>
      <c r="O753" s="80" t="s">
        <v>136</v>
      </c>
      <c r="P753" s="80" t="s">
        <v>134</v>
      </c>
      <c r="Q753" s="80">
        <v>2659</v>
      </c>
      <c r="R753" s="80" t="s">
        <v>764</v>
      </c>
      <c r="S753" s="81">
        <v>211673809515</v>
      </c>
      <c r="T753" s="20">
        <v>45237</v>
      </c>
      <c r="U753" s="123"/>
      <c r="V753" s="80">
        <v>599</v>
      </c>
      <c r="W753" s="29">
        <v>45237.645833333336</v>
      </c>
      <c r="X753" s="29">
        <v>45237.743055555555</v>
      </c>
      <c r="Y753" s="30">
        <f t="shared" ref="Y753:Y754" si="692">+X753-W753</f>
        <v>9.7222222218988463E-2</v>
      </c>
      <c r="Z753" s="29">
        <v>45237.694444444445</v>
      </c>
      <c r="AA753" s="29">
        <v>45237.743055555555</v>
      </c>
      <c r="AB753" s="30">
        <f t="shared" ref="AB753:AB754" si="693">+AA753-Z753</f>
        <v>4.8611111109494232E-2</v>
      </c>
    </row>
    <row r="754" spans="1:28" x14ac:dyDescent="0.25">
      <c r="A754" s="12">
        <v>45231</v>
      </c>
      <c r="B754" s="13" t="s">
        <v>1470</v>
      </c>
      <c r="C754" s="20">
        <v>45237</v>
      </c>
      <c r="D754" s="13">
        <v>8169768</v>
      </c>
      <c r="E754" s="80" t="s">
        <v>214</v>
      </c>
      <c r="F754" s="80" t="s">
        <v>215</v>
      </c>
      <c r="G754" s="80" t="s">
        <v>132</v>
      </c>
      <c r="H754" s="17">
        <v>5230874</v>
      </c>
      <c r="I754" s="17" t="s">
        <v>1316</v>
      </c>
      <c r="J754" s="14" t="s">
        <v>1295</v>
      </c>
      <c r="K754" s="80">
        <v>250</v>
      </c>
      <c r="L754" s="80">
        <v>23</v>
      </c>
      <c r="M754" s="80">
        <f t="shared" si="691"/>
        <v>5750</v>
      </c>
      <c r="N754" s="20">
        <v>45237</v>
      </c>
      <c r="O754" s="80" t="s">
        <v>136</v>
      </c>
      <c r="P754" s="80" t="s">
        <v>134</v>
      </c>
      <c r="Q754" s="80">
        <v>2659</v>
      </c>
      <c r="R754" s="80" t="s">
        <v>764</v>
      </c>
      <c r="S754" s="81">
        <v>211673809515</v>
      </c>
      <c r="T754" s="20">
        <v>45237</v>
      </c>
      <c r="U754" s="123"/>
      <c r="V754" s="80">
        <v>599</v>
      </c>
      <c r="W754" s="29">
        <v>45237.645833333336</v>
      </c>
      <c r="X754" s="29">
        <v>45237.743055555555</v>
      </c>
      <c r="Y754" s="30">
        <f t="shared" si="692"/>
        <v>9.7222222218988463E-2</v>
      </c>
      <c r="Z754" s="29">
        <v>45237.694444444445</v>
      </c>
      <c r="AA754" s="29">
        <v>45237.743055555555</v>
      </c>
      <c r="AB754" s="30">
        <f t="shared" si="693"/>
        <v>4.8611111109494232E-2</v>
      </c>
    </row>
    <row r="755" spans="1:28" x14ac:dyDescent="0.25">
      <c r="A755" s="12">
        <v>45231</v>
      </c>
      <c r="B755" s="13" t="s">
        <v>1471</v>
      </c>
      <c r="C755" s="20">
        <v>45237</v>
      </c>
      <c r="D755" s="13">
        <v>8178885</v>
      </c>
      <c r="E755" s="80" t="s">
        <v>624</v>
      </c>
      <c r="F755" s="80" t="s">
        <v>625</v>
      </c>
      <c r="G755" s="80" t="s">
        <v>132</v>
      </c>
      <c r="H755" s="17">
        <v>5230831</v>
      </c>
      <c r="I755" s="17" t="s">
        <v>35</v>
      </c>
      <c r="J755" s="14" t="s">
        <v>1259</v>
      </c>
      <c r="K755" s="80">
        <v>240</v>
      </c>
      <c r="L755" s="80">
        <v>32</v>
      </c>
      <c r="M755" s="80">
        <f t="shared" si="688"/>
        <v>7680</v>
      </c>
      <c r="N755" s="20">
        <v>45237</v>
      </c>
      <c r="O755" s="80" t="s">
        <v>177</v>
      </c>
      <c r="P755" s="80" t="s">
        <v>134</v>
      </c>
      <c r="Q755" s="80">
        <v>2658</v>
      </c>
      <c r="R755" s="80" t="s">
        <v>1472</v>
      </c>
      <c r="S755" s="81">
        <v>221673807471</v>
      </c>
      <c r="T755" s="20">
        <v>45237</v>
      </c>
      <c r="U755" s="123"/>
      <c r="V755" s="80">
        <v>600</v>
      </c>
      <c r="W755" s="29">
        <v>45237.680555555555</v>
      </c>
      <c r="X755" s="29">
        <v>45237.784722222219</v>
      </c>
      <c r="Y755" s="30">
        <f t="shared" si="689"/>
        <v>0.10416666666424135</v>
      </c>
      <c r="Z755" s="29">
        <v>45237.763888888891</v>
      </c>
      <c r="AA755" s="29">
        <v>45237.784722222219</v>
      </c>
      <c r="AB755" s="30">
        <f t="shared" si="690"/>
        <v>2.0833333328482695E-2</v>
      </c>
    </row>
    <row r="756" spans="1:28" x14ac:dyDescent="0.25">
      <c r="A756" s="12">
        <v>45231</v>
      </c>
      <c r="B756" s="13" t="s">
        <v>1473</v>
      </c>
      <c r="C756" s="20">
        <v>45236</v>
      </c>
      <c r="D756" s="13">
        <v>6087743</v>
      </c>
      <c r="E756" s="80" t="s">
        <v>1467</v>
      </c>
      <c r="F756" s="80" t="s">
        <v>240</v>
      </c>
      <c r="G756" s="80" t="s">
        <v>132</v>
      </c>
      <c r="H756" s="17">
        <v>5309040</v>
      </c>
      <c r="I756" s="17" t="s">
        <v>105</v>
      </c>
      <c r="J756" s="13" t="s">
        <v>107</v>
      </c>
      <c r="K756" s="80">
        <v>250</v>
      </c>
      <c r="L756" s="80">
        <v>1</v>
      </c>
      <c r="M756" s="80">
        <f t="shared" si="688"/>
        <v>250</v>
      </c>
      <c r="N756" s="20">
        <v>45237</v>
      </c>
      <c r="O756" s="80" t="s">
        <v>425</v>
      </c>
      <c r="P756" s="80" t="s">
        <v>134</v>
      </c>
      <c r="Q756" s="80">
        <v>2660</v>
      </c>
      <c r="R756" s="80" t="s">
        <v>1474</v>
      </c>
      <c r="S756" s="81">
        <v>211673815682</v>
      </c>
      <c r="T756" s="20">
        <v>45237</v>
      </c>
      <c r="U756" s="123"/>
      <c r="V756" s="80">
        <v>601</v>
      </c>
      <c r="W756" s="29">
        <v>45237.666666666664</v>
      </c>
      <c r="X756" s="29">
        <v>45237.875</v>
      </c>
      <c r="Y756" s="30">
        <f t="shared" si="689"/>
        <v>0.20833333333575865</v>
      </c>
      <c r="Z756" s="29">
        <v>45237.840277777781</v>
      </c>
      <c r="AA756" s="29">
        <v>45237.875</v>
      </c>
      <c r="AB756" s="30">
        <f t="shared" si="690"/>
        <v>3.4722222218988463E-2</v>
      </c>
    </row>
    <row r="757" spans="1:28" x14ac:dyDescent="0.25">
      <c r="A757" s="12">
        <v>45231</v>
      </c>
      <c r="B757" s="13" t="s">
        <v>1473</v>
      </c>
      <c r="C757" s="20">
        <v>45236</v>
      </c>
      <c r="D757" s="13">
        <v>7197282</v>
      </c>
      <c r="E757" s="80" t="s">
        <v>1467</v>
      </c>
      <c r="F757" s="80" t="s">
        <v>240</v>
      </c>
      <c r="G757" s="80" t="s">
        <v>132</v>
      </c>
      <c r="H757" s="17">
        <v>5309040</v>
      </c>
      <c r="I757" s="17" t="s">
        <v>105</v>
      </c>
      <c r="J757" s="13" t="s">
        <v>811</v>
      </c>
      <c r="K757" s="80">
        <v>250</v>
      </c>
      <c r="L757" s="80">
        <v>4</v>
      </c>
      <c r="M757" s="80">
        <f t="shared" ref="M757:M759" si="694">K757*L757</f>
        <v>1000</v>
      </c>
      <c r="N757" s="20">
        <v>45237</v>
      </c>
      <c r="O757" s="80" t="s">
        <v>425</v>
      </c>
      <c r="P757" s="80" t="s">
        <v>134</v>
      </c>
      <c r="Q757" s="80">
        <v>2660</v>
      </c>
      <c r="R757" s="80" t="s">
        <v>1474</v>
      </c>
      <c r="S757" s="81">
        <v>211673815682</v>
      </c>
      <c r="T757" s="20">
        <v>45237</v>
      </c>
      <c r="U757" s="123"/>
      <c r="V757" s="80">
        <v>601</v>
      </c>
      <c r="W757" s="29">
        <v>45237.666666666664</v>
      </c>
      <c r="X757" s="29">
        <v>45237.875</v>
      </c>
      <c r="Y757" s="30">
        <f t="shared" ref="Y757:Y759" si="695">+X757-W757</f>
        <v>0.20833333333575865</v>
      </c>
      <c r="Z757" s="29">
        <v>45237.840277777781</v>
      </c>
      <c r="AA757" s="29">
        <v>45237.875</v>
      </c>
      <c r="AB757" s="30">
        <f t="shared" ref="AB757:AB759" si="696">+AA757-Z757</f>
        <v>3.4722222218988463E-2</v>
      </c>
    </row>
    <row r="758" spans="1:28" x14ac:dyDescent="0.25">
      <c r="A758" s="12">
        <v>45231</v>
      </c>
      <c r="B758" s="13" t="s">
        <v>1473</v>
      </c>
      <c r="C758" s="20">
        <v>45236</v>
      </c>
      <c r="D758" s="13">
        <v>7933360</v>
      </c>
      <c r="E758" s="80" t="s">
        <v>1467</v>
      </c>
      <c r="F758" s="80" t="s">
        <v>240</v>
      </c>
      <c r="G758" s="80" t="s">
        <v>132</v>
      </c>
      <c r="H758" s="17">
        <v>5309040</v>
      </c>
      <c r="I758" s="17" t="s">
        <v>105</v>
      </c>
      <c r="J758" s="13" t="s">
        <v>1210</v>
      </c>
      <c r="K758" s="80">
        <v>250</v>
      </c>
      <c r="L758" s="80">
        <v>35</v>
      </c>
      <c r="M758" s="80">
        <f t="shared" si="694"/>
        <v>8750</v>
      </c>
      <c r="N758" s="20">
        <v>45237</v>
      </c>
      <c r="O758" s="80" t="s">
        <v>425</v>
      </c>
      <c r="P758" s="80" t="s">
        <v>134</v>
      </c>
      <c r="Q758" s="80">
        <v>2660</v>
      </c>
      <c r="R758" s="80" t="s">
        <v>1474</v>
      </c>
      <c r="S758" s="81">
        <v>211673815682</v>
      </c>
      <c r="T758" s="20">
        <v>45237</v>
      </c>
      <c r="U758" s="123"/>
      <c r="V758" s="80">
        <v>601</v>
      </c>
      <c r="W758" s="29">
        <v>45237.666666666664</v>
      </c>
      <c r="X758" s="29">
        <v>45237.875</v>
      </c>
      <c r="Y758" s="30">
        <f t="shared" si="695"/>
        <v>0.20833333333575865</v>
      </c>
      <c r="Z758" s="29">
        <v>45237.840277777781</v>
      </c>
      <c r="AA758" s="29">
        <v>45237.875</v>
      </c>
      <c r="AB758" s="30">
        <f t="shared" si="696"/>
        <v>3.4722222218988463E-2</v>
      </c>
    </row>
    <row r="759" spans="1:28" x14ac:dyDescent="0.25">
      <c r="A759" s="12">
        <v>45231</v>
      </c>
      <c r="B759" s="13" t="s">
        <v>1473</v>
      </c>
      <c r="C759" s="20">
        <v>45236</v>
      </c>
      <c r="D759" s="13">
        <v>7933360</v>
      </c>
      <c r="E759" s="80" t="s">
        <v>1467</v>
      </c>
      <c r="F759" s="80" t="s">
        <v>240</v>
      </c>
      <c r="G759" s="80" t="s">
        <v>132</v>
      </c>
      <c r="H759" s="17">
        <v>5309040</v>
      </c>
      <c r="I759" s="17" t="s">
        <v>105</v>
      </c>
      <c r="J759" s="13" t="s">
        <v>1204</v>
      </c>
      <c r="K759" s="80">
        <v>250</v>
      </c>
      <c r="L759" s="80">
        <v>40</v>
      </c>
      <c r="M759" s="80">
        <f t="shared" si="694"/>
        <v>10000</v>
      </c>
      <c r="N759" s="20">
        <v>45237</v>
      </c>
      <c r="O759" s="80" t="s">
        <v>425</v>
      </c>
      <c r="P759" s="80" t="s">
        <v>134</v>
      </c>
      <c r="Q759" s="80">
        <v>2660</v>
      </c>
      <c r="R759" s="80" t="s">
        <v>1474</v>
      </c>
      <c r="S759" s="81">
        <v>211673815682</v>
      </c>
      <c r="T759" s="20">
        <v>45237</v>
      </c>
      <c r="U759" s="123"/>
      <c r="V759" s="80">
        <v>601</v>
      </c>
      <c r="W759" s="29">
        <v>45237.666666666664</v>
      </c>
      <c r="X759" s="29">
        <v>45237.875</v>
      </c>
      <c r="Y759" s="30">
        <f t="shared" si="695"/>
        <v>0.20833333333575865</v>
      </c>
      <c r="Z759" s="29">
        <v>45237.840277777781</v>
      </c>
      <c r="AA759" s="29">
        <v>45237.875</v>
      </c>
      <c r="AB759" s="30">
        <f t="shared" si="696"/>
        <v>3.4722222218988463E-2</v>
      </c>
    </row>
    <row r="760" spans="1:28" x14ac:dyDescent="0.25">
      <c r="A760" s="12">
        <v>45231</v>
      </c>
      <c r="B760" s="13" t="s">
        <v>1475</v>
      </c>
      <c r="C760" s="20">
        <v>45237</v>
      </c>
      <c r="D760" s="50">
        <v>8404720</v>
      </c>
      <c r="E760" s="80" t="s">
        <v>191</v>
      </c>
      <c r="F760" s="80" t="s">
        <v>135</v>
      </c>
      <c r="G760" s="80" t="s">
        <v>192</v>
      </c>
      <c r="H760" s="17">
        <v>5212252</v>
      </c>
      <c r="I760" s="17" t="s">
        <v>23</v>
      </c>
      <c r="J760" s="51" t="s">
        <v>1377</v>
      </c>
      <c r="K760" s="80">
        <v>25</v>
      </c>
      <c r="L760" s="80">
        <v>202</v>
      </c>
      <c r="M760" s="80">
        <f t="shared" si="688"/>
        <v>5050</v>
      </c>
      <c r="N760" s="20">
        <v>45237</v>
      </c>
      <c r="O760" s="80" t="s">
        <v>399</v>
      </c>
      <c r="P760" s="80" t="s">
        <v>144</v>
      </c>
      <c r="Q760" s="85" t="s">
        <v>30</v>
      </c>
      <c r="R760" s="80" t="s">
        <v>532</v>
      </c>
      <c r="S760" s="81">
        <v>211673831448</v>
      </c>
      <c r="T760" s="20">
        <v>45237</v>
      </c>
      <c r="U760" s="123"/>
      <c r="V760" s="80">
        <v>602</v>
      </c>
      <c r="W760" s="29">
        <v>45237.604166666664</v>
      </c>
      <c r="X760" s="29">
        <v>45237.909722222219</v>
      </c>
      <c r="Y760" s="30">
        <f t="shared" si="689"/>
        <v>0.30555555555474712</v>
      </c>
      <c r="Z760" s="29">
        <v>45237.791666666664</v>
      </c>
      <c r="AA760" s="29">
        <v>45237.909722222219</v>
      </c>
      <c r="AB760" s="30">
        <f t="shared" si="690"/>
        <v>0.11805555555474712</v>
      </c>
    </row>
    <row r="761" spans="1:28" x14ac:dyDescent="0.25">
      <c r="A761" s="12">
        <v>45231</v>
      </c>
      <c r="B761" s="13" t="s">
        <v>1475</v>
      </c>
      <c r="C761" s="20">
        <v>45237</v>
      </c>
      <c r="D761" s="51">
        <v>8368021</v>
      </c>
      <c r="E761" s="80" t="s">
        <v>191</v>
      </c>
      <c r="F761" s="80" t="s">
        <v>135</v>
      </c>
      <c r="G761" s="80" t="s">
        <v>192</v>
      </c>
      <c r="H761" s="17">
        <v>5212252</v>
      </c>
      <c r="I761" s="17" t="s">
        <v>23</v>
      </c>
      <c r="J761" s="67" t="s">
        <v>1301</v>
      </c>
      <c r="K761" s="80">
        <v>25</v>
      </c>
      <c r="L761" s="80">
        <v>51</v>
      </c>
      <c r="M761" s="80">
        <f t="shared" ref="M761:M763" si="697">K761*L761</f>
        <v>1275</v>
      </c>
      <c r="N761" s="20">
        <v>45237</v>
      </c>
      <c r="O761" s="80" t="s">
        <v>399</v>
      </c>
      <c r="P761" s="80" t="s">
        <v>144</v>
      </c>
      <c r="Q761" s="85" t="s">
        <v>30</v>
      </c>
      <c r="R761" s="80" t="s">
        <v>532</v>
      </c>
      <c r="S761" s="81">
        <v>211673831448</v>
      </c>
      <c r="T761" s="20">
        <v>45237</v>
      </c>
      <c r="U761" s="123"/>
      <c r="V761" s="80">
        <v>602</v>
      </c>
      <c r="W761" s="29">
        <v>45237.604166666664</v>
      </c>
      <c r="X761" s="29">
        <v>45237.909722222219</v>
      </c>
      <c r="Y761" s="30">
        <f t="shared" ref="Y761:Y763" si="698">+X761-W761</f>
        <v>0.30555555555474712</v>
      </c>
      <c r="Z761" s="29">
        <v>45237.791666666664</v>
      </c>
      <c r="AA761" s="29">
        <v>45237.909722222219</v>
      </c>
      <c r="AB761" s="30">
        <f t="shared" ref="AB761:AB763" si="699">+AA761-Z761</f>
        <v>0.11805555555474712</v>
      </c>
    </row>
    <row r="762" spans="1:28" x14ac:dyDescent="0.25">
      <c r="A762" s="12">
        <v>45231</v>
      </c>
      <c r="B762" s="13" t="s">
        <v>1475</v>
      </c>
      <c r="C762" s="20">
        <v>45237</v>
      </c>
      <c r="D762" s="50">
        <v>8404720</v>
      </c>
      <c r="E762" s="80" t="s">
        <v>191</v>
      </c>
      <c r="F762" s="80" t="s">
        <v>135</v>
      </c>
      <c r="G762" s="80" t="s">
        <v>192</v>
      </c>
      <c r="H762" s="17">
        <v>5212252</v>
      </c>
      <c r="I762" s="17" t="s">
        <v>23</v>
      </c>
      <c r="J762" s="51" t="s">
        <v>1442</v>
      </c>
      <c r="K762" s="80">
        <v>25</v>
      </c>
      <c r="L762" s="80">
        <v>527</v>
      </c>
      <c r="M762" s="80">
        <f t="shared" si="697"/>
        <v>13175</v>
      </c>
      <c r="N762" s="20">
        <v>45237</v>
      </c>
      <c r="O762" s="80" t="s">
        <v>399</v>
      </c>
      <c r="P762" s="80" t="s">
        <v>144</v>
      </c>
      <c r="Q762" s="85" t="s">
        <v>30</v>
      </c>
      <c r="R762" s="80" t="s">
        <v>532</v>
      </c>
      <c r="S762" s="81">
        <v>211673831448</v>
      </c>
      <c r="T762" s="20">
        <v>45237</v>
      </c>
      <c r="U762" s="123"/>
      <c r="V762" s="80">
        <v>602</v>
      </c>
      <c r="W762" s="29">
        <v>45237.604166666664</v>
      </c>
      <c r="X762" s="29">
        <v>45237.909722222219</v>
      </c>
      <c r="Y762" s="30">
        <f t="shared" si="698"/>
        <v>0.30555555555474712</v>
      </c>
      <c r="Z762" s="29">
        <v>45237.791666666664</v>
      </c>
      <c r="AA762" s="29">
        <v>45237.909722222219</v>
      </c>
      <c r="AB762" s="30">
        <f t="shared" si="699"/>
        <v>0.11805555555474712</v>
      </c>
    </row>
    <row r="763" spans="1:28" x14ac:dyDescent="0.25">
      <c r="A763" s="12">
        <v>45231</v>
      </c>
      <c r="B763" s="13" t="s">
        <v>1475</v>
      </c>
      <c r="C763" s="20">
        <v>45237</v>
      </c>
      <c r="D763" s="50">
        <v>8404720</v>
      </c>
      <c r="E763" s="80" t="s">
        <v>191</v>
      </c>
      <c r="F763" s="80" t="s">
        <v>135</v>
      </c>
      <c r="G763" s="80" t="s">
        <v>192</v>
      </c>
      <c r="H763" s="17">
        <v>5212252</v>
      </c>
      <c r="I763" s="17" t="s">
        <v>23</v>
      </c>
      <c r="J763" s="51" t="s">
        <v>1301</v>
      </c>
      <c r="K763" s="80">
        <v>25</v>
      </c>
      <c r="L763" s="80">
        <v>20</v>
      </c>
      <c r="M763" s="80">
        <f t="shared" si="697"/>
        <v>500</v>
      </c>
      <c r="N763" s="20">
        <v>45237</v>
      </c>
      <c r="O763" s="80" t="s">
        <v>399</v>
      </c>
      <c r="P763" s="80" t="s">
        <v>144</v>
      </c>
      <c r="Q763" s="85" t="s">
        <v>30</v>
      </c>
      <c r="R763" s="80" t="s">
        <v>532</v>
      </c>
      <c r="S763" s="81">
        <v>211673831448</v>
      </c>
      <c r="T763" s="20">
        <v>45237</v>
      </c>
      <c r="U763" s="123"/>
      <c r="V763" s="80">
        <v>602</v>
      </c>
      <c r="W763" s="29">
        <v>45237.604166666664</v>
      </c>
      <c r="X763" s="29">
        <v>45237.909722222219</v>
      </c>
      <c r="Y763" s="30">
        <f t="shared" si="698"/>
        <v>0.30555555555474712</v>
      </c>
      <c r="Z763" s="29">
        <v>45237.791666666664</v>
      </c>
      <c r="AA763" s="29">
        <v>45237.909722222219</v>
      </c>
      <c r="AB763" s="30">
        <f t="shared" si="699"/>
        <v>0.11805555555474712</v>
      </c>
    </row>
    <row r="764" spans="1:28" x14ac:dyDescent="0.25">
      <c r="A764" s="12">
        <v>45231</v>
      </c>
      <c r="B764" s="13" t="s">
        <v>1475</v>
      </c>
      <c r="C764" s="20">
        <v>45237</v>
      </c>
      <c r="D764" s="13">
        <v>7833009</v>
      </c>
      <c r="E764" s="80" t="s">
        <v>191</v>
      </c>
      <c r="F764" s="80" t="s">
        <v>135</v>
      </c>
      <c r="G764" s="80" t="s">
        <v>192</v>
      </c>
      <c r="H764" s="17">
        <v>5211013</v>
      </c>
      <c r="I764" s="17" t="s">
        <v>27</v>
      </c>
      <c r="J764" s="13" t="s">
        <v>1161</v>
      </c>
      <c r="K764" s="80">
        <v>25</v>
      </c>
      <c r="L764" s="80">
        <v>40</v>
      </c>
      <c r="M764" s="80">
        <f t="shared" ref="M764:M767" si="700">K764*L764</f>
        <v>1000</v>
      </c>
      <c r="N764" s="20">
        <v>45237</v>
      </c>
      <c r="O764" s="80" t="s">
        <v>399</v>
      </c>
      <c r="P764" s="80" t="s">
        <v>144</v>
      </c>
      <c r="Q764" s="85" t="s">
        <v>30</v>
      </c>
      <c r="R764" s="80" t="s">
        <v>532</v>
      </c>
      <c r="S764" s="81">
        <v>211673831448</v>
      </c>
      <c r="T764" s="20">
        <v>45237</v>
      </c>
      <c r="U764" s="123"/>
      <c r="V764" s="80">
        <v>602</v>
      </c>
      <c r="W764" s="29">
        <v>45237.604166666664</v>
      </c>
      <c r="X764" s="29">
        <v>45237.909722222219</v>
      </c>
      <c r="Y764" s="30">
        <f t="shared" ref="Y764:Y767" si="701">+X764-W764</f>
        <v>0.30555555555474712</v>
      </c>
      <c r="Z764" s="29">
        <v>45237.791666666664</v>
      </c>
      <c r="AA764" s="29">
        <v>45237.909722222219</v>
      </c>
      <c r="AB764" s="30">
        <f t="shared" ref="AB764:AB767" si="702">+AA764-Z764</f>
        <v>0.11805555555474712</v>
      </c>
    </row>
    <row r="765" spans="1:28" x14ac:dyDescent="0.25">
      <c r="A765" s="12">
        <v>45231</v>
      </c>
      <c r="B765" s="13" t="s">
        <v>1475</v>
      </c>
      <c r="C765" s="20">
        <v>45237</v>
      </c>
      <c r="D765" s="13">
        <v>7833009</v>
      </c>
      <c r="E765" s="80" t="s">
        <v>191</v>
      </c>
      <c r="F765" s="80" t="s">
        <v>135</v>
      </c>
      <c r="G765" s="80" t="s">
        <v>192</v>
      </c>
      <c r="H765" s="17">
        <v>5211013</v>
      </c>
      <c r="I765" s="17" t="s">
        <v>27</v>
      </c>
      <c r="J765" s="13" t="s">
        <v>1161</v>
      </c>
      <c r="K765" s="80">
        <v>25</v>
      </c>
      <c r="L765" s="80">
        <v>160</v>
      </c>
      <c r="M765" s="80">
        <f t="shared" ref="M765" si="703">K765*L765</f>
        <v>4000</v>
      </c>
      <c r="N765" s="20">
        <v>45237</v>
      </c>
      <c r="O765" s="80" t="s">
        <v>399</v>
      </c>
      <c r="P765" s="80" t="s">
        <v>144</v>
      </c>
      <c r="Q765" s="85" t="s">
        <v>30</v>
      </c>
      <c r="R765" s="80" t="s">
        <v>532</v>
      </c>
      <c r="S765" s="81">
        <v>211673831448</v>
      </c>
      <c r="T765" s="20">
        <v>45237</v>
      </c>
      <c r="U765" s="123"/>
      <c r="V765" s="80">
        <v>602</v>
      </c>
      <c r="W765" s="29">
        <v>45237.604166666664</v>
      </c>
      <c r="X765" s="29">
        <v>45237.909722222219</v>
      </c>
      <c r="Y765" s="30">
        <f t="shared" ref="Y765" si="704">+X765-W765</f>
        <v>0.30555555555474712</v>
      </c>
      <c r="Z765" s="29">
        <v>45237.791666666664</v>
      </c>
      <c r="AA765" s="29">
        <v>45237.909722222219</v>
      </c>
      <c r="AB765" s="30">
        <f t="shared" ref="AB765" si="705">+AA765-Z765</f>
        <v>0.11805555555474712</v>
      </c>
    </row>
    <row r="766" spans="1:28" x14ac:dyDescent="0.25">
      <c r="A766" s="12">
        <v>45231</v>
      </c>
      <c r="B766" s="13" t="s">
        <v>1475</v>
      </c>
      <c r="C766" s="20">
        <v>45237</v>
      </c>
      <c r="D766" s="13">
        <v>8285503</v>
      </c>
      <c r="E766" s="80" t="s">
        <v>191</v>
      </c>
      <c r="F766" s="80" t="s">
        <v>135</v>
      </c>
      <c r="G766" s="80" t="s">
        <v>192</v>
      </c>
      <c r="H766" s="17">
        <v>5211014</v>
      </c>
      <c r="I766" s="17" t="s">
        <v>38</v>
      </c>
      <c r="J766" s="13" t="s">
        <v>1353</v>
      </c>
      <c r="K766" s="80">
        <v>25</v>
      </c>
      <c r="L766" s="80">
        <v>200</v>
      </c>
      <c r="M766" s="80">
        <f t="shared" si="700"/>
        <v>5000</v>
      </c>
      <c r="N766" s="20">
        <v>45237</v>
      </c>
      <c r="O766" s="80" t="s">
        <v>399</v>
      </c>
      <c r="P766" s="80" t="s">
        <v>144</v>
      </c>
      <c r="Q766" s="85" t="s">
        <v>30</v>
      </c>
      <c r="R766" s="80" t="s">
        <v>532</v>
      </c>
      <c r="S766" s="81">
        <v>211673831448</v>
      </c>
      <c r="T766" s="20">
        <v>45237</v>
      </c>
      <c r="U766" s="123"/>
      <c r="V766" s="80">
        <v>602</v>
      </c>
      <c r="W766" s="29">
        <v>45237.604166666664</v>
      </c>
      <c r="X766" s="29">
        <v>45237.909722222219</v>
      </c>
      <c r="Y766" s="30">
        <f t="shared" si="701"/>
        <v>0.30555555555474712</v>
      </c>
      <c r="Z766" s="29">
        <v>45237.791666666664</v>
      </c>
      <c r="AA766" s="29">
        <v>45237.909722222219</v>
      </c>
      <c r="AB766" s="30">
        <f t="shared" si="702"/>
        <v>0.11805555555474712</v>
      </c>
    </row>
    <row r="767" spans="1:28" x14ac:dyDescent="0.25">
      <c r="A767" s="12">
        <v>45231</v>
      </c>
      <c r="B767" s="13" t="s">
        <v>1479</v>
      </c>
      <c r="C767" s="20">
        <v>45238</v>
      </c>
      <c r="D767" s="50">
        <v>8404720</v>
      </c>
      <c r="E767" s="80" t="s">
        <v>859</v>
      </c>
      <c r="F767" s="80" t="s">
        <v>289</v>
      </c>
      <c r="G767" s="80" t="s">
        <v>192</v>
      </c>
      <c r="H767" s="17">
        <v>5212252</v>
      </c>
      <c r="I767" s="17" t="s">
        <v>23</v>
      </c>
      <c r="J767" s="51" t="s">
        <v>1377</v>
      </c>
      <c r="K767" s="80">
        <v>25</v>
      </c>
      <c r="L767" s="80">
        <v>80</v>
      </c>
      <c r="M767" s="80">
        <f t="shared" si="700"/>
        <v>2000</v>
      </c>
      <c r="N767" s="20">
        <v>45238</v>
      </c>
      <c r="O767" s="80" t="s">
        <v>136</v>
      </c>
      <c r="P767" s="80" t="s">
        <v>144</v>
      </c>
      <c r="Q767" s="85" t="s">
        <v>30</v>
      </c>
      <c r="R767" s="80" t="s">
        <v>1480</v>
      </c>
      <c r="S767" s="81">
        <v>261674197852</v>
      </c>
      <c r="T767" s="20">
        <v>45238</v>
      </c>
      <c r="U767" s="123"/>
      <c r="V767" s="80">
        <v>603</v>
      </c>
      <c r="W767" s="29">
        <v>45238.5</v>
      </c>
      <c r="X767" s="29">
        <v>45238.638888888891</v>
      </c>
      <c r="Y767" s="30">
        <f t="shared" si="701"/>
        <v>0.13888888889050577</v>
      </c>
      <c r="Z767" s="29">
        <v>45238.506944444445</v>
      </c>
      <c r="AA767" s="29">
        <v>45238.541666666664</v>
      </c>
      <c r="AB767" s="30">
        <f t="shared" si="702"/>
        <v>3.4722222218988463E-2</v>
      </c>
    </row>
    <row r="768" spans="1:28" x14ac:dyDescent="0.25">
      <c r="A768" s="12">
        <v>45231</v>
      </c>
      <c r="B768" s="13" t="s">
        <v>1479</v>
      </c>
      <c r="C768" s="20">
        <v>45238</v>
      </c>
      <c r="D768" s="13">
        <v>8285503</v>
      </c>
      <c r="E768" s="80" t="s">
        <v>859</v>
      </c>
      <c r="F768" s="80" t="s">
        <v>289</v>
      </c>
      <c r="G768" s="80" t="s">
        <v>192</v>
      </c>
      <c r="H768" s="17">
        <v>5211014</v>
      </c>
      <c r="I768" s="17" t="s">
        <v>38</v>
      </c>
      <c r="J768" s="13" t="s">
        <v>1353</v>
      </c>
      <c r="K768" s="80">
        <v>25</v>
      </c>
      <c r="L768" s="80">
        <v>40</v>
      </c>
      <c r="M768" s="80">
        <f t="shared" ref="M768:M772" si="706">K768*L768</f>
        <v>1000</v>
      </c>
      <c r="N768" s="20">
        <v>45238</v>
      </c>
      <c r="O768" s="80" t="s">
        <v>136</v>
      </c>
      <c r="P768" s="80" t="s">
        <v>144</v>
      </c>
      <c r="Q768" s="85" t="s">
        <v>30</v>
      </c>
      <c r="R768" s="80" t="s">
        <v>1480</v>
      </c>
      <c r="S768" s="81">
        <v>261674197852</v>
      </c>
      <c r="T768" s="20">
        <v>45238</v>
      </c>
      <c r="U768" s="123"/>
      <c r="V768" s="80">
        <v>603</v>
      </c>
      <c r="W768" s="29">
        <v>45238.5</v>
      </c>
      <c r="X768" s="29">
        <v>45238.638888888891</v>
      </c>
      <c r="Y768" s="30">
        <f t="shared" ref="Y768:Y772" si="707">+X768-W768</f>
        <v>0.13888888889050577</v>
      </c>
      <c r="Z768" s="29">
        <v>45238.506944444445</v>
      </c>
      <c r="AA768" s="29">
        <v>45238.541666666664</v>
      </c>
      <c r="AB768" s="30">
        <f t="shared" ref="AB768:AB772" si="708">+AA768-Z768</f>
        <v>3.4722222218988463E-2</v>
      </c>
    </row>
    <row r="769" spans="1:28" x14ac:dyDescent="0.25">
      <c r="A769" s="12">
        <v>45231</v>
      </c>
      <c r="B769" s="13" t="s">
        <v>1479</v>
      </c>
      <c r="C769" s="20">
        <v>45238</v>
      </c>
      <c r="D769" s="13">
        <v>7833009</v>
      </c>
      <c r="E769" s="80" t="s">
        <v>859</v>
      </c>
      <c r="F769" s="80" t="s">
        <v>289</v>
      </c>
      <c r="G769" s="80" t="s">
        <v>192</v>
      </c>
      <c r="H769" s="17">
        <v>5211013</v>
      </c>
      <c r="I769" s="17" t="s">
        <v>27</v>
      </c>
      <c r="J769" s="13" t="s">
        <v>1152</v>
      </c>
      <c r="K769" s="80">
        <v>25</v>
      </c>
      <c r="L769" s="80">
        <v>280</v>
      </c>
      <c r="M769" s="80">
        <f t="shared" si="706"/>
        <v>7000</v>
      </c>
      <c r="N769" s="20">
        <v>45238</v>
      </c>
      <c r="O769" s="80" t="s">
        <v>136</v>
      </c>
      <c r="P769" s="80" t="s">
        <v>144</v>
      </c>
      <c r="Q769" s="85" t="s">
        <v>30</v>
      </c>
      <c r="R769" s="80" t="s">
        <v>1480</v>
      </c>
      <c r="S769" s="81">
        <v>261674197852</v>
      </c>
      <c r="T769" s="20">
        <v>45238</v>
      </c>
      <c r="U769" s="123"/>
      <c r="V769" s="80">
        <v>603</v>
      </c>
      <c r="W769" s="29">
        <v>45238.5</v>
      </c>
      <c r="X769" s="29">
        <v>45238.638888888891</v>
      </c>
      <c r="Y769" s="30">
        <f t="shared" si="707"/>
        <v>0.13888888889050577</v>
      </c>
      <c r="Z769" s="29">
        <v>45238.506944444445</v>
      </c>
      <c r="AA769" s="29">
        <v>45238.541666666664</v>
      </c>
      <c r="AB769" s="30">
        <f t="shared" si="708"/>
        <v>3.4722222218988463E-2</v>
      </c>
    </row>
    <row r="770" spans="1:28" x14ac:dyDescent="0.25">
      <c r="A770" s="12">
        <v>45231</v>
      </c>
      <c r="B770" s="13" t="s">
        <v>1481</v>
      </c>
      <c r="C770" s="20">
        <v>45238</v>
      </c>
      <c r="D770" s="13">
        <v>8262234</v>
      </c>
      <c r="E770" s="80" t="s">
        <v>196</v>
      </c>
      <c r="F770" s="80" t="s">
        <v>197</v>
      </c>
      <c r="G770" s="80" t="s">
        <v>132</v>
      </c>
      <c r="H770" s="17">
        <v>5230831</v>
      </c>
      <c r="I770" s="17" t="s">
        <v>35</v>
      </c>
      <c r="J770" s="14" t="s">
        <v>1232</v>
      </c>
      <c r="K770" s="80">
        <v>240</v>
      </c>
      <c r="L770" s="80">
        <v>40</v>
      </c>
      <c r="M770" s="80">
        <f t="shared" si="706"/>
        <v>9600</v>
      </c>
      <c r="N770" s="20">
        <v>45238</v>
      </c>
      <c r="O770" s="80" t="s">
        <v>136</v>
      </c>
      <c r="P770" s="80" t="s">
        <v>144</v>
      </c>
      <c r="Q770" s="85" t="s">
        <v>30</v>
      </c>
      <c r="R770" s="80" t="s">
        <v>265</v>
      </c>
      <c r="S770" s="81">
        <v>281674200680</v>
      </c>
      <c r="T770" s="20">
        <v>45238</v>
      </c>
      <c r="U770" s="123"/>
      <c r="V770" s="80">
        <v>604</v>
      </c>
      <c r="W770" s="29">
        <v>45238.604166666664</v>
      </c>
      <c r="X770" s="29">
        <v>45238.645833333336</v>
      </c>
      <c r="Y770" s="30">
        <f t="shared" si="707"/>
        <v>4.1666666671517305E-2</v>
      </c>
      <c r="Z770" s="29">
        <v>45238.625</v>
      </c>
      <c r="AA770" s="29">
        <v>45238.638888888891</v>
      </c>
      <c r="AB770" s="30">
        <f t="shared" si="708"/>
        <v>1.3888888890505768E-2</v>
      </c>
    </row>
    <row r="771" spans="1:28" x14ac:dyDescent="0.25">
      <c r="A771" s="12">
        <v>45231</v>
      </c>
      <c r="B771" s="13" t="s">
        <v>1482</v>
      </c>
      <c r="C771" s="20">
        <v>45237</v>
      </c>
      <c r="D771" s="13">
        <v>8178885</v>
      </c>
      <c r="E771" s="80" t="s">
        <v>648</v>
      </c>
      <c r="F771" s="80" t="s">
        <v>506</v>
      </c>
      <c r="G771" s="80" t="s">
        <v>132</v>
      </c>
      <c r="H771" s="17">
        <v>5230831</v>
      </c>
      <c r="I771" s="17" t="s">
        <v>35</v>
      </c>
      <c r="J771" s="14" t="s">
        <v>1259</v>
      </c>
      <c r="K771" s="80">
        <v>240</v>
      </c>
      <c r="L771" s="80">
        <v>40</v>
      </c>
      <c r="M771" s="80">
        <f t="shared" si="706"/>
        <v>9600</v>
      </c>
      <c r="N771" s="20">
        <v>45238</v>
      </c>
      <c r="O771" s="80" t="s">
        <v>136</v>
      </c>
      <c r="P771" s="80" t="s">
        <v>144</v>
      </c>
      <c r="Q771" s="85" t="s">
        <v>30</v>
      </c>
      <c r="R771" s="80" t="s">
        <v>1483</v>
      </c>
      <c r="S771" s="81">
        <v>221674204444</v>
      </c>
      <c r="T771" s="20">
        <v>45238</v>
      </c>
      <c r="U771" s="123"/>
      <c r="V771" s="80">
        <v>605</v>
      </c>
      <c r="W771" s="29">
        <v>45238.416666666664</v>
      </c>
      <c r="X771" s="29">
        <v>45238.5</v>
      </c>
      <c r="Y771" s="30">
        <f t="shared" si="707"/>
        <v>8.3333333335758653E-2</v>
      </c>
      <c r="Z771" s="29">
        <v>45238.458333333336</v>
      </c>
      <c r="AA771" s="29">
        <v>45238.5</v>
      </c>
      <c r="AB771" s="30">
        <f t="shared" si="708"/>
        <v>4.1666666664241347E-2</v>
      </c>
    </row>
    <row r="772" spans="1:28" x14ac:dyDescent="0.25">
      <c r="A772" s="12">
        <v>45231</v>
      </c>
      <c r="B772" s="13" t="s">
        <v>1484</v>
      </c>
      <c r="C772" s="20">
        <v>45237</v>
      </c>
      <c r="D772" s="13">
        <v>8178885</v>
      </c>
      <c r="E772" s="80" t="s">
        <v>1131</v>
      </c>
      <c r="F772" s="80" t="s">
        <v>215</v>
      </c>
      <c r="G772" s="80" t="s">
        <v>132</v>
      </c>
      <c r="H772" s="17">
        <v>5230831</v>
      </c>
      <c r="I772" s="17" t="s">
        <v>35</v>
      </c>
      <c r="J772" s="14" t="s">
        <v>1259</v>
      </c>
      <c r="K772" s="80">
        <v>240</v>
      </c>
      <c r="L772" s="80">
        <v>34</v>
      </c>
      <c r="M772" s="80">
        <f t="shared" si="706"/>
        <v>8160</v>
      </c>
      <c r="N772" s="20">
        <v>45238</v>
      </c>
      <c r="O772" s="80" t="s">
        <v>136</v>
      </c>
      <c r="P772" s="80" t="s">
        <v>144</v>
      </c>
      <c r="Q772" s="85" t="s">
        <v>30</v>
      </c>
      <c r="R772" s="80" t="s">
        <v>1485</v>
      </c>
      <c r="S772" s="81">
        <v>261674287971</v>
      </c>
      <c r="T772" s="20">
        <v>45238</v>
      </c>
      <c r="U772" s="123"/>
      <c r="V772" s="80">
        <v>606</v>
      </c>
      <c r="W772" s="29">
        <v>45238.625</v>
      </c>
      <c r="X772" s="29">
        <v>45238.704861111109</v>
      </c>
      <c r="Y772" s="30">
        <f t="shared" si="707"/>
        <v>7.9861111109494232E-2</v>
      </c>
      <c r="Z772" s="29">
        <v>45238.6875</v>
      </c>
      <c r="AA772" s="29">
        <v>45238.704861111109</v>
      </c>
      <c r="AB772" s="30">
        <f t="shared" si="708"/>
        <v>1.7361111109494232E-2</v>
      </c>
    </row>
    <row r="773" spans="1:28" x14ac:dyDescent="0.25">
      <c r="A773" s="12">
        <v>45231</v>
      </c>
      <c r="B773" s="13" t="s">
        <v>1484</v>
      </c>
      <c r="C773" s="20">
        <v>45237</v>
      </c>
      <c r="D773" s="13">
        <v>8262234</v>
      </c>
      <c r="E773" s="80" t="s">
        <v>1131</v>
      </c>
      <c r="F773" s="80" t="s">
        <v>215</v>
      </c>
      <c r="G773" s="80" t="s">
        <v>132</v>
      </c>
      <c r="H773" s="17">
        <v>5230831</v>
      </c>
      <c r="I773" s="17" t="s">
        <v>35</v>
      </c>
      <c r="J773" s="14" t="s">
        <v>1232</v>
      </c>
      <c r="K773" s="80">
        <v>240</v>
      </c>
      <c r="L773" s="80">
        <v>6</v>
      </c>
      <c r="M773" s="80">
        <f t="shared" ref="M773" si="709">K773*L773</f>
        <v>1440</v>
      </c>
      <c r="N773" s="20">
        <v>45238</v>
      </c>
      <c r="O773" s="80" t="s">
        <v>136</v>
      </c>
      <c r="P773" s="80" t="s">
        <v>144</v>
      </c>
      <c r="Q773" s="85" t="s">
        <v>30</v>
      </c>
      <c r="R773" s="80" t="s">
        <v>1485</v>
      </c>
      <c r="S773" s="81">
        <v>261674287971</v>
      </c>
      <c r="T773" s="20">
        <v>45238</v>
      </c>
      <c r="U773" s="123"/>
      <c r="V773" s="80">
        <v>606</v>
      </c>
      <c r="W773" s="29">
        <v>45238.625</v>
      </c>
      <c r="X773" s="29">
        <v>45238.704861111109</v>
      </c>
      <c r="Y773" s="30">
        <f t="shared" ref="Y773" si="710">+X773-W773</f>
        <v>7.9861111109494232E-2</v>
      </c>
      <c r="Z773" s="29">
        <v>45238.6875</v>
      </c>
      <c r="AA773" s="29">
        <v>45238.704861111109</v>
      </c>
      <c r="AB773" s="30">
        <f t="shared" ref="AB773" si="711">+AA773-Z773</f>
        <v>1.7361111109494232E-2</v>
      </c>
    </row>
    <row r="774" spans="1:28" x14ac:dyDescent="0.25">
      <c r="A774" s="12">
        <v>45231</v>
      </c>
      <c r="B774" s="13" t="s">
        <v>1486</v>
      </c>
      <c r="C774" s="20">
        <v>45238</v>
      </c>
      <c r="D774" s="13">
        <v>8262234</v>
      </c>
      <c r="E774" s="80" t="s">
        <v>1131</v>
      </c>
      <c r="F774" s="80" t="s">
        <v>215</v>
      </c>
      <c r="G774" s="80" t="s">
        <v>132</v>
      </c>
      <c r="H774" s="17">
        <v>5230831</v>
      </c>
      <c r="I774" s="17" t="s">
        <v>35</v>
      </c>
      <c r="J774" s="14" t="s">
        <v>1232</v>
      </c>
      <c r="K774" s="80">
        <v>240</v>
      </c>
      <c r="L774" s="80">
        <v>40</v>
      </c>
      <c r="M774" s="80">
        <f t="shared" ref="M774:M775" si="712">K774*L774</f>
        <v>9600</v>
      </c>
      <c r="N774" s="20">
        <v>45238</v>
      </c>
      <c r="O774" s="80" t="s">
        <v>136</v>
      </c>
      <c r="P774" s="80" t="s">
        <v>144</v>
      </c>
      <c r="Q774" s="85" t="s">
        <v>30</v>
      </c>
      <c r="R774" s="80" t="s">
        <v>817</v>
      </c>
      <c r="S774" s="81">
        <v>221674285100</v>
      </c>
      <c r="T774" s="20">
        <v>45238</v>
      </c>
      <c r="U774" s="123"/>
      <c r="V774" s="80">
        <v>607</v>
      </c>
      <c r="W774" s="29">
        <v>45238.631944444445</v>
      </c>
      <c r="X774" s="29">
        <v>45238.704861111109</v>
      </c>
      <c r="Y774" s="30">
        <f t="shared" ref="Y774:Y775" si="713">+X774-W774</f>
        <v>7.2916666664241347E-2</v>
      </c>
      <c r="Z774" s="29">
        <v>45238.6875</v>
      </c>
      <c r="AA774" s="29">
        <v>45238.704861111109</v>
      </c>
      <c r="AB774" s="30">
        <f t="shared" ref="AB774:AB775" si="714">+AA774-Z774</f>
        <v>1.7361111109494232E-2</v>
      </c>
    </row>
    <row r="775" spans="1:28" x14ac:dyDescent="0.25">
      <c r="A775" s="12">
        <v>45231</v>
      </c>
      <c r="B775" s="13" t="s">
        <v>1487</v>
      </c>
      <c r="C775" s="20">
        <v>45237</v>
      </c>
      <c r="D775" s="50">
        <v>8404720</v>
      </c>
      <c r="E775" s="80" t="s">
        <v>191</v>
      </c>
      <c r="F775" s="80" t="s">
        <v>135</v>
      </c>
      <c r="G775" s="80" t="s">
        <v>192</v>
      </c>
      <c r="H775" s="17">
        <v>5212252</v>
      </c>
      <c r="I775" s="17" t="s">
        <v>23</v>
      </c>
      <c r="J775" s="51" t="s">
        <v>1377</v>
      </c>
      <c r="K775" s="80">
        <v>25</v>
      </c>
      <c r="L775" s="80">
        <v>360</v>
      </c>
      <c r="M775" s="80">
        <f t="shared" si="712"/>
        <v>9000</v>
      </c>
      <c r="N775" s="20">
        <v>45238</v>
      </c>
      <c r="O775" s="80" t="s">
        <v>136</v>
      </c>
      <c r="P775" s="80" t="s">
        <v>144</v>
      </c>
      <c r="Q775" s="85" t="s">
        <v>30</v>
      </c>
      <c r="R775" s="80" t="s">
        <v>1226</v>
      </c>
      <c r="S775" s="81">
        <v>241674370332</v>
      </c>
      <c r="T775" s="20">
        <v>45238</v>
      </c>
      <c r="U775" s="123"/>
      <c r="V775" s="80">
        <v>608</v>
      </c>
      <c r="W775" s="29">
        <v>45238.604166666664</v>
      </c>
      <c r="X775" s="29">
        <v>45238.666666666664</v>
      </c>
      <c r="Y775" s="30">
        <f t="shared" si="713"/>
        <v>6.25E-2</v>
      </c>
      <c r="Z775" s="29">
        <v>45238.631944444445</v>
      </c>
      <c r="AA775" s="29">
        <v>45238.666666666664</v>
      </c>
      <c r="AB775" s="30">
        <f t="shared" si="714"/>
        <v>3.4722222218988463E-2</v>
      </c>
    </row>
    <row r="776" spans="1:28" x14ac:dyDescent="0.25">
      <c r="A776" s="12">
        <v>45231</v>
      </c>
      <c r="B776" s="13" t="s">
        <v>1487</v>
      </c>
      <c r="C776" s="20">
        <v>45237</v>
      </c>
      <c r="D776" s="13">
        <v>7933011</v>
      </c>
      <c r="E776" s="80" t="s">
        <v>191</v>
      </c>
      <c r="F776" s="80" t="s">
        <v>135</v>
      </c>
      <c r="G776" s="80" t="s">
        <v>192</v>
      </c>
      <c r="H776" s="17">
        <v>5211013</v>
      </c>
      <c r="I776" s="17" t="s">
        <v>27</v>
      </c>
      <c r="J776" s="13" t="s">
        <v>1152</v>
      </c>
      <c r="K776" s="80">
        <v>25</v>
      </c>
      <c r="L776" s="80">
        <v>40</v>
      </c>
      <c r="M776" s="80">
        <f t="shared" ref="M776:M781" si="715">K776*L776</f>
        <v>1000</v>
      </c>
      <c r="N776" s="20">
        <v>45238</v>
      </c>
      <c r="O776" s="80" t="s">
        <v>136</v>
      </c>
      <c r="P776" s="80" t="s">
        <v>144</v>
      </c>
      <c r="Q776" s="85" t="s">
        <v>30</v>
      </c>
      <c r="R776" s="80" t="s">
        <v>1226</v>
      </c>
      <c r="S776" s="81">
        <v>241674370332</v>
      </c>
      <c r="T776" s="20">
        <v>45238</v>
      </c>
      <c r="U776" s="123"/>
      <c r="V776" s="80">
        <v>608</v>
      </c>
      <c r="W776" s="29">
        <v>45238.604166666664</v>
      </c>
      <c r="X776" s="29">
        <v>45238.666666666664</v>
      </c>
      <c r="Y776" s="30">
        <f t="shared" ref="Y776:Y781" si="716">+X776-W776</f>
        <v>6.25E-2</v>
      </c>
      <c r="Z776" s="29">
        <v>45238.631944444445</v>
      </c>
      <c r="AA776" s="29">
        <v>45238.666666666664</v>
      </c>
      <c r="AB776" s="30">
        <f t="shared" ref="AB776:AB781" si="717">+AA776-Z776</f>
        <v>3.4722222218988463E-2</v>
      </c>
    </row>
    <row r="777" spans="1:28" x14ac:dyDescent="0.25">
      <c r="A777" s="12">
        <v>45231</v>
      </c>
      <c r="B777" s="80" t="s">
        <v>1496</v>
      </c>
      <c r="C777" s="20">
        <v>45239</v>
      </c>
      <c r="D777" s="13">
        <v>8262234</v>
      </c>
      <c r="E777" s="80" t="s">
        <v>214</v>
      </c>
      <c r="F777" s="80" t="s">
        <v>215</v>
      </c>
      <c r="G777" s="80" t="s">
        <v>132</v>
      </c>
      <c r="H777" s="17">
        <v>5230831</v>
      </c>
      <c r="I777" s="17" t="s">
        <v>35</v>
      </c>
      <c r="J777" s="14" t="s">
        <v>1232</v>
      </c>
      <c r="K777" s="80">
        <v>240</v>
      </c>
      <c r="L777" s="80">
        <v>22</v>
      </c>
      <c r="M777" s="80">
        <f t="shared" si="715"/>
        <v>5280</v>
      </c>
      <c r="N777" s="20">
        <v>45239</v>
      </c>
      <c r="O777" s="80" t="s">
        <v>136</v>
      </c>
      <c r="P777" s="80" t="s">
        <v>134</v>
      </c>
      <c r="Q777" s="123">
        <v>2661</v>
      </c>
      <c r="R777" s="80" t="s">
        <v>1497</v>
      </c>
      <c r="S777" s="81">
        <v>251674869664</v>
      </c>
      <c r="T777" s="20">
        <v>45239</v>
      </c>
      <c r="U777" s="123"/>
      <c r="V777" s="80">
        <v>609</v>
      </c>
      <c r="W777" s="29">
        <v>45239.666666666664</v>
      </c>
      <c r="X777" s="29">
        <v>45239.694444444445</v>
      </c>
      <c r="Y777" s="30">
        <f t="shared" si="716"/>
        <v>2.7777777781011537E-2</v>
      </c>
      <c r="Z777" s="29">
        <v>45239.673611111109</v>
      </c>
      <c r="AA777" s="29">
        <v>45239.6875</v>
      </c>
      <c r="AB777" s="30">
        <f t="shared" si="717"/>
        <v>1.3888888890505768E-2</v>
      </c>
    </row>
    <row r="778" spans="1:28" x14ac:dyDescent="0.25">
      <c r="A778" s="12">
        <v>45231</v>
      </c>
      <c r="B778" s="80" t="s">
        <v>1498</v>
      </c>
      <c r="C778" s="20">
        <v>45239</v>
      </c>
      <c r="D778" s="13">
        <v>8231129</v>
      </c>
      <c r="E778" s="80" t="s">
        <v>214</v>
      </c>
      <c r="F778" s="80" t="s">
        <v>215</v>
      </c>
      <c r="G778" s="80" t="s">
        <v>132</v>
      </c>
      <c r="H778" s="17">
        <v>5230874</v>
      </c>
      <c r="I778" s="17" t="s">
        <v>1316</v>
      </c>
      <c r="J778" s="97" t="s">
        <v>1287</v>
      </c>
      <c r="K778" s="80">
        <v>250</v>
      </c>
      <c r="L778" s="80">
        <v>32</v>
      </c>
      <c r="M778" s="80">
        <f t="shared" si="715"/>
        <v>8000</v>
      </c>
      <c r="N778" s="20">
        <v>45239</v>
      </c>
      <c r="O778" s="80" t="s">
        <v>136</v>
      </c>
      <c r="P778" s="80" t="s">
        <v>134</v>
      </c>
      <c r="Q778" s="123">
        <v>2662</v>
      </c>
      <c r="R778" s="80" t="s">
        <v>1499</v>
      </c>
      <c r="S778" s="81">
        <v>251674872464</v>
      </c>
      <c r="T778" s="20">
        <v>45239</v>
      </c>
      <c r="U778" s="123"/>
      <c r="V778" s="80">
        <v>610</v>
      </c>
      <c r="W778" s="29">
        <v>45239.659722222219</v>
      </c>
      <c r="X778" s="29">
        <v>45239.708333333336</v>
      </c>
      <c r="Y778" s="30">
        <f t="shared" si="716"/>
        <v>4.8611111116770189E-2</v>
      </c>
      <c r="Z778" s="29">
        <v>45239.673611111109</v>
      </c>
      <c r="AA778" s="29">
        <v>45239.694444444445</v>
      </c>
      <c r="AB778" s="30">
        <f t="shared" si="717"/>
        <v>2.0833333335758653E-2</v>
      </c>
    </row>
    <row r="779" spans="1:28" x14ac:dyDescent="0.25">
      <c r="A779" s="12">
        <v>45231</v>
      </c>
      <c r="B779" s="80" t="s">
        <v>1500</v>
      </c>
      <c r="C779" s="20">
        <v>45239</v>
      </c>
      <c r="D779" s="13">
        <v>8231129</v>
      </c>
      <c r="E779" s="80" t="s">
        <v>1410</v>
      </c>
      <c r="F779" s="80" t="s">
        <v>1411</v>
      </c>
      <c r="G779" s="80" t="s">
        <v>132</v>
      </c>
      <c r="H779" s="17">
        <v>5230874</v>
      </c>
      <c r="I779" s="17" t="s">
        <v>1316</v>
      </c>
      <c r="J779" s="97" t="s">
        <v>1287</v>
      </c>
      <c r="K779" s="80">
        <v>250</v>
      </c>
      <c r="L779" s="80">
        <v>31</v>
      </c>
      <c r="M779" s="80">
        <f t="shared" si="715"/>
        <v>7750</v>
      </c>
      <c r="N779" s="20">
        <v>45239</v>
      </c>
      <c r="O779" s="80" t="s">
        <v>136</v>
      </c>
      <c r="P779" s="80" t="s">
        <v>134</v>
      </c>
      <c r="Q779" s="123">
        <v>2663</v>
      </c>
      <c r="R779" s="80" t="s">
        <v>1501</v>
      </c>
      <c r="S779" s="81">
        <v>281674892784</v>
      </c>
      <c r="T779" s="20">
        <v>45239</v>
      </c>
      <c r="U779" s="123"/>
      <c r="V779" s="80">
        <v>611</v>
      </c>
      <c r="W779" s="29">
        <v>45239.6875</v>
      </c>
      <c r="X779" s="29">
        <v>45239.743055555555</v>
      </c>
      <c r="Y779" s="30">
        <f t="shared" si="716"/>
        <v>5.5555555554747116E-2</v>
      </c>
      <c r="Z779" s="29">
        <v>45239.701388888891</v>
      </c>
      <c r="AA779" s="29">
        <v>45239.736111111109</v>
      </c>
      <c r="AB779" s="30">
        <f t="shared" si="717"/>
        <v>3.4722222218988463E-2</v>
      </c>
    </row>
    <row r="780" spans="1:28" x14ac:dyDescent="0.25">
      <c r="A780" s="12">
        <v>45231</v>
      </c>
      <c r="B780" s="80" t="s">
        <v>1500</v>
      </c>
      <c r="C780" s="20">
        <v>45239</v>
      </c>
      <c r="D780" s="13">
        <v>8169767</v>
      </c>
      <c r="E780" s="80" t="s">
        <v>1410</v>
      </c>
      <c r="F780" s="80" t="s">
        <v>1411</v>
      </c>
      <c r="G780" s="80" t="s">
        <v>132</v>
      </c>
      <c r="H780" s="17">
        <v>5230874</v>
      </c>
      <c r="I780" s="17" t="s">
        <v>1316</v>
      </c>
      <c r="J780" s="97" t="s">
        <v>1287</v>
      </c>
      <c r="K780" s="80">
        <v>250</v>
      </c>
      <c r="L780" s="80">
        <v>9</v>
      </c>
      <c r="M780" s="80">
        <f t="shared" ref="M780" si="718">K780*L780</f>
        <v>2250</v>
      </c>
      <c r="N780" s="20">
        <v>45239</v>
      </c>
      <c r="O780" s="80" t="s">
        <v>136</v>
      </c>
      <c r="P780" s="80" t="s">
        <v>134</v>
      </c>
      <c r="Q780" s="123">
        <v>2663</v>
      </c>
      <c r="R780" s="80" t="s">
        <v>1501</v>
      </c>
      <c r="S780" s="81">
        <v>281674892784</v>
      </c>
      <c r="T780" s="20">
        <v>45239</v>
      </c>
      <c r="U780" s="123"/>
      <c r="V780" s="80">
        <v>611</v>
      </c>
      <c r="W780" s="29">
        <v>45239.6875</v>
      </c>
      <c r="X780" s="29">
        <v>45239.743055555555</v>
      </c>
      <c r="Y780" s="30">
        <f t="shared" ref="Y780" si="719">+X780-W780</f>
        <v>5.5555555554747116E-2</v>
      </c>
      <c r="Z780" s="29">
        <v>45239.701388888891</v>
      </c>
      <c r="AA780" s="29">
        <v>45239.736111111109</v>
      </c>
      <c r="AB780" s="30">
        <f t="shared" ref="AB780" si="720">+AA780-Z780</f>
        <v>3.4722222218988463E-2</v>
      </c>
    </row>
    <row r="781" spans="1:28" x14ac:dyDescent="0.25">
      <c r="A781" s="12">
        <v>45231</v>
      </c>
      <c r="B781" s="80" t="s">
        <v>1506</v>
      </c>
      <c r="C781" s="20">
        <v>45239</v>
      </c>
      <c r="D781" s="51">
        <v>8368021</v>
      </c>
      <c r="E781" s="80" t="s">
        <v>859</v>
      </c>
      <c r="F781" s="80" t="s">
        <v>289</v>
      </c>
      <c r="G781" s="80" t="s">
        <v>192</v>
      </c>
      <c r="H781" s="17">
        <v>5212252</v>
      </c>
      <c r="I781" s="17" t="s">
        <v>23</v>
      </c>
      <c r="J781" s="50" t="s">
        <v>1365</v>
      </c>
      <c r="K781" s="80">
        <v>25</v>
      </c>
      <c r="L781" s="80">
        <v>430</v>
      </c>
      <c r="M781" s="80">
        <f t="shared" si="715"/>
        <v>10750</v>
      </c>
      <c r="N781" s="20">
        <v>45239</v>
      </c>
      <c r="O781" s="80" t="s">
        <v>399</v>
      </c>
      <c r="P781" s="80" t="s">
        <v>144</v>
      </c>
      <c r="Q781" s="85" t="s">
        <v>30</v>
      </c>
      <c r="R781" s="80" t="s">
        <v>1507</v>
      </c>
      <c r="S781" s="81">
        <v>281674866028</v>
      </c>
      <c r="T781" s="20">
        <v>45239</v>
      </c>
      <c r="U781" s="123"/>
      <c r="V781" s="80">
        <v>612</v>
      </c>
      <c r="W781" s="29">
        <v>45239.5</v>
      </c>
      <c r="X781" s="29">
        <v>45239.777777777781</v>
      </c>
      <c r="Y781" s="30">
        <f t="shared" si="716"/>
        <v>0.27777777778101154</v>
      </c>
      <c r="Z781" s="29">
        <v>45239.666666666664</v>
      </c>
      <c r="AA781" s="29">
        <v>45239.777777777781</v>
      </c>
      <c r="AB781" s="30">
        <f t="shared" si="717"/>
        <v>0.11111111111677019</v>
      </c>
    </row>
    <row r="782" spans="1:28" x14ac:dyDescent="0.25">
      <c r="A782" s="12">
        <v>45231</v>
      </c>
      <c r="B782" s="80" t="s">
        <v>1506</v>
      </c>
      <c r="C782" s="20">
        <v>45239</v>
      </c>
      <c r="D782" s="51">
        <v>8368021</v>
      </c>
      <c r="E782" s="80" t="s">
        <v>859</v>
      </c>
      <c r="F782" s="80" t="s">
        <v>289</v>
      </c>
      <c r="G782" s="80" t="s">
        <v>192</v>
      </c>
      <c r="H782" s="17">
        <v>5212252</v>
      </c>
      <c r="I782" s="17" t="s">
        <v>23</v>
      </c>
      <c r="J782" s="67" t="s">
        <v>1443</v>
      </c>
      <c r="K782" s="80">
        <v>25</v>
      </c>
      <c r="L782" s="80">
        <v>250</v>
      </c>
      <c r="M782" s="80">
        <f t="shared" ref="M782" si="721">K782*L782</f>
        <v>6250</v>
      </c>
      <c r="N782" s="20">
        <v>45239</v>
      </c>
      <c r="O782" s="80" t="s">
        <v>399</v>
      </c>
      <c r="P782" s="80" t="s">
        <v>144</v>
      </c>
      <c r="Q782" s="85" t="s">
        <v>30</v>
      </c>
      <c r="R782" s="80" t="s">
        <v>1507</v>
      </c>
      <c r="S782" s="81">
        <v>281674866028</v>
      </c>
      <c r="T782" s="20">
        <v>45239</v>
      </c>
      <c r="U782" s="123"/>
      <c r="V782" s="80">
        <v>612</v>
      </c>
      <c r="W782" s="29">
        <v>45239.5</v>
      </c>
      <c r="X782" s="29">
        <v>45239.777777777781</v>
      </c>
      <c r="Y782" s="30">
        <f t="shared" ref="Y782" si="722">+X782-W782</f>
        <v>0.27777777778101154</v>
      </c>
      <c r="Z782" s="29">
        <v>45239.666666666664</v>
      </c>
      <c r="AA782" s="29">
        <v>45239.777777777781</v>
      </c>
      <c r="AB782" s="30">
        <f t="shared" ref="AB782" si="723">+AA782-Z782</f>
        <v>0.11111111111677019</v>
      </c>
    </row>
    <row r="783" spans="1:28" x14ac:dyDescent="0.25">
      <c r="A783" s="12">
        <v>45231</v>
      </c>
      <c r="B783" s="80" t="s">
        <v>1506</v>
      </c>
      <c r="C783" s="20">
        <v>45239</v>
      </c>
      <c r="D783" s="13">
        <v>6335482</v>
      </c>
      <c r="E783" s="80" t="s">
        <v>859</v>
      </c>
      <c r="F783" s="80" t="s">
        <v>289</v>
      </c>
      <c r="G783" s="80" t="s">
        <v>192</v>
      </c>
      <c r="H783" s="17">
        <v>5212259</v>
      </c>
      <c r="I783" s="17" t="s">
        <v>26</v>
      </c>
      <c r="J783" s="13" t="s">
        <v>445</v>
      </c>
      <c r="K783" s="80">
        <v>25</v>
      </c>
      <c r="L783" s="80">
        <v>1</v>
      </c>
      <c r="M783" s="80">
        <f t="shared" ref="M783:M785" si="724">K783*L783</f>
        <v>25</v>
      </c>
      <c r="N783" s="20">
        <v>45239</v>
      </c>
      <c r="O783" s="80" t="s">
        <v>399</v>
      </c>
      <c r="P783" s="80" t="s">
        <v>144</v>
      </c>
      <c r="Q783" s="85" t="s">
        <v>30</v>
      </c>
      <c r="R783" s="80" t="s">
        <v>1507</v>
      </c>
      <c r="S783" s="81">
        <v>281674866028</v>
      </c>
      <c r="T783" s="20">
        <v>45239</v>
      </c>
      <c r="U783" s="123"/>
      <c r="V783" s="80">
        <v>612</v>
      </c>
      <c r="W783" s="29">
        <v>45239.5</v>
      </c>
      <c r="X783" s="29">
        <v>45239.777777777781</v>
      </c>
      <c r="Y783" s="30">
        <f t="shared" ref="Y783:Y785" si="725">+X783-W783</f>
        <v>0.27777777778101154</v>
      </c>
      <c r="Z783" s="29">
        <v>45239.666666666664</v>
      </c>
      <c r="AA783" s="29">
        <v>45239.777777777781</v>
      </c>
      <c r="AB783" s="30">
        <f t="shared" ref="AB783:AB785" si="726">+AA783-Z783</f>
        <v>0.11111111111677019</v>
      </c>
    </row>
    <row r="784" spans="1:28" x14ac:dyDescent="0.25">
      <c r="A784" s="12">
        <v>45231</v>
      </c>
      <c r="B784" s="80" t="s">
        <v>1506</v>
      </c>
      <c r="C784" s="20">
        <v>45239</v>
      </c>
      <c r="D784" s="90">
        <v>8439832</v>
      </c>
      <c r="E784" s="80" t="s">
        <v>859</v>
      </c>
      <c r="F784" s="80" t="s">
        <v>289</v>
      </c>
      <c r="G784" s="80" t="s">
        <v>192</v>
      </c>
      <c r="H784" s="17">
        <v>5212259</v>
      </c>
      <c r="I784" s="17" t="s">
        <v>26</v>
      </c>
      <c r="J784" s="62" t="s">
        <v>1477</v>
      </c>
      <c r="K784" s="80">
        <v>25</v>
      </c>
      <c r="L784" s="80">
        <v>519</v>
      </c>
      <c r="M784" s="80">
        <f t="shared" ref="M784" si="727">K784*L784</f>
        <v>12975</v>
      </c>
      <c r="N784" s="20">
        <v>45239</v>
      </c>
      <c r="O784" s="80" t="s">
        <v>399</v>
      </c>
      <c r="P784" s="80" t="s">
        <v>144</v>
      </c>
      <c r="Q784" s="85" t="s">
        <v>30</v>
      </c>
      <c r="R784" s="80" t="s">
        <v>1507</v>
      </c>
      <c r="S784" s="81">
        <v>281674866028</v>
      </c>
      <c r="T784" s="20">
        <v>45239</v>
      </c>
      <c r="U784" s="123"/>
      <c r="V784" s="80">
        <v>612</v>
      </c>
      <c r="W784" s="29">
        <v>45239.5</v>
      </c>
      <c r="X784" s="29">
        <v>45239.777777777781</v>
      </c>
      <c r="Y784" s="30">
        <f t="shared" ref="Y784" si="728">+X784-W784</f>
        <v>0.27777777778101154</v>
      </c>
      <c r="Z784" s="29">
        <v>45239.666666666664</v>
      </c>
      <c r="AA784" s="29">
        <v>45239.777777777781</v>
      </c>
      <c r="AB784" s="30">
        <f t="shared" ref="AB784" si="729">+AA784-Z784</f>
        <v>0.11111111111677019</v>
      </c>
    </row>
    <row r="785" spans="1:28" x14ac:dyDescent="0.25">
      <c r="A785" s="12">
        <v>45231</v>
      </c>
      <c r="B785" s="80" t="s">
        <v>1508</v>
      </c>
      <c r="C785" s="20">
        <v>45239</v>
      </c>
      <c r="D785" s="90">
        <v>8439832</v>
      </c>
      <c r="E785" s="80" t="s">
        <v>191</v>
      </c>
      <c r="F785" s="80" t="s">
        <v>135</v>
      </c>
      <c r="G785" s="80" t="s">
        <v>192</v>
      </c>
      <c r="H785" s="17">
        <v>5212259</v>
      </c>
      <c r="I785" s="17" t="s">
        <v>26</v>
      </c>
      <c r="J785" s="62" t="s">
        <v>1477</v>
      </c>
      <c r="K785" s="80">
        <v>25</v>
      </c>
      <c r="L785" s="80">
        <v>521</v>
      </c>
      <c r="M785" s="80">
        <f t="shared" si="724"/>
        <v>13025</v>
      </c>
      <c r="N785" s="20">
        <v>45239</v>
      </c>
      <c r="O785" s="80" t="s">
        <v>399</v>
      </c>
      <c r="P785" s="80" t="s">
        <v>144</v>
      </c>
      <c r="Q785" s="85" t="s">
        <v>30</v>
      </c>
      <c r="R785" s="80" t="s">
        <v>958</v>
      </c>
      <c r="S785" s="81">
        <v>271674902754</v>
      </c>
      <c r="T785" s="20">
        <v>45239</v>
      </c>
      <c r="U785" s="123"/>
      <c r="V785" s="80">
        <v>613</v>
      </c>
      <c r="W785" s="29">
        <v>45239.5</v>
      </c>
      <c r="X785" s="29">
        <v>45239.847222222219</v>
      </c>
      <c r="Y785" s="30">
        <f t="shared" si="725"/>
        <v>0.34722222221898846</v>
      </c>
      <c r="Z785" s="29">
        <v>45239.708333333336</v>
      </c>
      <c r="AA785" s="29">
        <v>45239.840277777781</v>
      </c>
      <c r="AB785" s="30">
        <f t="shared" si="726"/>
        <v>0.13194444444525288</v>
      </c>
    </row>
    <row r="786" spans="1:28" x14ac:dyDescent="0.25">
      <c r="A786" s="12">
        <v>45231</v>
      </c>
      <c r="B786" s="80" t="s">
        <v>1508</v>
      </c>
      <c r="C786" s="20">
        <v>45239</v>
      </c>
      <c r="D786" s="13">
        <v>7071414</v>
      </c>
      <c r="E786" s="80" t="s">
        <v>191</v>
      </c>
      <c r="F786" s="80" t="s">
        <v>135</v>
      </c>
      <c r="G786" s="80" t="s">
        <v>192</v>
      </c>
      <c r="H786" s="17">
        <v>5210162</v>
      </c>
      <c r="I786" s="17" t="s">
        <v>24</v>
      </c>
      <c r="J786" s="13" t="s">
        <v>770</v>
      </c>
      <c r="K786" s="80">
        <v>25</v>
      </c>
      <c r="L786" s="80">
        <v>132</v>
      </c>
      <c r="M786" s="80">
        <f t="shared" ref="M786" si="730">K786*L786</f>
        <v>3300</v>
      </c>
      <c r="N786" s="20">
        <v>45239</v>
      </c>
      <c r="O786" s="80" t="s">
        <v>399</v>
      </c>
      <c r="P786" s="80" t="s">
        <v>144</v>
      </c>
      <c r="Q786" s="85" t="s">
        <v>30</v>
      </c>
      <c r="R786" s="80" t="s">
        <v>958</v>
      </c>
      <c r="S786" s="81">
        <v>271674902754</v>
      </c>
      <c r="T786" s="20">
        <v>45239</v>
      </c>
      <c r="U786" s="123"/>
      <c r="V786" s="80">
        <v>613</v>
      </c>
      <c r="W786" s="29">
        <v>45239.5</v>
      </c>
      <c r="X786" s="29">
        <v>45239.847222222219</v>
      </c>
      <c r="Y786" s="30">
        <f t="shared" ref="Y786" si="731">+X786-W786</f>
        <v>0.34722222221898846</v>
      </c>
      <c r="Z786" s="29">
        <v>45239.708333333336</v>
      </c>
      <c r="AA786" s="29">
        <v>45239.840277777781</v>
      </c>
      <c r="AB786" s="30">
        <f t="shared" ref="AB786" si="732">+AA786-Z786</f>
        <v>0.13194444444525288</v>
      </c>
    </row>
    <row r="787" spans="1:28" x14ac:dyDescent="0.25">
      <c r="A787" s="12">
        <v>45231</v>
      </c>
      <c r="B787" s="80" t="s">
        <v>1508</v>
      </c>
      <c r="C787" s="20">
        <v>45239</v>
      </c>
      <c r="D787" s="13">
        <v>8224388</v>
      </c>
      <c r="E787" s="80" t="s">
        <v>191</v>
      </c>
      <c r="F787" s="80" t="s">
        <v>135</v>
      </c>
      <c r="G787" s="80" t="s">
        <v>192</v>
      </c>
      <c r="H787" s="17">
        <v>5212256</v>
      </c>
      <c r="I787" s="17" t="s">
        <v>22</v>
      </c>
      <c r="J787" s="13" t="s">
        <v>1334</v>
      </c>
      <c r="K787" s="80">
        <v>25</v>
      </c>
      <c r="L787" s="80">
        <v>80</v>
      </c>
      <c r="M787" s="80">
        <f t="shared" ref="M787" si="733">K787*L787</f>
        <v>2000</v>
      </c>
      <c r="N787" s="20">
        <v>45239</v>
      </c>
      <c r="O787" s="80" t="s">
        <v>399</v>
      </c>
      <c r="P787" s="80" t="s">
        <v>144</v>
      </c>
      <c r="Q787" s="85" t="s">
        <v>30</v>
      </c>
      <c r="R787" s="80" t="s">
        <v>958</v>
      </c>
      <c r="S787" s="81">
        <v>271674902754</v>
      </c>
      <c r="T787" s="20">
        <v>45239</v>
      </c>
      <c r="U787" s="123"/>
      <c r="V787" s="80">
        <v>613</v>
      </c>
      <c r="W787" s="29">
        <v>45239.5</v>
      </c>
      <c r="X787" s="29">
        <v>45239.847222222219</v>
      </c>
      <c r="Y787" s="30">
        <f t="shared" ref="Y787" si="734">+X787-W787</f>
        <v>0.34722222221898846</v>
      </c>
      <c r="Z787" s="29">
        <v>45239.708333333336</v>
      </c>
      <c r="AA787" s="29">
        <v>45239.840277777781</v>
      </c>
      <c r="AB787" s="30">
        <f t="shared" ref="AB787" si="735">+AA787-Z787</f>
        <v>0.13194444444525288</v>
      </c>
    </row>
    <row r="788" spans="1:28" x14ac:dyDescent="0.25">
      <c r="A788" s="12">
        <v>45231</v>
      </c>
      <c r="B788" s="80" t="s">
        <v>1508</v>
      </c>
      <c r="C788" s="20">
        <v>45239</v>
      </c>
      <c r="D788" s="13">
        <v>7833009</v>
      </c>
      <c r="E788" s="80" t="s">
        <v>191</v>
      </c>
      <c r="F788" s="80" t="s">
        <v>135</v>
      </c>
      <c r="G788" s="80" t="s">
        <v>192</v>
      </c>
      <c r="H788" s="17">
        <v>5211013</v>
      </c>
      <c r="I788" s="17" t="s">
        <v>27</v>
      </c>
      <c r="J788" s="13" t="s">
        <v>1152</v>
      </c>
      <c r="K788" s="80">
        <v>25</v>
      </c>
      <c r="L788" s="80">
        <v>80</v>
      </c>
      <c r="M788" s="80">
        <f t="shared" ref="M788" si="736">K788*L788</f>
        <v>2000</v>
      </c>
      <c r="N788" s="20">
        <v>45239</v>
      </c>
      <c r="O788" s="80" t="s">
        <v>399</v>
      </c>
      <c r="P788" s="80" t="s">
        <v>144</v>
      </c>
      <c r="Q788" s="85" t="s">
        <v>30</v>
      </c>
      <c r="R788" s="80" t="s">
        <v>958</v>
      </c>
      <c r="S788" s="81">
        <v>271674902754</v>
      </c>
      <c r="T788" s="20">
        <v>45239</v>
      </c>
      <c r="U788" s="123"/>
      <c r="V788" s="80">
        <v>613</v>
      </c>
      <c r="W788" s="29">
        <v>45239.5</v>
      </c>
      <c r="X788" s="29">
        <v>45239.847222222219</v>
      </c>
      <c r="Y788" s="30">
        <f t="shared" ref="Y788" si="737">+X788-W788</f>
        <v>0.34722222221898846</v>
      </c>
      <c r="Z788" s="29">
        <v>45239.708333333336</v>
      </c>
      <c r="AA788" s="29">
        <v>45239.840277777781</v>
      </c>
      <c r="AB788" s="30">
        <f t="shared" ref="AB788" si="738">+AA788-Z788</f>
        <v>0.13194444444525288</v>
      </c>
    </row>
    <row r="789" spans="1:28" x14ac:dyDescent="0.25">
      <c r="A789" s="12">
        <v>45231</v>
      </c>
      <c r="B789" s="80" t="s">
        <v>1508</v>
      </c>
      <c r="C789" s="20">
        <v>45239</v>
      </c>
      <c r="D789" s="13">
        <v>8285503</v>
      </c>
      <c r="E789" s="80" t="s">
        <v>191</v>
      </c>
      <c r="F789" s="80" t="s">
        <v>135</v>
      </c>
      <c r="G789" s="80" t="s">
        <v>192</v>
      </c>
      <c r="H789" s="17">
        <v>5211014</v>
      </c>
      <c r="I789" s="17" t="s">
        <v>38</v>
      </c>
      <c r="J789" s="13" t="s">
        <v>1353</v>
      </c>
      <c r="K789" s="80">
        <v>25</v>
      </c>
      <c r="L789" s="80">
        <v>84</v>
      </c>
      <c r="M789" s="80">
        <f t="shared" ref="M789" si="739">K789*L789</f>
        <v>2100</v>
      </c>
      <c r="N789" s="20">
        <v>45239</v>
      </c>
      <c r="O789" s="80" t="s">
        <v>399</v>
      </c>
      <c r="P789" s="80" t="s">
        <v>144</v>
      </c>
      <c r="Q789" s="85" t="s">
        <v>30</v>
      </c>
      <c r="R789" s="80" t="s">
        <v>958</v>
      </c>
      <c r="S789" s="81">
        <v>271674902754</v>
      </c>
      <c r="T789" s="20">
        <v>45239</v>
      </c>
      <c r="U789" s="123"/>
      <c r="V789" s="80">
        <v>613</v>
      </c>
      <c r="W789" s="29">
        <v>45239.5</v>
      </c>
      <c r="X789" s="29">
        <v>45239.847222222219</v>
      </c>
      <c r="Y789" s="30">
        <f t="shared" ref="Y789" si="740">+X789-W789</f>
        <v>0.34722222221898846</v>
      </c>
      <c r="Z789" s="29">
        <v>45239.708333333336</v>
      </c>
      <c r="AA789" s="29">
        <v>45239.840277777781</v>
      </c>
      <c r="AB789" s="30">
        <f t="shared" ref="AB789" si="741">+AA789-Z789</f>
        <v>0.13194444444525288</v>
      </c>
    </row>
    <row r="790" spans="1:28" x14ac:dyDescent="0.25">
      <c r="A790" s="12">
        <v>45231</v>
      </c>
      <c r="B790" s="80" t="s">
        <v>1508</v>
      </c>
      <c r="C790" s="20">
        <v>45239</v>
      </c>
      <c r="D790" s="13">
        <v>5851097</v>
      </c>
      <c r="E790" s="80" t="s">
        <v>191</v>
      </c>
      <c r="F790" s="80" t="s">
        <v>135</v>
      </c>
      <c r="G790" s="80" t="s">
        <v>192</v>
      </c>
      <c r="H790" s="17">
        <v>5211003</v>
      </c>
      <c r="I790" s="17" t="s">
        <v>31</v>
      </c>
      <c r="J790" s="13" t="s">
        <v>97</v>
      </c>
      <c r="K790" s="80">
        <v>25</v>
      </c>
      <c r="L790" s="80">
        <v>20</v>
      </c>
      <c r="M790" s="80">
        <f t="shared" ref="M790" si="742">K790*L790</f>
        <v>500</v>
      </c>
      <c r="N790" s="20">
        <v>45239</v>
      </c>
      <c r="O790" s="80" t="s">
        <v>399</v>
      </c>
      <c r="P790" s="80" t="s">
        <v>144</v>
      </c>
      <c r="Q790" s="85" t="s">
        <v>30</v>
      </c>
      <c r="R790" s="80" t="s">
        <v>958</v>
      </c>
      <c r="S790" s="81">
        <v>271674902754</v>
      </c>
      <c r="T790" s="20">
        <v>45239</v>
      </c>
      <c r="U790" s="123"/>
      <c r="V790" s="80">
        <v>613</v>
      </c>
      <c r="W790" s="29">
        <v>45239.5</v>
      </c>
      <c r="X790" s="29">
        <v>45239.847222222219</v>
      </c>
      <c r="Y790" s="30">
        <f t="shared" ref="Y790" si="743">+X790-W790</f>
        <v>0.34722222221898846</v>
      </c>
      <c r="Z790" s="29">
        <v>45239.708333333336</v>
      </c>
      <c r="AA790" s="29">
        <v>45239.840277777781</v>
      </c>
      <c r="AB790" s="30">
        <f t="shared" ref="AB790" si="744">+AA790-Z790</f>
        <v>0.13194444444525288</v>
      </c>
    </row>
    <row r="791" spans="1:28" x14ac:dyDescent="0.25">
      <c r="A791" s="12">
        <v>45231</v>
      </c>
      <c r="B791" s="80" t="s">
        <v>1508</v>
      </c>
      <c r="C791" s="20">
        <v>45239</v>
      </c>
      <c r="D791" s="51">
        <v>8368021</v>
      </c>
      <c r="E791" s="80" t="s">
        <v>191</v>
      </c>
      <c r="F791" s="80" t="s">
        <v>135</v>
      </c>
      <c r="G791" s="80" t="s">
        <v>192</v>
      </c>
      <c r="H791" s="17">
        <v>5212252</v>
      </c>
      <c r="I791" s="17" t="s">
        <v>23</v>
      </c>
      <c r="J791" s="67" t="s">
        <v>1443</v>
      </c>
      <c r="K791" s="80">
        <v>25</v>
      </c>
      <c r="L791" s="80">
        <v>309</v>
      </c>
      <c r="M791" s="80">
        <f t="shared" ref="M791" si="745">K791*L791</f>
        <v>7725</v>
      </c>
      <c r="N791" s="20">
        <v>45239</v>
      </c>
      <c r="O791" s="80" t="s">
        <v>399</v>
      </c>
      <c r="P791" s="80" t="s">
        <v>144</v>
      </c>
      <c r="Q791" s="85" t="s">
        <v>30</v>
      </c>
      <c r="R791" s="80" t="s">
        <v>958</v>
      </c>
      <c r="S791" s="81">
        <v>271674902754</v>
      </c>
      <c r="T791" s="20">
        <v>45239</v>
      </c>
      <c r="U791" s="123"/>
      <c r="V791" s="80">
        <v>613</v>
      </c>
      <c r="W791" s="29">
        <v>45239.5</v>
      </c>
      <c r="X791" s="29">
        <v>45239.847222222219</v>
      </c>
      <c r="Y791" s="30">
        <f t="shared" ref="Y791" si="746">+X791-W791</f>
        <v>0.34722222221898846</v>
      </c>
      <c r="Z791" s="29">
        <v>45239.708333333336</v>
      </c>
      <c r="AA791" s="29">
        <v>45239.840277777781</v>
      </c>
      <c r="AB791" s="30">
        <f t="shared" ref="AB791" si="747">+AA791-Z791</f>
        <v>0.13194444444525288</v>
      </c>
    </row>
    <row r="792" spans="1:28" x14ac:dyDescent="0.25">
      <c r="A792" s="12">
        <v>45231</v>
      </c>
      <c r="B792" s="80" t="s">
        <v>1508</v>
      </c>
      <c r="C792" s="20">
        <v>45239</v>
      </c>
      <c r="D792" s="50">
        <v>8404720</v>
      </c>
      <c r="E792" s="80" t="s">
        <v>191</v>
      </c>
      <c r="F792" s="80" t="s">
        <v>135</v>
      </c>
      <c r="G792" s="80" t="s">
        <v>192</v>
      </c>
      <c r="H792" s="17">
        <v>5212252</v>
      </c>
      <c r="I792" s="17" t="s">
        <v>23</v>
      </c>
      <c r="J792" s="51" t="s">
        <v>1377</v>
      </c>
      <c r="K792" s="80">
        <v>25</v>
      </c>
      <c r="L792" s="80">
        <v>11</v>
      </c>
      <c r="M792" s="80">
        <f t="shared" ref="M792" si="748">K792*L792</f>
        <v>275</v>
      </c>
      <c r="N792" s="20">
        <v>45239</v>
      </c>
      <c r="O792" s="80" t="s">
        <v>399</v>
      </c>
      <c r="P792" s="80" t="s">
        <v>144</v>
      </c>
      <c r="Q792" s="85" t="s">
        <v>30</v>
      </c>
      <c r="R792" s="80" t="s">
        <v>958</v>
      </c>
      <c r="S792" s="81">
        <v>271674902754</v>
      </c>
      <c r="T792" s="20">
        <v>45239</v>
      </c>
      <c r="U792" s="123"/>
      <c r="V792" s="80">
        <v>613</v>
      </c>
      <c r="W792" s="29">
        <v>45239.5</v>
      </c>
      <c r="X792" s="29">
        <v>45239.847222222219</v>
      </c>
      <c r="Y792" s="30">
        <f t="shared" ref="Y792" si="749">+X792-W792</f>
        <v>0.34722222221898846</v>
      </c>
      <c r="Z792" s="29">
        <v>45239.708333333336</v>
      </c>
      <c r="AA792" s="29">
        <v>45239.840277777781</v>
      </c>
      <c r="AB792" s="30">
        <f t="shared" ref="AB792" si="750">+AA792-Z792</f>
        <v>0.13194444444525288</v>
      </c>
    </row>
    <row r="793" spans="1:28" x14ac:dyDescent="0.25">
      <c r="A793" s="12">
        <v>45231</v>
      </c>
      <c r="B793" s="80" t="s">
        <v>1508</v>
      </c>
      <c r="C793" s="20">
        <v>45239</v>
      </c>
      <c r="D793" s="85" t="s">
        <v>30</v>
      </c>
      <c r="E793" s="80" t="s">
        <v>191</v>
      </c>
      <c r="F793" s="80" t="s">
        <v>135</v>
      </c>
      <c r="G793" s="80" t="s">
        <v>192</v>
      </c>
      <c r="H793" s="17">
        <v>5212263</v>
      </c>
      <c r="I793" s="17" t="s">
        <v>539</v>
      </c>
      <c r="J793" s="13" t="s">
        <v>1203</v>
      </c>
      <c r="K793" s="80">
        <v>25</v>
      </c>
      <c r="L793" s="80">
        <v>10</v>
      </c>
      <c r="M793" s="80">
        <f t="shared" ref="M793:M797" si="751">K793*L793</f>
        <v>250</v>
      </c>
      <c r="N793" s="20">
        <v>45239</v>
      </c>
      <c r="O793" s="80" t="s">
        <v>399</v>
      </c>
      <c r="P793" s="80" t="s">
        <v>144</v>
      </c>
      <c r="Q793" s="85" t="s">
        <v>30</v>
      </c>
      <c r="R793" s="80" t="s">
        <v>958</v>
      </c>
      <c r="S793" s="81">
        <v>271674902754</v>
      </c>
      <c r="T793" s="20">
        <v>45239</v>
      </c>
      <c r="U793" s="123"/>
      <c r="V793" s="80">
        <v>613</v>
      </c>
      <c r="W793" s="29">
        <v>45239.5</v>
      </c>
      <c r="X793" s="29">
        <v>45239.847222222219</v>
      </c>
      <c r="Y793" s="30">
        <f t="shared" ref="Y793:Y797" si="752">+X793-W793</f>
        <v>0.34722222221898846</v>
      </c>
      <c r="Z793" s="29">
        <v>45239.708333333336</v>
      </c>
      <c r="AA793" s="29">
        <v>45239.840277777781</v>
      </c>
      <c r="AB793" s="30">
        <f t="shared" ref="AB793:AB797" si="753">+AA793-Z793</f>
        <v>0.13194444444525288</v>
      </c>
    </row>
    <row r="794" spans="1:28" x14ac:dyDescent="0.25">
      <c r="A794" s="12">
        <v>45231</v>
      </c>
      <c r="B794" s="80" t="s">
        <v>1524</v>
      </c>
      <c r="C794" s="20">
        <v>45245</v>
      </c>
      <c r="D794" s="13">
        <v>8169768</v>
      </c>
      <c r="E794" s="80" t="s">
        <v>214</v>
      </c>
      <c r="F794" s="80" t="s">
        <v>215</v>
      </c>
      <c r="G794" s="80" t="s">
        <v>132</v>
      </c>
      <c r="H794" s="17">
        <v>5230874</v>
      </c>
      <c r="I794" s="17" t="s">
        <v>1316</v>
      </c>
      <c r="J794" s="14" t="s">
        <v>1296</v>
      </c>
      <c r="K794" s="80">
        <v>250</v>
      </c>
      <c r="L794" s="80">
        <v>32</v>
      </c>
      <c r="M794" s="80">
        <f t="shared" si="751"/>
        <v>8000</v>
      </c>
      <c r="N794" s="20">
        <v>45246</v>
      </c>
      <c r="O794" s="80" t="s">
        <v>177</v>
      </c>
      <c r="P794" s="80" t="s">
        <v>134</v>
      </c>
      <c r="Q794" s="123">
        <v>2664</v>
      </c>
      <c r="R794" s="80" t="s">
        <v>1525</v>
      </c>
      <c r="S794" s="81">
        <v>211676775242</v>
      </c>
      <c r="T794" s="20">
        <v>45246</v>
      </c>
      <c r="U794" s="123"/>
      <c r="V794" s="80">
        <v>614</v>
      </c>
      <c r="W794" s="29">
        <v>45246.5625</v>
      </c>
      <c r="X794" s="29">
        <v>45246.736111111109</v>
      </c>
      <c r="Y794" s="30">
        <f t="shared" si="752"/>
        <v>0.17361111110949423</v>
      </c>
      <c r="Z794" s="29">
        <v>45246.65625</v>
      </c>
      <c r="AA794" s="29">
        <v>45246.673611111109</v>
      </c>
      <c r="AB794" s="30">
        <f t="shared" si="753"/>
        <v>1.7361111109494232E-2</v>
      </c>
    </row>
    <row r="795" spans="1:28" x14ac:dyDescent="0.25">
      <c r="A795" s="12">
        <v>45231</v>
      </c>
      <c r="B795" s="80" t="s">
        <v>1526</v>
      </c>
      <c r="C795" s="20">
        <v>45246</v>
      </c>
      <c r="D795" s="13">
        <v>7933360</v>
      </c>
      <c r="E795" s="80" t="s">
        <v>651</v>
      </c>
      <c r="F795" s="80" t="s">
        <v>1242</v>
      </c>
      <c r="G795" s="80" t="s">
        <v>132</v>
      </c>
      <c r="H795" s="17">
        <v>5309040</v>
      </c>
      <c r="I795" s="17" t="s">
        <v>105</v>
      </c>
      <c r="J795" s="13" t="s">
        <v>1210</v>
      </c>
      <c r="K795" s="80">
        <v>250</v>
      </c>
      <c r="L795" s="80">
        <v>36</v>
      </c>
      <c r="M795" s="80">
        <f t="shared" si="751"/>
        <v>9000</v>
      </c>
      <c r="N795" s="20">
        <v>45246</v>
      </c>
      <c r="O795" s="80" t="s">
        <v>177</v>
      </c>
      <c r="P795" s="80" t="s">
        <v>134</v>
      </c>
      <c r="Q795" s="123">
        <v>2665</v>
      </c>
      <c r="R795" s="80" t="s">
        <v>228</v>
      </c>
      <c r="S795" s="81">
        <v>211676778142</v>
      </c>
      <c r="T795" s="20">
        <v>45246</v>
      </c>
      <c r="U795" s="123"/>
      <c r="V795" s="80">
        <v>615</v>
      </c>
      <c r="W795" s="29">
        <v>45246.625</v>
      </c>
      <c r="X795" s="29">
        <v>45246.715277777781</v>
      </c>
      <c r="Y795" s="30">
        <f t="shared" si="752"/>
        <v>9.0277777781011537E-2</v>
      </c>
      <c r="Z795" s="29">
        <v>45246.701388888891</v>
      </c>
      <c r="AA795" s="29">
        <v>45246.711805555555</v>
      </c>
      <c r="AB795" s="30">
        <f t="shared" si="753"/>
        <v>1.0416666664241347E-2</v>
      </c>
    </row>
    <row r="796" spans="1:28" x14ac:dyDescent="0.25">
      <c r="A796" s="12">
        <v>45231</v>
      </c>
      <c r="B796" s="80" t="s">
        <v>1527</v>
      </c>
      <c r="C796" s="20">
        <v>45247</v>
      </c>
      <c r="D796" s="13">
        <v>8262234</v>
      </c>
      <c r="E796" s="80" t="s">
        <v>196</v>
      </c>
      <c r="F796" s="80" t="s">
        <v>197</v>
      </c>
      <c r="G796" s="80" t="s">
        <v>132</v>
      </c>
      <c r="H796" s="17">
        <v>5230831</v>
      </c>
      <c r="I796" s="17" t="s">
        <v>35</v>
      </c>
      <c r="J796" s="14" t="s">
        <v>1232</v>
      </c>
      <c r="K796" s="80">
        <v>240</v>
      </c>
      <c r="L796" s="80">
        <v>40</v>
      </c>
      <c r="M796" s="80">
        <f t="shared" si="751"/>
        <v>9600</v>
      </c>
      <c r="N796" s="20">
        <v>45247</v>
      </c>
      <c r="O796" s="80" t="s">
        <v>136</v>
      </c>
      <c r="P796" s="80" t="s">
        <v>144</v>
      </c>
      <c r="Q796" s="80">
        <v>5723</v>
      </c>
      <c r="R796" s="80" t="s">
        <v>1528</v>
      </c>
      <c r="S796" s="81">
        <v>271677123026</v>
      </c>
      <c r="T796" s="20">
        <v>45247</v>
      </c>
      <c r="U796" s="123"/>
      <c r="V796" s="80">
        <v>616</v>
      </c>
      <c r="W796" s="29">
        <v>45247.618055555555</v>
      </c>
      <c r="X796" s="29">
        <v>45247.663194444445</v>
      </c>
      <c r="Y796" s="30">
        <f t="shared" si="752"/>
        <v>4.5138888890505768E-2</v>
      </c>
      <c r="Z796" s="29">
        <v>45247.638888888891</v>
      </c>
      <c r="AA796" s="29">
        <v>45247.659722222219</v>
      </c>
      <c r="AB796" s="30">
        <f t="shared" si="753"/>
        <v>2.0833333328482695E-2</v>
      </c>
    </row>
    <row r="797" spans="1:28" x14ac:dyDescent="0.25">
      <c r="A797" s="12">
        <v>45231</v>
      </c>
      <c r="B797" s="80" t="s">
        <v>1529</v>
      </c>
      <c r="C797" s="20">
        <v>45247</v>
      </c>
      <c r="D797" s="13">
        <v>8224388</v>
      </c>
      <c r="E797" s="80" t="s">
        <v>523</v>
      </c>
      <c r="F797" s="80" t="s">
        <v>524</v>
      </c>
      <c r="G797" s="80" t="s">
        <v>192</v>
      </c>
      <c r="H797" s="17">
        <v>5212256</v>
      </c>
      <c r="I797" s="17" t="s">
        <v>22</v>
      </c>
      <c r="J797" s="13" t="s">
        <v>1334</v>
      </c>
      <c r="K797" s="80">
        <v>25</v>
      </c>
      <c r="L797" s="80">
        <v>83</v>
      </c>
      <c r="M797" s="80">
        <f t="shared" si="751"/>
        <v>2075</v>
      </c>
      <c r="N797" s="20">
        <v>45247</v>
      </c>
      <c r="O797" s="80" t="s">
        <v>136</v>
      </c>
      <c r="P797" s="80" t="s">
        <v>134</v>
      </c>
      <c r="Q797" s="80">
        <v>2666</v>
      </c>
      <c r="R797" s="80" t="s">
        <v>1530</v>
      </c>
      <c r="S797" s="81">
        <v>281677312672</v>
      </c>
      <c r="T797" s="20">
        <v>45247</v>
      </c>
      <c r="U797" s="123"/>
      <c r="V797" s="80">
        <v>617</v>
      </c>
      <c r="W797" s="29">
        <v>45247.659722222219</v>
      </c>
      <c r="X797" s="29">
        <v>45247.826388888891</v>
      </c>
      <c r="Y797" s="30">
        <f t="shared" si="752"/>
        <v>0.16666666667151731</v>
      </c>
      <c r="Z797" s="29">
        <v>45247.784722222219</v>
      </c>
      <c r="AA797" s="29">
        <v>45247.826388888891</v>
      </c>
      <c r="AB797" s="30">
        <f t="shared" si="753"/>
        <v>4.1666666671517305E-2</v>
      </c>
    </row>
    <row r="798" spans="1:28" x14ac:dyDescent="0.25">
      <c r="A798" s="12">
        <v>45231</v>
      </c>
      <c r="B798" s="80" t="s">
        <v>1529</v>
      </c>
      <c r="C798" s="20">
        <v>45247</v>
      </c>
      <c r="D798" s="13">
        <v>8224388</v>
      </c>
      <c r="E798" s="80" t="s">
        <v>523</v>
      </c>
      <c r="F798" s="80" t="s">
        <v>524</v>
      </c>
      <c r="G798" s="80" t="s">
        <v>192</v>
      </c>
      <c r="H798" s="17">
        <v>5212256</v>
      </c>
      <c r="I798" s="17" t="s">
        <v>22</v>
      </c>
      <c r="J798" s="13" t="s">
        <v>1326</v>
      </c>
      <c r="K798" s="80">
        <v>25</v>
      </c>
      <c r="L798" s="80">
        <v>317</v>
      </c>
      <c r="M798" s="80">
        <f t="shared" ref="M798:M801" si="754">K798*L798</f>
        <v>7925</v>
      </c>
      <c r="N798" s="20">
        <v>45247</v>
      </c>
      <c r="O798" s="80" t="s">
        <v>136</v>
      </c>
      <c r="P798" s="80" t="s">
        <v>134</v>
      </c>
      <c r="Q798" s="80">
        <v>2666</v>
      </c>
      <c r="R798" s="80" t="s">
        <v>1530</v>
      </c>
      <c r="S798" s="81">
        <v>281677312672</v>
      </c>
      <c r="T798" s="20">
        <v>45247</v>
      </c>
      <c r="U798" s="123"/>
      <c r="V798" s="80">
        <v>617</v>
      </c>
      <c r="W798" s="29">
        <v>45247.659722222219</v>
      </c>
      <c r="X798" s="29">
        <v>45247.826388888891</v>
      </c>
      <c r="Y798" s="30">
        <f t="shared" ref="Y798:Y801" si="755">+X798-W798</f>
        <v>0.16666666667151731</v>
      </c>
      <c r="Z798" s="29">
        <v>45247.784722222219</v>
      </c>
      <c r="AA798" s="29">
        <v>45247.826388888891</v>
      </c>
      <c r="AB798" s="30">
        <f t="shared" ref="AB798:AB801" si="756">+AA798-Z798</f>
        <v>4.1666666671517305E-2</v>
      </c>
    </row>
    <row r="799" spans="1:28" x14ac:dyDescent="0.25">
      <c r="A799" s="12">
        <v>45231</v>
      </c>
      <c r="B799" s="80" t="s">
        <v>1542</v>
      </c>
      <c r="C799" s="20">
        <v>45248</v>
      </c>
      <c r="D799" s="13">
        <v>8262234</v>
      </c>
      <c r="E799" s="80" t="s">
        <v>1131</v>
      </c>
      <c r="F799" s="80" t="s">
        <v>215</v>
      </c>
      <c r="G799" s="80" t="s">
        <v>132</v>
      </c>
      <c r="H799" s="17">
        <v>5230831</v>
      </c>
      <c r="I799" s="17" t="s">
        <v>35</v>
      </c>
      <c r="J799" s="14" t="s">
        <v>1232</v>
      </c>
      <c r="K799" s="80">
        <v>240</v>
      </c>
      <c r="L799" s="80">
        <v>40</v>
      </c>
      <c r="M799" s="80">
        <f t="shared" si="754"/>
        <v>9600</v>
      </c>
      <c r="N799" s="20">
        <v>45248</v>
      </c>
      <c r="O799" s="80" t="s">
        <v>136</v>
      </c>
      <c r="P799" s="80" t="s">
        <v>144</v>
      </c>
      <c r="Q799" s="85" t="s">
        <v>30</v>
      </c>
      <c r="R799" s="80" t="s">
        <v>1541</v>
      </c>
      <c r="S799" s="81">
        <v>261677739888</v>
      </c>
      <c r="T799" s="20">
        <v>45248</v>
      </c>
      <c r="U799" s="123"/>
      <c r="V799" s="80">
        <v>618</v>
      </c>
      <c r="W799" s="29">
        <v>45248.461805555555</v>
      </c>
      <c r="X799" s="29">
        <v>45248.708333333336</v>
      </c>
      <c r="Y799" s="30">
        <f t="shared" si="755"/>
        <v>0.24652777778101154</v>
      </c>
      <c r="Z799" s="29">
        <v>45248.6875</v>
      </c>
      <c r="AA799" s="29">
        <v>45248.708333333336</v>
      </c>
      <c r="AB799" s="30">
        <f t="shared" si="756"/>
        <v>2.0833333335758653E-2</v>
      </c>
    </row>
    <row r="800" spans="1:28" x14ac:dyDescent="0.25">
      <c r="A800" s="12">
        <v>45231</v>
      </c>
      <c r="B800" s="80" t="s">
        <v>1561</v>
      </c>
      <c r="C800" s="20">
        <v>45250</v>
      </c>
      <c r="D800" s="13">
        <v>8169768</v>
      </c>
      <c r="E800" s="80" t="s">
        <v>1410</v>
      </c>
      <c r="F800" s="80" t="s">
        <v>268</v>
      </c>
      <c r="G800" s="80" t="s">
        <v>132</v>
      </c>
      <c r="H800" s="17">
        <v>5230874</v>
      </c>
      <c r="I800" s="17" t="s">
        <v>1316</v>
      </c>
      <c r="J800" s="14" t="s">
        <v>1292</v>
      </c>
      <c r="K800" s="80">
        <v>250</v>
      </c>
      <c r="L800" s="80">
        <v>40</v>
      </c>
      <c r="M800" s="80">
        <f t="shared" si="754"/>
        <v>10000</v>
      </c>
      <c r="N800" s="20">
        <v>45250</v>
      </c>
      <c r="O800" s="80" t="s">
        <v>136</v>
      </c>
      <c r="P800" s="80" t="s">
        <v>134</v>
      </c>
      <c r="Q800" s="80">
        <v>2667</v>
      </c>
      <c r="R800" s="80" t="s">
        <v>1562</v>
      </c>
      <c r="S800" s="81">
        <v>281678229131</v>
      </c>
      <c r="T800" s="20">
        <v>45250</v>
      </c>
      <c r="U800" s="123"/>
      <c r="V800" s="80">
        <v>619</v>
      </c>
      <c r="W800" s="29">
        <v>45250.645833333336</v>
      </c>
      <c r="X800" s="29">
        <v>45250.777777777781</v>
      </c>
      <c r="Y800" s="30">
        <f t="shared" si="755"/>
        <v>0.13194444444525288</v>
      </c>
      <c r="Z800" s="29">
        <v>45250.743055555555</v>
      </c>
      <c r="AA800" s="29">
        <v>45250.777777777781</v>
      </c>
      <c r="AB800" s="30">
        <f t="shared" si="756"/>
        <v>3.4722222226264421E-2</v>
      </c>
    </row>
    <row r="801" spans="1:28" x14ac:dyDescent="0.25">
      <c r="A801" s="12">
        <v>45231</v>
      </c>
      <c r="B801" s="80" t="s">
        <v>1563</v>
      </c>
      <c r="C801" s="20">
        <v>45250</v>
      </c>
      <c r="D801" s="80">
        <v>8588158</v>
      </c>
      <c r="E801" s="80" t="s">
        <v>191</v>
      </c>
      <c r="F801" s="80" t="s">
        <v>135</v>
      </c>
      <c r="G801" s="80" t="s">
        <v>192</v>
      </c>
      <c r="H801" s="85" t="s">
        <v>30</v>
      </c>
      <c r="I801" s="85" t="s">
        <v>1519</v>
      </c>
      <c r="J801" s="123" t="s">
        <v>1516</v>
      </c>
      <c r="K801" s="80">
        <v>25</v>
      </c>
      <c r="L801" s="80">
        <v>120</v>
      </c>
      <c r="M801" s="80">
        <f t="shared" si="754"/>
        <v>3000</v>
      </c>
      <c r="N801" s="20">
        <v>45250</v>
      </c>
      <c r="O801" s="80" t="s">
        <v>399</v>
      </c>
      <c r="P801" s="80" t="s">
        <v>144</v>
      </c>
      <c r="Q801" s="85" t="s">
        <v>30</v>
      </c>
      <c r="R801" s="80" t="s">
        <v>1319</v>
      </c>
      <c r="S801" s="81">
        <v>201678475264</v>
      </c>
      <c r="T801" s="20">
        <v>45250</v>
      </c>
      <c r="U801" s="123"/>
      <c r="V801" s="80">
        <v>620</v>
      </c>
      <c r="W801" s="29">
        <v>45250.534722222219</v>
      </c>
      <c r="X801" s="29">
        <v>45250.9375</v>
      </c>
      <c r="Y801" s="30">
        <f t="shared" si="755"/>
        <v>0.40277777778101154</v>
      </c>
      <c r="Z801" s="29">
        <v>45250.84375</v>
      </c>
      <c r="AA801" s="29">
        <v>45250.9375</v>
      </c>
      <c r="AB801" s="30">
        <f t="shared" si="756"/>
        <v>9.375E-2</v>
      </c>
    </row>
    <row r="802" spans="1:28" x14ac:dyDescent="0.25">
      <c r="A802" s="12">
        <v>45231</v>
      </c>
      <c r="B802" s="80" t="s">
        <v>1563</v>
      </c>
      <c r="C802" s="20">
        <v>45250</v>
      </c>
      <c r="D802" s="80">
        <v>8367062</v>
      </c>
      <c r="E802" s="80" t="s">
        <v>191</v>
      </c>
      <c r="F802" s="80" t="s">
        <v>135</v>
      </c>
      <c r="G802" s="80" t="s">
        <v>192</v>
      </c>
      <c r="H802" s="17">
        <v>5212252</v>
      </c>
      <c r="I802" s="17" t="s">
        <v>23</v>
      </c>
      <c r="J802" s="80" t="s">
        <v>1490</v>
      </c>
      <c r="K802" s="80">
        <v>25</v>
      </c>
      <c r="L802" s="80">
        <v>860</v>
      </c>
      <c r="M802" s="80">
        <f t="shared" ref="M802:M809" si="757">K802*L802</f>
        <v>21500</v>
      </c>
      <c r="N802" s="20">
        <v>45250</v>
      </c>
      <c r="O802" s="80" t="s">
        <v>399</v>
      </c>
      <c r="P802" s="80" t="s">
        <v>144</v>
      </c>
      <c r="Q802" s="85" t="s">
        <v>30</v>
      </c>
      <c r="R802" s="80" t="s">
        <v>1319</v>
      </c>
      <c r="S802" s="81">
        <v>201678475264</v>
      </c>
      <c r="T802" s="20">
        <v>45250</v>
      </c>
      <c r="U802" s="123"/>
      <c r="V802" s="80">
        <v>620</v>
      </c>
      <c r="W802" s="29">
        <v>45250.534722222219</v>
      </c>
      <c r="X802" s="29">
        <v>45250.9375</v>
      </c>
      <c r="Y802" s="30">
        <f t="shared" ref="Y802:Y809" si="758">+X802-W802</f>
        <v>0.40277777778101154</v>
      </c>
      <c r="Z802" s="29">
        <v>45250.84375</v>
      </c>
      <c r="AA802" s="29">
        <v>45250.9375</v>
      </c>
      <c r="AB802" s="30">
        <f t="shared" ref="AB802:AB809" si="759">+AA802-Z802</f>
        <v>9.375E-2</v>
      </c>
    </row>
    <row r="803" spans="1:28" x14ac:dyDescent="0.25">
      <c r="A803" s="12">
        <v>45231</v>
      </c>
      <c r="B803" s="80" t="s">
        <v>1563</v>
      </c>
      <c r="C803" s="20">
        <v>45250</v>
      </c>
      <c r="D803" s="13">
        <v>7933011</v>
      </c>
      <c r="E803" s="80" t="s">
        <v>191</v>
      </c>
      <c r="F803" s="80" t="s">
        <v>135</v>
      </c>
      <c r="G803" s="80" t="s">
        <v>192</v>
      </c>
      <c r="H803" s="17">
        <v>5211013</v>
      </c>
      <c r="I803" s="17" t="s">
        <v>27</v>
      </c>
      <c r="J803" s="13" t="s">
        <v>1149</v>
      </c>
      <c r="K803" s="80">
        <v>25</v>
      </c>
      <c r="L803" s="80">
        <v>200</v>
      </c>
      <c r="M803" s="80">
        <f t="shared" si="757"/>
        <v>5000</v>
      </c>
      <c r="N803" s="20">
        <v>45250</v>
      </c>
      <c r="O803" s="80" t="s">
        <v>399</v>
      </c>
      <c r="P803" s="80" t="s">
        <v>144</v>
      </c>
      <c r="Q803" s="85" t="s">
        <v>30</v>
      </c>
      <c r="R803" s="80" t="s">
        <v>1319</v>
      </c>
      <c r="S803" s="81">
        <v>201678475264</v>
      </c>
      <c r="T803" s="20">
        <v>45250</v>
      </c>
      <c r="U803" s="123"/>
      <c r="V803" s="80">
        <v>620</v>
      </c>
      <c r="W803" s="29">
        <v>45250.534722222219</v>
      </c>
      <c r="X803" s="29">
        <v>45250.9375</v>
      </c>
      <c r="Y803" s="30">
        <f t="shared" si="758"/>
        <v>0.40277777778101154</v>
      </c>
      <c r="Z803" s="29">
        <v>45250.84375</v>
      </c>
      <c r="AA803" s="29">
        <v>45250.9375</v>
      </c>
      <c r="AB803" s="30">
        <f t="shared" si="759"/>
        <v>9.375E-2</v>
      </c>
    </row>
    <row r="804" spans="1:28" x14ac:dyDescent="0.25">
      <c r="A804" s="12">
        <v>45231</v>
      </c>
      <c r="B804" s="80" t="s">
        <v>1563</v>
      </c>
      <c r="C804" s="20">
        <v>45250</v>
      </c>
      <c r="D804" s="123">
        <v>8404720</v>
      </c>
      <c r="E804" s="80" t="s">
        <v>191</v>
      </c>
      <c r="F804" s="80" t="s">
        <v>135</v>
      </c>
      <c r="G804" s="80" t="s">
        <v>192</v>
      </c>
      <c r="H804" s="17" t="s">
        <v>30</v>
      </c>
      <c r="I804" s="17" t="s">
        <v>1390</v>
      </c>
      <c r="J804" s="123" t="s">
        <v>1393</v>
      </c>
      <c r="K804" s="80">
        <v>25</v>
      </c>
      <c r="L804" s="80">
        <v>20</v>
      </c>
      <c r="M804" s="80">
        <f t="shared" si="757"/>
        <v>500</v>
      </c>
      <c r="N804" s="20">
        <v>45250</v>
      </c>
      <c r="O804" s="80" t="s">
        <v>399</v>
      </c>
      <c r="P804" s="80" t="s">
        <v>144</v>
      </c>
      <c r="Q804" s="85" t="s">
        <v>30</v>
      </c>
      <c r="R804" s="80" t="s">
        <v>1319</v>
      </c>
      <c r="S804" s="81">
        <v>201678475264</v>
      </c>
      <c r="T804" s="20">
        <v>45250</v>
      </c>
      <c r="U804" s="123"/>
      <c r="V804" s="80">
        <v>620</v>
      </c>
      <c r="W804" s="29">
        <v>45250.534722222219</v>
      </c>
      <c r="X804" s="29">
        <v>45250.9375</v>
      </c>
      <c r="Y804" s="30">
        <f t="shared" si="758"/>
        <v>0.40277777778101154</v>
      </c>
      <c r="Z804" s="29">
        <v>45250.84375</v>
      </c>
      <c r="AA804" s="29">
        <v>45250.9375</v>
      </c>
      <c r="AB804" s="30">
        <f t="shared" si="759"/>
        <v>9.375E-2</v>
      </c>
    </row>
    <row r="805" spans="1:28" x14ac:dyDescent="0.25">
      <c r="A805" s="12">
        <v>45231</v>
      </c>
      <c r="B805" s="80" t="s">
        <v>1564</v>
      </c>
      <c r="C805" s="20">
        <v>45250</v>
      </c>
      <c r="D805" s="80">
        <v>8367062</v>
      </c>
      <c r="E805" s="80" t="s">
        <v>191</v>
      </c>
      <c r="F805" s="80" t="s">
        <v>135</v>
      </c>
      <c r="G805" s="80" t="s">
        <v>192</v>
      </c>
      <c r="H805" s="17">
        <v>5212252</v>
      </c>
      <c r="I805" s="17" t="s">
        <v>23</v>
      </c>
      <c r="J805" s="80" t="s">
        <v>1490</v>
      </c>
      <c r="K805" s="80">
        <v>25</v>
      </c>
      <c r="L805" s="80">
        <v>400</v>
      </c>
      <c r="M805" s="80">
        <f t="shared" si="757"/>
        <v>10000</v>
      </c>
      <c r="N805" s="20">
        <v>45250</v>
      </c>
      <c r="O805" s="80" t="s">
        <v>136</v>
      </c>
      <c r="P805" s="80" t="s">
        <v>144</v>
      </c>
      <c r="Q805" s="85" t="s">
        <v>30</v>
      </c>
      <c r="R805" s="80" t="s">
        <v>1565</v>
      </c>
      <c r="S805" s="81">
        <v>201678475686</v>
      </c>
      <c r="T805" s="20">
        <v>45250</v>
      </c>
      <c r="U805" s="123"/>
      <c r="V805" s="80">
        <v>621</v>
      </c>
      <c r="W805" s="29">
        <v>45250.541666666664</v>
      </c>
      <c r="X805" s="29">
        <v>45250.645833333336</v>
      </c>
      <c r="Y805" s="30">
        <f t="shared" si="758"/>
        <v>0.10416666667151731</v>
      </c>
      <c r="Z805" s="29">
        <v>45250.604166666664</v>
      </c>
      <c r="AA805" s="29">
        <v>45250.645833333336</v>
      </c>
      <c r="AB805" s="30">
        <f t="shared" si="759"/>
        <v>4.1666666671517305E-2</v>
      </c>
    </row>
    <row r="806" spans="1:28" x14ac:dyDescent="0.25">
      <c r="A806" s="12">
        <v>45231</v>
      </c>
      <c r="B806" s="80" t="s">
        <v>1566</v>
      </c>
      <c r="C806" s="20">
        <v>45250</v>
      </c>
      <c r="D806" s="13">
        <v>8261236</v>
      </c>
      <c r="E806" s="80" t="s">
        <v>1131</v>
      </c>
      <c r="F806" s="80" t="s">
        <v>215</v>
      </c>
      <c r="G806" s="80" t="s">
        <v>132</v>
      </c>
      <c r="H806" s="17">
        <v>5230831</v>
      </c>
      <c r="I806" s="17" t="s">
        <v>35</v>
      </c>
      <c r="J806" s="49" t="s">
        <v>1368</v>
      </c>
      <c r="K806" s="80">
        <v>240</v>
      </c>
      <c r="L806" s="80">
        <v>40</v>
      </c>
      <c r="M806" s="80">
        <f t="shared" si="757"/>
        <v>9600</v>
      </c>
      <c r="N806" s="20">
        <v>45250</v>
      </c>
      <c r="O806" s="80" t="s">
        <v>136</v>
      </c>
      <c r="P806" s="80" t="s">
        <v>144</v>
      </c>
      <c r="Q806" s="85" t="s">
        <v>30</v>
      </c>
      <c r="R806" s="80" t="s">
        <v>1567</v>
      </c>
      <c r="S806" s="81">
        <v>221678256029</v>
      </c>
      <c r="T806" s="20">
        <v>45250</v>
      </c>
      <c r="U806" s="123"/>
      <c r="V806" s="80">
        <v>622</v>
      </c>
      <c r="W806" s="29">
        <v>45250.458333333336</v>
      </c>
      <c r="X806" s="29">
        <v>45250.541666666664</v>
      </c>
      <c r="Y806" s="30">
        <f t="shared" si="758"/>
        <v>8.3333333328482695E-2</v>
      </c>
      <c r="Z806" s="29">
        <v>45250.5</v>
      </c>
      <c r="AA806" s="29">
        <v>45250.541666666664</v>
      </c>
      <c r="AB806" s="30">
        <f t="shared" si="759"/>
        <v>4.1666666664241347E-2</v>
      </c>
    </row>
    <row r="807" spans="1:28" x14ac:dyDescent="0.25">
      <c r="A807" s="12">
        <v>45231</v>
      </c>
      <c r="B807" s="80" t="s">
        <v>1568</v>
      </c>
      <c r="C807" s="20">
        <v>45250</v>
      </c>
      <c r="D807" s="13">
        <v>8261236</v>
      </c>
      <c r="E807" s="80" t="s">
        <v>1089</v>
      </c>
      <c r="F807" s="80" t="s">
        <v>215</v>
      </c>
      <c r="G807" s="80" t="s">
        <v>132</v>
      </c>
      <c r="H807" s="17">
        <v>5230831</v>
      </c>
      <c r="I807" s="17" t="s">
        <v>35</v>
      </c>
      <c r="J807" s="49" t="s">
        <v>1368</v>
      </c>
      <c r="K807" s="80">
        <v>240</v>
      </c>
      <c r="L807" s="80">
        <v>20</v>
      </c>
      <c r="M807" s="80">
        <f t="shared" si="757"/>
        <v>4800</v>
      </c>
      <c r="N807" s="20">
        <v>45250</v>
      </c>
      <c r="O807" s="80" t="s">
        <v>136</v>
      </c>
      <c r="P807" s="80" t="s">
        <v>134</v>
      </c>
      <c r="Q807" s="123">
        <v>2669</v>
      </c>
      <c r="R807" s="80" t="s">
        <v>1569</v>
      </c>
      <c r="S807" s="81">
        <v>251678355172</v>
      </c>
      <c r="T807" s="20">
        <v>45250</v>
      </c>
      <c r="U807" s="123"/>
      <c r="V807" s="80">
        <v>623</v>
      </c>
      <c r="W807" s="29">
        <v>45250.625</v>
      </c>
      <c r="X807" s="29">
        <v>45250.75</v>
      </c>
      <c r="Y807" s="30">
        <f t="shared" si="758"/>
        <v>0.125</v>
      </c>
      <c r="Z807" s="29">
        <v>45250.708333333336</v>
      </c>
      <c r="AA807" s="29">
        <v>45250.75</v>
      </c>
      <c r="AB807" s="30">
        <f t="shared" si="759"/>
        <v>4.1666666664241347E-2</v>
      </c>
    </row>
    <row r="808" spans="1:28" x14ac:dyDescent="0.25">
      <c r="A808" s="12">
        <v>45231</v>
      </c>
      <c r="B808" s="80" t="s">
        <v>1570</v>
      </c>
      <c r="C808" s="20">
        <v>45250</v>
      </c>
      <c r="D808" s="13">
        <v>8169767</v>
      </c>
      <c r="E808" s="80" t="s">
        <v>214</v>
      </c>
      <c r="F808" s="80" t="s">
        <v>215</v>
      </c>
      <c r="G808" s="80" t="s">
        <v>132</v>
      </c>
      <c r="H808" s="17">
        <v>5230874</v>
      </c>
      <c r="I808" s="17" t="s">
        <v>1316</v>
      </c>
      <c r="J808" s="14" t="s">
        <v>1296</v>
      </c>
      <c r="K808" s="80">
        <v>250</v>
      </c>
      <c r="L808" s="80">
        <v>32</v>
      </c>
      <c r="M808" s="80">
        <f t="shared" si="757"/>
        <v>8000</v>
      </c>
      <c r="N808" s="20">
        <v>45250</v>
      </c>
      <c r="O808" s="80" t="s">
        <v>136</v>
      </c>
      <c r="P808" s="80" t="s">
        <v>134</v>
      </c>
      <c r="Q808" s="123">
        <v>2668</v>
      </c>
      <c r="R808" s="80" t="s">
        <v>1571</v>
      </c>
      <c r="S808" s="81">
        <v>241678244468</v>
      </c>
      <c r="T808" s="20">
        <v>45250</v>
      </c>
      <c r="U808" s="123"/>
      <c r="V808" s="80">
        <v>624</v>
      </c>
      <c r="W808" s="29">
        <v>45250.606944444444</v>
      </c>
      <c r="X808" s="29">
        <v>45250.777777777781</v>
      </c>
      <c r="Y808" s="30">
        <f t="shared" si="758"/>
        <v>0.17083333333721384</v>
      </c>
      <c r="Z808" s="29">
        <v>45250.756944444445</v>
      </c>
      <c r="AA808" s="29">
        <v>45250.774305555555</v>
      </c>
      <c r="AB808" s="30">
        <f t="shared" si="759"/>
        <v>1.7361111109494232E-2</v>
      </c>
    </row>
    <row r="809" spans="1:28" x14ac:dyDescent="0.25">
      <c r="A809" s="12">
        <v>45231</v>
      </c>
      <c r="B809" s="80" t="s">
        <v>1572</v>
      </c>
      <c r="C809" s="20">
        <v>45250</v>
      </c>
      <c r="D809" s="80">
        <v>8367062</v>
      </c>
      <c r="E809" s="80" t="s">
        <v>191</v>
      </c>
      <c r="F809" s="80" t="s">
        <v>135</v>
      </c>
      <c r="G809" s="80" t="s">
        <v>192</v>
      </c>
      <c r="H809" s="17">
        <v>5212252</v>
      </c>
      <c r="I809" s="17" t="s">
        <v>23</v>
      </c>
      <c r="J809" s="80" t="s">
        <v>1443</v>
      </c>
      <c r="K809" s="80">
        <v>25</v>
      </c>
      <c r="L809" s="80">
        <v>151</v>
      </c>
      <c r="M809" s="80">
        <f t="shared" si="757"/>
        <v>3775</v>
      </c>
      <c r="N809" s="20">
        <v>45250</v>
      </c>
      <c r="O809" s="80" t="s">
        <v>136</v>
      </c>
      <c r="P809" s="80" t="s">
        <v>144</v>
      </c>
      <c r="Q809" s="85" t="s">
        <v>30</v>
      </c>
      <c r="R809" s="80" t="s">
        <v>784</v>
      </c>
      <c r="S809" s="81">
        <v>261678241225</v>
      </c>
      <c r="T809" s="20">
        <v>45250</v>
      </c>
      <c r="U809" s="123"/>
      <c r="V809" s="80">
        <v>625</v>
      </c>
      <c r="W809" s="29">
        <v>45250.645833333336</v>
      </c>
      <c r="X809" s="29">
        <v>45250.767361111109</v>
      </c>
      <c r="Y809" s="30">
        <f t="shared" si="758"/>
        <v>0.12152777777373558</v>
      </c>
      <c r="Z809" s="29">
        <v>45250.71875</v>
      </c>
      <c r="AA809" s="29">
        <v>45250.763888888891</v>
      </c>
      <c r="AB809" s="30">
        <f t="shared" si="759"/>
        <v>4.5138888890505768E-2</v>
      </c>
    </row>
    <row r="810" spans="1:28" x14ac:dyDescent="0.25">
      <c r="A810" s="12">
        <v>45231</v>
      </c>
      <c r="B810" s="80" t="s">
        <v>1572</v>
      </c>
      <c r="C810" s="20">
        <v>45250</v>
      </c>
      <c r="D810" s="80">
        <v>8367062</v>
      </c>
      <c r="E810" s="80" t="s">
        <v>191</v>
      </c>
      <c r="F810" s="80" t="s">
        <v>135</v>
      </c>
      <c r="G810" s="80" t="s">
        <v>192</v>
      </c>
      <c r="H810" s="17">
        <v>5212252</v>
      </c>
      <c r="I810" s="17" t="s">
        <v>23</v>
      </c>
      <c r="J810" s="80" t="s">
        <v>1490</v>
      </c>
      <c r="K810" s="80">
        <v>25</v>
      </c>
      <c r="L810" s="80">
        <v>49</v>
      </c>
      <c r="M810" s="80">
        <f t="shared" ref="M810" si="760">K810*L810</f>
        <v>1225</v>
      </c>
      <c r="N810" s="20">
        <v>45250</v>
      </c>
      <c r="O810" s="80" t="s">
        <v>136</v>
      </c>
      <c r="P810" s="80" t="s">
        <v>144</v>
      </c>
      <c r="Q810" s="85" t="s">
        <v>30</v>
      </c>
      <c r="R810" s="80" t="s">
        <v>784</v>
      </c>
      <c r="S810" s="81">
        <v>261678241225</v>
      </c>
      <c r="T810" s="20">
        <v>45250</v>
      </c>
      <c r="U810" s="123"/>
      <c r="V810" s="80">
        <v>625</v>
      </c>
      <c r="W810" s="29">
        <v>45250.645833333336</v>
      </c>
      <c r="X810" s="29">
        <v>45250.767361111109</v>
      </c>
      <c r="Y810" s="30">
        <f t="shared" ref="Y810" si="761">+X810-W810</f>
        <v>0.12152777777373558</v>
      </c>
      <c r="Z810" s="29">
        <v>45250.71875</v>
      </c>
      <c r="AA810" s="29">
        <v>45250.763888888891</v>
      </c>
      <c r="AB810" s="30">
        <f t="shared" ref="AB810" si="762">+AA810-Z810</f>
        <v>4.5138888890505768E-2</v>
      </c>
    </row>
    <row r="811" spans="1:28" x14ac:dyDescent="0.25">
      <c r="A811" s="12">
        <v>45231</v>
      </c>
      <c r="B811" s="80" t="s">
        <v>1572</v>
      </c>
      <c r="C811" s="20">
        <v>45250</v>
      </c>
      <c r="D811" s="13">
        <v>7933011</v>
      </c>
      <c r="E811" s="80" t="s">
        <v>191</v>
      </c>
      <c r="F811" s="80" t="s">
        <v>135</v>
      </c>
      <c r="G811" s="80" t="s">
        <v>192</v>
      </c>
      <c r="H811" s="17">
        <v>5211013</v>
      </c>
      <c r="I811" s="17" t="s">
        <v>27</v>
      </c>
      <c r="J811" s="13" t="s">
        <v>1149</v>
      </c>
      <c r="K811" s="80">
        <v>25</v>
      </c>
      <c r="L811" s="80">
        <v>80</v>
      </c>
      <c r="M811" s="80">
        <f t="shared" ref="M811:M841" si="763">K811*L811</f>
        <v>2000</v>
      </c>
      <c r="N811" s="20">
        <v>45250</v>
      </c>
      <c r="O811" s="80" t="s">
        <v>136</v>
      </c>
      <c r="P811" s="80" t="s">
        <v>144</v>
      </c>
      <c r="Q811" s="85" t="s">
        <v>30</v>
      </c>
      <c r="R811" s="80" t="s">
        <v>784</v>
      </c>
      <c r="S811" s="81">
        <v>261678241225</v>
      </c>
      <c r="T811" s="20">
        <v>45250</v>
      </c>
      <c r="U811" s="123"/>
      <c r="V811" s="80">
        <v>625</v>
      </c>
      <c r="W811" s="29">
        <v>45250.645833333336</v>
      </c>
      <c r="X811" s="29">
        <v>45250.767361111109</v>
      </c>
      <c r="Y811" s="30">
        <f t="shared" ref="Y811:Y812" si="764">+X811-W811</f>
        <v>0.12152777777373558</v>
      </c>
      <c r="Z811" s="29">
        <v>45250.71875</v>
      </c>
      <c r="AA811" s="29">
        <v>45250.763888888891</v>
      </c>
      <c r="AB811" s="30">
        <f t="shared" ref="AB811:AB812" si="765">+AA811-Z811</f>
        <v>4.5138888890505768E-2</v>
      </c>
    </row>
    <row r="812" spans="1:28" x14ac:dyDescent="0.25">
      <c r="A812" s="12">
        <v>45251</v>
      </c>
      <c r="B812" s="80" t="s">
        <v>1576</v>
      </c>
      <c r="C812" s="20">
        <v>45250</v>
      </c>
      <c r="D812" s="123">
        <v>8404720</v>
      </c>
      <c r="E812" s="80" t="s">
        <v>859</v>
      </c>
      <c r="F812" s="80" t="s">
        <v>289</v>
      </c>
      <c r="G812" s="80" t="s">
        <v>1418</v>
      </c>
      <c r="H812" s="17">
        <v>5212252</v>
      </c>
      <c r="I812" s="17" t="s">
        <v>23</v>
      </c>
      <c r="J812" s="13" t="s">
        <v>1377</v>
      </c>
      <c r="K812" s="80">
        <v>25</v>
      </c>
      <c r="L812" s="123">
        <v>63</v>
      </c>
      <c r="M812" s="80">
        <f t="shared" si="763"/>
        <v>1575</v>
      </c>
      <c r="N812" s="20">
        <v>45251</v>
      </c>
      <c r="O812" s="80" t="s">
        <v>1577</v>
      </c>
      <c r="P812" s="80" t="s">
        <v>144</v>
      </c>
      <c r="Q812" s="85" t="s">
        <v>30</v>
      </c>
      <c r="R812" s="80" t="s">
        <v>1224</v>
      </c>
      <c r="S812" s="81">
        <v>271678670112</v>
      </c>
      <c r="T812" s="20">
        <v>45251</v>
      </c>
      <c r="U812" s="123"/>
      <c r="V812" s="80">
        <v>626</v>
      </c>
      <c r="W812" s="29">
        <v>45251.427083333336</v>
      </c>
      <c r="X812" s="29">
        <v>45251.559027777781</v>
      </c>
      <c r="Y812" s="30">
        <f t="shared" si="764"/>
        <v>0.13194444444525288</v>
      </c>
      <c r="Z812" s="29">
        <v>45251.510416666664</v>
      </c>
      <c r="AA812" s="29">
        <v>45251.559027777781</v>
      </c>
      <c r="AB812" s="30">
        <f t="shared" si="765"/>
        <v>4.8611111116770189E-2</v>
      </c>
    </row>
    <row r="813" spans="1:28" x14ac:dyDescent="0.25">
      <c r="A813" s="12">
        <v>45251</v>
      </c>
      <c r="B813" s="80" t="s">
        <v>1576</v>
      </c>
      <c r="C813" s="20">
        <v>45250</v>
      </c>
      <c r="D813" s="80">
        <v>8367062</v>
      </c>
      <c r="E813" s="80" t="s">
        <v>859</v>
      </c>
      <c r="F813" s="80" t="s">
        <v>289</v>
      </c>
      <c r="G813" s="80" t="s">
        <v>1418</v>
      </c>
      <c r="H813" s="17">
        <v>5212252</v>
      </c>
      <c r="I813" s="17" t="s">
        <v>23</v>
      </c>
      <c r="J813" s="80" t="s">
        <v>1443</v>
      </c>
      <c r="K813" s="80">
        <v>25</v>
      </c>
      <c r="L813" s="123">
        <v>337</v>
      </c>
      <c r="M813" s="80">
        <f t="shared" ref="M813" si="766">K813*L813</f>
        <v>8425</v>
      </c>
      <c r="N813" s="20">
        <v>45251</v>
      </c>
      <c r="O813" s="80" t="s">
        <v>1577</v>
      </c>
      <c r="P813" s="80" t="s">
        <v>144</v>
      </c>
      <c r="Q813" s="85" t="s">
        <v>30</v>
      </c>
      <c r="R813" s="80" t="s">
        <v>1224</v>
      </c>
      <c r="S813" s="81">
        <v>271678670112</v>
      </c>
      <c r="T813" s="20">
        <v>45251</v>
      </c>
      <c r="U813" s="123"/>
      <c r="V813" s="80">
        <v>626</v>
      </c>
      <c r="W813" s="29">
        <v>45251.427083333336</v>
      </c>
      <c r="X813" s="29">
        <v>45251.559027777781</v>
      </c>
      <c r="Y813" s="30">
        <f t="shared" ref="Y813" si="767">+X813-W813</f>
        <v>0.13194444444525288</v>
      </c>
      <c r="Z813" s="29">
        <v>45251.510416666664</v>
      </c>
      <c r="AA813" s="29">
        <v>45251.559027777781</v>
      </c>
      <c r="AB813" s="30">
        <f t="shared" ref="AB813" si="768">+AA813-Z813</f>
        <v>4.8611111116770189E-2</v>
      </c>
    </row>
    <row r="814" spans="1:28" x14ac:dyDescent="0.25">
      <c r="A814" s="12">
        <v>45251</v>
      </c>
      <c r="B814" s="80" t="s">
        <v>1576</v>
      </c>
      <c r="C814" s="20">
        <v>45250</v>
      </c>
      <c r="D814" s="80">
        <v>8588158</v>
      </c>
      <c r="E814" s="80" t="s">
        <v>859</v>
      </c>
      <c r="F814" s="80" t="s">
        <v>289</v>
      </c>
      <c r="G814" s="80" t="s">
        <v>1418</v>
      </c>
      <c r="H814" s="85" t="s">
        <v>30</v>
      </c>
      <c r="I814" s="85" t="s">
        <v>1519</v>
      </c>
      <c r="J814" s="123" t="s">
        <v>1516</v>
      </c>
      <c r="K814" s="80">
        <v>25</v>
      </c>
      <c r="L814" s="80">
        <f>3000/25</f>
        <v>120</v>
      </c>
      <c r="M814" s="80">
        <f t="shared" si="763"/>
        <v>3000</v>
      </c>
      <c r="N814" s="20">
        <v>45251</v>
      </c>
      <c r="O814" s="80" t="s">
        <v>1577</v>
      </c>
      <c r="P814" s="80" t="s">
        <v>144</v>
      </c>
      <c r="Q814" s="85" t="s">
        <v>30</v>
      </c>
      <c r="R814" s="80" t="s">
        <v>1224</v>
      </c>
      <c r="S814" s="81">
        <v>271678670112</v>
      </c>
      <c r="T814" s="20">
        <v>45251</v>
      </c>
      <c r="U814" s="123"/>
      <c r="V814" s="80">
        <v>626</v>
      </c>
      <c r="W814" s="29">
        <v>45251.427083333336</v>
      </c>
      <c r="X814" s="29">
        <v>45251.559027777781</v>
      </c>
      <c r="Y814" s="30">
        <f t="shared" ref="Y814:Y823" si="769">+X814-W814</f>
        <v>0.13194444444525288</v>
      </c>
      <c r="Z814" s="29">
        <v>45251.510416666664</v>
      </c>
      <c r="AA814" s="29">
        <v>45251.559027777781</v>
      </c>
      <c r="AB814" s="30">
        <f t="shared" ref="AB814:AB823" si="770">+AA814-Z814</f>
        <v>4.8611111116770189E-2</v>
      </c>
    </row>
    <row r="815" spans="1:28" x14ac:dyDescent="0.25">
      <c r="A815" s="12">
        <v>45251</v>
      </c>
      <c r="B815" s="80" t="s">
        <v>1576</v>
      </c>
      <c r="C815" s="20">
        <v>45250</v>
      </c>
      <c r="D815" s="13">
        <v>7933011</v>
      </c>
      <c r="E815" s="80" t="s">
        <v>859</v>
      </c>
      <c r="F815" s="80" t="s">
        <v>289</v>
      </c>
      <c r="G815" s="80" t="s">
        <v>1418</v>
      </c>
      <c r="H815" s="17">
        <v>5211013</v>
      </c>
      <c r="I815" s="17" t="s">
        <v>27</v>
      </c>
      <c r="J815" s="13" t="s">
        <v>1149</v>
      </c>
      <c r="K815" s="80">
        <v>25</v>
      </c>
      <c r="L815" s="80">
        <v>28</v>
      </c>
      <c r="M815" s="80">
        <f t="shared" si="763"/>
        <v>700</v>
      </c>
      <c r="N815" s="20">
        <v>45251</v>
      </c>
      <c r="O815" s="80" t="s">
        <v>1577</v>
      </c>
      <c r="P815" s="80" t="s">
        <v>144</v>
      </c>
      <c r="Q815" s="85" t="s">
        <v>30</v>
      </c>
      <c r="R815" s="80" t="s">
        <v>1224</v>
      </c>
      <c r="S815" s="81">
        <v>271678670112</v>
      </c>
      <c r="T815" s="20">
        <v>45251</v>
      </c>
      <c r="U815" s="123"/>
      <c r="V815" s="80">
        <v>626</v>
      </c>
      <c r="W815" s="29">
        <v>45251.427083333336</v>
      </c>
      <c r="X815" s="29">
        <v>45251.559027777781</v>
      </c>
      <c r="Y815" s="30">
        <f t="shared" si="769"/>
        <v>0.13194444444525288</v>
      </c>
      <c r="Z815" s="29">
        <v>45251.510416666664</v>
      </c>
      <c r="AA815" s="29">
        <v>45251.559027777781</v>
      </c>
      <c r="AB815" s="30">
        <f t="shared" si="770"/>
        <v>4.8611111116770189E-2</v>
      </c>
    </row>
    <row r="816" spans="1:28" x14ac:dyDescent="0.25">
      <c r="A816" s="12">
        <v>45251</v>
      </c>
      <c r="B816" s="80" t="s">
        <v>1576</v>
      </c>
      <c r="C816" s="20">
        <v>45250</v>
      </c>
      <c r="D816" s="13">
        <v>7933011</v>
      </c>
      <c r="E816" s="80" t="s">
        <v>859</v>
      </c>
      <c r="F816" s="80" t="s">
        <v>289</v>
      </c>
      <c r="G816" s="80" t="s">
        <v>1418</v>
      </c>
      <c r="H816" s="17">
        <v>5211013</v>
      </c>
      <c r="I816" s="17" t="s">
        <v>27</v>
      </c>
      <c r="J816" s="13" t="s">
        <v>1152</v>
      </c>
      <c r="K816" s="80">
        <v>25</v>
      </c>
      <c r="L816" s="80">
        <v>55</v>
      </c>
      <c r="M816" s="80">
        <f t="shared" ref="M816:M817" si="771">K816*L816</f>
        <v>1375</v>
      </c>
      <c r="N816" s="20">
        <v>45251</v>
      </c>
      <c r="O816" s="80" t="s">
        <v>1577</v>
      </c>
      <c r="P816" s="80" t="s">
        <v>144</v>
      </c>
      <c r="Q816" s="85" t="s">
        <v>30</v>
      </c>
      <c r="R816" s="80" t="s">
        <v>1224</v>
      </c>
      <c r="S816" s="81">
        <v>271678670112</v>
      </c>
      <c r="T816" s="20">
        <v>45251</v>
      </c>
      <c r="U816" s="123"/>
      <c r="V816" s="80">
        <v>626</v>
      </c>
      <c r="W816" s="29">
        <v>45251.427083333336</v>
      </c>
      <c r="X816" s="29">
        <v>45251.559027777781</v>
      </c>
      <c r="Y816" s="30">
        <f t="shared" ref="Y816:Y817" si="772">+X816-W816</f>
        <v>0.13194444444525288</v>
      </c>
      <c r="Z816" s="29">
        <v>45251.510416666664</v>
      </c>
      <c r="AA816" s="29">
        <v>45251.559027777781</v>
      </c>
      <c r="AB816" s="30">
        <f t="shared" ref="AB816:AB817" si="773">+AA816-Z816</f>
        <v>4.8611111116770189E-2</v>
      </c>
    </row>
    <row r="817" spans="1:28" x14ac:dyDescent="0.25">
      <c r="A817" s="12">
        <v>45251</v>
      </c>
      <c r="B817" s="80" t="s">
        <v>1576</v>
      </c>
      <c r="C817" s="20">
        <v>45250</v>
      </c>
      <c r="D817" s="13">
        <v>7833009</v>
      </c>
      <c r="E817" s="80" t="s">
        <v>859</v>
      </c>
      <c r="F817" s="80" t="s">
        <v>289</v>
      </c>
      <c r="G817" s="80" t="s">
        <v>1418</v>
      </c>
      <c r="H817" s="17">
        <v>5211013</v>
      </c>
      <c r="I817" s="17" t="s">
        <v>27</v>
      </c>
      <c r="J817" s="13" t="s">
        <v>1152</v>
      </c>
      <c r="K817" s="80">
        <v>25</v>
      </c>
      <c r="L817" s="80">
        <v>157</v>
      </c>
      <c r="M817" s="80">
        <f t="shared" si="771"/>
        <v>3925</v>
      </c>
      <c r="N817" s="20">
        <v>45251</v>
      </c>
      <c r="O817" s="80" t="s">
        <v>1577</v>
      </c>
      <c r="P817" s="80" t="s">
        <v>144</v>
      </c>
      <c r="Q817" s="85" t="s">
        <v>30</v>
      </c>
      <c r="R817" s="80" t="s">
        <v>1224</v>
      </c>
      <c r="S817" s="81">
        <v>271678670112</v>
      </c>
      <c r="T817" s="20">
        <v>45251</v>
      </c>
      <c r="U817" s="123"/>
      <c r="V817" s="80">
        <v>626</v>
      </c>
      <c r="W817" s="29">
        <v>45251.427083333336</v>
      </c>
      <c r="X817" s="29">
        <v>45251.559027777781</v>
      </c>
      <c r="Y817" s="30">
        <f t="shared" si="772"/>
        <v>0.13194444444525288</v>
      </c>
      <c r="Z817" s="29">
        <v>45251.510416666664</v>
      </c>
      <c r="AA817" s="29">
        <v>45251.559027777781</v>
      </c>
      <c r="AB817" s="30">
        <f t="shared" si="773"/>
        <v>4.8611111116770189E-2</v>
      </c>
    </row>
    <row r="818" spans="1:28" x14ac:dyDescent="0.25">
      <c r="A818" s="12">
        <v>45251</v>
      </c>
      <c r="B818" s="80" t="s">
        <v>1576</v>
      </c>
      <c r="C818" s="20">
        <v>45250</v>
      </c>
      <c r="D818" s="13">
        <v>5851097</v>
      </c>
      <c r="E818" s="80" t="s">
        <v>859</v>
      </c>
      <c r="F818" s="80" t="s">
        <v>289</v>
      </c>
      <c r="G818" s="80" t="s">
        <v>1418</v>
      </c>
      <c r="H818" s="17">
        <v>5211003</v>
      </c>
      <c r="I818" s="17" t="s">
        <v>31</v>
      </c>
      <c r="J818" s="13" t="s">
        <v>97</v>
      </c>
      <c r="K818" s="80">
        <v>25</v>
      </c>
      <c r="L818" s="80">
        <f>11000/25</f>
        <v>440</v>
      </c>
      <c r="M818" s="80">
        <f t="shared" si="763"/>
        <v>11000</v>
      </c>
      <c r="N818" s="20">
        <v>45251</v>
      </c>
      <c r="O818" s="80" t="s">
        <v>1577</v>
      </c>
      <c r="P818" s="80" t="s">
        <v>144</v>
      </c>
      <c r="Q818" s="85" t="s">
        <v>30</v>
      </c>
      <c r="R818" s="80" t="s">
        <v>1224</v>
      </c>
      <c r="S818" s="81">
        <v>271678670112</v>
      </c>
      <c r="T818" s="20">
        <v>45251</v>
      </c>
      <c r="U818" s="123"/>
      <c r="V818" s="80">
        <v>626</v>
      </c>
      <c r="W818" s="29">
        <v>45251.427083333336</v>
      </c>
      <c r="X818" s="29">
        <v>45251.559027777781</v>
      </c>
      <c r="Y818" s="30">
        <f t="shared" si="769"/>
        <v>0.13194444444525288</v>
      </c>
      <c r="Z818" s="29">
        <v>45251.510416666664</v>
      </c>
      <c r="AA818" s="29">
        <v>45251.559027777781</v>
      </c>
      <c r="AB818" s="30">
        <f t="shared" si="770"/>
        <v>4.8611111116770189E-2</v>
      </c>
    </row>
    <row r="819" spans="1:28" x14ac:dyDescent="0.25">
      <c r="A819" s="12">
        <v>45252</v>
      </c>
      <c r="B819" s="80" t="s">
        <v>1579</v>
      </c>
      <c r="C819" s="20">
        <v>45251</v>
      </c>
      <c r="D819" s="13">
        <v>7833011</v>
      </c>
      <c r="E819" s="80" t="s">
        <v>795</v>
      </c>
      <c r="F819" s="80" t="s">
        <v>407</v>
      </c>
      <c r="G819" s="80" t="s">
        <v>1418</v>
      </c>
      <c r="H819" s="17">
        <v>5211013</v>
      </c>
      <c r="I819" s="17" t="s">
        <v>27</v>
      </c>
      <c r="J819" s="85" t="s">
        <v>1580</v>
      </c>
      <c r="K819" s="80">
        <v>25</v>
      </c>
      <c r="L819" s="80">
        <v>400</v>
      </c>
      <c r="M819" s="80">
        <f t="shared" si="763"/>
        <v>10000</v>
      </c>
      <c r="N819" s="20">
        <v>45252</v>
      </c>
      <c r="O819" s="80" t="s">
        <v>1581</v>
      </c>
      <c r="P819" s="80" t="s">
        <v>134</v>
      </c>
      <c r="Q819" s="123">
        <v>2670</v>
      </c>
      <c r="R819" s="80" t="s">
        <v>1582</v>
      </c>
      <c r="S819" s="81">
        <v>211679122052</v>
      </c>
      <c r="T819" s="20">
        <v>45252</v>
      </c>
      <c r="U819" s="123"/>
      <c r="V819" s="80">
        <v>627</v>
      </c>
      <c r="W819" s="29">
        <v>45252.416666666664</v>
      </c>
      <c r="X819" s="29">
        <v>45252.486111111109</v>
      </c>
      <c r="Y819" s="30">
        <f t="shared" si="769"/>
        <v>6.9444444445252884E-2</v>
      </c>
      <c r="Z819" s="29">
        <v>45252.458333333336</v>
      </c>
      <c r="AA819" s="29">
        <v>45252.486111111109</v>
      </c>
      <c r="AB819" s="30">
        <f t="shared" si="770"/>
        <v>2.7777777773735579E-2</v>
      </c>
    </row>
    <row r="820" spans="1:28" x14ac:dyDescent="0.25">
      <c r="A820" s="12">
        <v>45252</v>
      </c>
      <c r="B820" s="80" t="s">
        <v>1583</v>
      </c>
      <c r="C820" s="20">
        <v>45252</v>
      </c>
      <c r="D820" s="13">
        <v>8053602</v>
      </c>
      <c r="E820" s="80" t="s">
        <v>477</v>
      </c>
      <c r="F820" s="80" t="s">
        <v>1584</v>
      </c>
      <c r="G820" s="80" t="s">
        <v>132</v>
      </c>
      <c r="H820" s="17">
        <v>5200272</v>
      </c>
      <c r="I820" s="17" t="s">
        <v>1159</v>
      </c>
      <c r="J820" s="14" t="s">
        <v>1158</v>
      </c>
      <c r="K820" s="80">
        <v>250</v>
      </c>
      <c r="L820" s="80">
        <v>110</v>
      </c>
      <c r="M820" s="80">
        <f t="shared" si="763"/>
        <v>27500</v>
      </c>
      <c r="N820" s="20">
        <v>45252</v>
      </c>
      <c r="O820" s="80" t="s">
        <v>1577</v>
      </c>
      <c r="P820" s="80" t="s">
        <v>134</v>
      </c>
      <c r="Q820" s="123">
        <v>2671</v>
      </c>
      <c r="R820" s="80" t="s">
        <v>1585</v>
      </c>
      <c r="S820" s="81">
        <v>291679283535</v>
      </c>
      <c r="T820" s="20">
        <v>45252</v>
      </c>
      <c r="U820" s="123"/>
      <c r="V820" s="80">
        <v>628</v>
      </c>
      <c r="W820" s="29">
        <v>45252.520833333336</v>
      </c>
      <c r="X820" s="29">
        <v>45252.770833333336</v>
      </c>
      <c r="Y820" s="30">
        <f t="shared" si="769"/>
        <v>0.25</v>
      </c>
      <c r="Z820" s="29">
        <v>45252.534722222219</v>
      </c>
      <c r="AA820" s="29">
        <v>45252.604166666664</v>
      </c>
      <c r="AB820" s="30">
        <f t="shared" si="770"/>
        <v>6.9444444445252884E-2</v>
      </c>
    </row>
    <row r="821" spans="1:28" x14ac:dyDescent="0.25">
      <c r="A821" s="12">
        <v>45252</v>
      </c>
      <c r="B821" s="80" t="s">
        <v>1586</v>
      </c>
      <c r="C821" s="20">
        <v>45252</v>
      </c>
      <c r="D821" s="13">
        <v>8053602</v>
      </c>
      <c r="E821" s="80" t="s">
        <v>477</v>
      </c>
      <c r="F821" s="80" t="s">
        <v>1584</v>
      </c>
      <c r="G821" s="80" t="s">
        <v>132</v>
      </c>
      <c r="H821" s="17">
        <v>5200272</v>
      </c>
      <c r="I821" s="17" t="s">
        <v>1159</v>
      </c>
      <c r="J821" s="14" t="s">
        <v>1158</v>
      </c>
      <c r="K821" s="80">
        <v>250</v>
      </c>
      <c r="L821" s="80">
        <v>110</v>
      </c>
      <c r="M821" s="80">
        <f t="shared" si="763"/>
        <v>27500</v>
      </c>
      <c r="N821" s="20">
        <v>45252</v>
      </c>
      <c r="O821" s="80" t="s">
        <v>1577</v>
      </c>
      <c r="P821" s="80" t="s">
        <v>134</v>
      </c>
      <c r="Q821" s="123">
        <v>2673</v>
      </c>
      <c r="R821" s="80" t="s">
        <v>1587</v>
      </c>
      <c r="S821" s="81">
        <v>251679486299</v>
      </c>
      <c r="T821" s="20">
        <v>45252</v>
      </c>
      <c r="U821" s="123"/>
      <c r="V821" s="80">
        <v>629</v>
      </c>
      <c r="W821" s="29">
        <v>45252.569444444445</v>
      </c>
      <c r="X821" s="29">
        <v>45252.729166666664</v>
      </c>
      <c r="Y821" s="30">
        <f t="shared" si="769"/>
        <v>0.15972222221898846</v>
      </c>
      <c r="Z821" s="29">
        <v>45252.652777777781</v>
      </c>
      <c r="AA821" s="29">
        <v>45252.729166666664</v>
      </c>
      <c r="AB821" s="30">
        <f t="shared" si="770"/>
        <v>7.6388888883229811E-2</v>
      </c>
    </row>
    <row r="822" spans="1:28" x14ac:dyDescent="0.25">
      <c r="A822" s="12">
        <v>45252</v>
      </c>
      <c r="B822" s="80" t="s">
        <v>1588</v>
      </c>
      <c r="C822" s="20">
        <v>45252</v>
      </c>
      <c r="D822" s="13">
        <v>8053602</v>
      </c>
      <c r="E822" s="80" t="s">
        <v>477</v>
      </c>
      <c r="F822" s="80" t="s">
        <v>1584</v>
      </c>
      <c r="G822" s="80" t="s">
        <v>132</v>
      </c>
      <c r="H822" s="17">
        <v>5200272</v>
      </c>
      <c r="I822" s="17" t="s">
        <v>1159</v>
      </c>
      <c r="J822" s="14" t="s">
        <v>1158</v>
      </c>
      <c r="K822" s="80">
        <v>250</v>
      </c>
      <c r="L822" s="80">
        <v>110</v>
      </c>
      <c r="M822" s="80">
        <f t="shared" si="763"/>
        <v>27500</v>
      </c>
      <c r="N822" s="20">
        <v>45252</v>
      </c>
      <c r="O822" s="80" t="s">
        <v>1577</v>
      </c>
      <c r="P822" s="80" t="s">
        <v>134</v>
      </c>
      <c r="Q822" s="123">
        <v>2674</v>
      </c>
      <c r="R822" s="80" t="s">
        <v>671</v>
      </c>
      <c r="S822" s="81">
        <v>201679488120</v>
      </c>
      <c r="T822" s="20">
        <v>45252</v>
      </c>
      <c r="U822" s="123"/>
      <c r="V822" s="80">
        <v>630</v>
      </c>
      <c r="W822" s="29">
        <v>45252.611111111109</v>
      </c>
      <c r="X822" s="29">
        <v>45252.770833333336</v>
      </c>
      <c r="Y822" s="30">
        <f t="shared" si="769"/>
        <v>0.15972222222626442</v>
      </c>
      <c r="Z822" s="29">
        <v>45252.694444444445</v>
      </c>
      <c r="AA822" s="29">
        <v>45252.770833333336</v>
      </c>
      <c r="AB822" s="30">
        <f t="shared" si="770"/>
        <v>7.6388888890505768E-2</v>
      </c>
    </row>
    <row r="823" spans="1:28" x14ac:dyDescent="0.25">
      <c r="A823" s="12">
        <v>45252</v>
      </c>
      <c r="B823" s="80" t="s">
        <v>1589</v>
      </c>
      <c r="C823" s="20">
        <v>45252</v>
      </c>
      <c r="D823" s="13">
        <v>8108081</v>
      </c>
      <c r="E823" s="80" t="s">
        <v>477</v>
      </c>
      <c r="F823" s="80" t="s">
        <v>1584</v>
      </c>
      <c r="G823" s="80" t="s">
        <v>132</v>
      </c>
      <c r="H823" s="17">
        <v>5200272</v>
      </c>
      <c r="I823" s="17" t="s">
        <v>1159</v>
      </c>
      <c r="J823" s="14" t="s">
        <v>1158</v>
      </c>
      <c r="K823" s="80">
        <v>250</v>
      </c>
      <c r="L823" s="80">
        <v>80</v>
      </c>
      <c r="M823" s="80">
        <f t="shared" si="763"/>
        <v>20000</v>
      </c>
      <c r="N823" s="20">
        <v>45252</v>
      </c>
      <c r="O823" s="80" t="s">
        <v>1577</v>
      </c>
      <c r="P823" s="80" t="s">
        <v>134</v>
      </c>
      <c r="Q823" s="85">
        <v>2675</v>
      </c>
      <c r="R823" s="80" t="s">
        <v>1590</v>
      </c>
      <c r="S823" s="81">
        <v>221679490684</v>
      </c>
      <c r="T823" s="20">
        <v>45252</v>
      </c>
      <c r="U823" s="123"/>
      <c r="V823" s="80">
        <v>631</v>
      </c>
      <c r="W823" s="29">
        <v>45252.652777777781</v>
      </c>
      <c r="X823" s="29">
        <v>45252.8125</v>
      </c>
      <c r="Y823" s="30">
        <f t="shared" si="769"/>
        <v>0.15972222221898846</v>
      </c>
      <c r="Z823" s="29">
        <v>45252.736111111109</v>
      </c>
      <c r="AA823" s="29">
        <v>45252.8125</v>
      </c>
      <c r="AB823" s="30">
        <f t="shared" si="770"/>
        <v>7.6388888890505768E-2</v>
      </c>
    </row>
    <row r="824" spans="1:28" x14ac:dyDescent="0.25">
      <c r="A824" s="12">
        <v>45252</v>
      </c>
      <c r="B824" s="80" t="s">
        <v>1589</v>
      </c>
      <c r="C824" s="20">
        <v>45252</v>
      </c>
      <c r="D824" s="13">
        <v>8108081</v>
      </c>
      <c r="E824" s="80" t="s">
        <v>477</v>
      </c>
      <c r="F824" s="80" t="s">
        <v>1584</v>
      </c>
      <c r="G824" s="80" t="s">
        <v>132</v>
      </c>
      <c r="H824" s="17">
        <v>5200272</v>
      </c>
      <c r="I824" s="17" t="s">
        <v>1159</v>
      </c>
      <c r="J824" s="14" t="s">
        <v>1158</v>
      </c>
      <c r="K824" s="80">
        <v>250</v>
      </c>
      <c r="L824" s="80">
        <v>30</v>
      </c>
      <c r="M824" s="80">
        <f t="shared" si="763"/>
        <v>7500</v>
      </c>
      <c r="N824" s="20">
        <v>45252</v>
      </c>
      <c r="O824" s="80" t="s">
        <v>1577</v>
      </c>
      <c r="P824" s="80" t="s">
        <v>134</v>
      </c>
      <c r="Q824" s="85">
        <v>2675</v>
      </c>
      <c r="R824" s="80" t="s">
        <v>1590</v>
      </c>
      <c r="S824" s="81">
        <v>221679490684</v>
      </c>
      <c r="T824" s="20">
        <v>45252</v>
      </c>
      <c r="U824" s="123"/>
      <c r="V824" s="80">
        <v>631</v>
      </c>
      <c r="W824" s="29">
        <v>45252.652777777781</v>
      </c>
      <c r="X824" s="29">
        <v>45252.8125</v>
      </c>
      <c r="Y824" s="30">
        <f t="shared" ref="Y824:Y825" si="774">+X824-W824</f>
        <v>0.15972222221898846</v>
      </c>
      <c r="Z824" s="29">
        <v>45252.736111111109</v>
      </c>
      <c r="AA824" s="29">
        <v>45252.8125</v>
      </c>
      <c r="AB824" s="30">
        <f t="shared" ref="AB824:AB825" si="775">+AA824-Z824</f>
        <v>7.6388888890505768E-2</v>
      </c>
    </row>
    <row r="825" spans="1:28" x14ac:dyDescent="0.25">
      <c r="A825" s="12">
        <v>45252</v>
      </c>
      <c r="B825" s="80" t="s">
        <v>1591</v>
      </c>
      <c r="C825" s="20">
        <v>45252</v>
      </c>
      <c r="D825" s="13">
        <v>8108081</v>
      </c>
      <c r="E825" s="80" t="s">
        <v>477</v>
      </c>
      <c r="F825" s="80" t="s">
        <v>1584</v>
      </c>
      <c r="G825" s="80" t="s">
        <v>132</v>
      </c>
      <c r="H825" s="17">
        <v>5200272</v>
      </c>
      <c r="I825" s="17" t="s">
        <v>1159</v>
      </c>
      <c r="J825" s="14" t="s">
        <v>1158</v>
      </c>
      <c r="K825" s="80">
        <v>250</v>
      </c>
      <c r="L825" s="80">
        <v>40</v>
      </c>
      <c r="M825" s="80">
        <f t="shared" si="763"/>
        <v>10000</v>
      </c>
      <c r="N825" s="20">
        <v>45252</v>
      </c>
      <c r="O825" s="80" t="s">
        <v>1577</v>
      </c>
      <c r="P825" s="80" t="s">
        <v>134</v>
      </c>
      <c r="Q825" s="85">
        <v>2676</v>
      </c>
      <c r="R825" s="80" t="s">
        <v>1592</v>
      </c>
      <c r="S825" s="81">
        <v>241679500695</v>
      </c>
      <c r="T825" s="20">
        <v>45252</v>
      </c>
      <c r="U825" s="123"/>
      <c r="V825" s="80">
        <v>632</v>
      </c>
      <c r="W825" s="29">
        <v>45252.694444444445</v>
      </c>
      <c r="X825" s="29">
        <v>45252.854166666664</v>
      </c>
      <c r="Y825" s="30">
        <f t="shared" si="774"/>
        <v>0.15972222221898846</v>
      </c>
      <c r="Z825" s="29">
        <v>45252.777777777781</v>
      </c>
      <c r="AA825" s="29">
        <v>45252.854166666664</v>
      </c>
      <c r="AB825" s="30">
        <f t="shared" si="775"/>
        <v>7.6388888883229811E-2</v>
      </c>
    </row>
    <row r="826" spans="1:28" x14ac:dyDescent="0.25">
      <c r="A826" s="12">
        <v>45252</v>
      </c>
      <c r="B826" s="80" t="s">
        <v>1591</v>
      </c>
      <c r="C826" s="20">
        <v>45252</v>
      </c>
      <c r="D826" s="13">
        <v>8053602</v>
      </c>
      <c r="E826" s="80" t="s">
        <v>477</v>
      </c>
      <c r="F826" s="80" t="s">
        <v>1584</v>
      </c>
      <c r="G826" s="80" t="s">
        <v>132</v>
      </c>
      <c r="H826" s="17">
        <v>5200272</v>
      </c>
      <c r="I826" s="17" t="s">
        <v>1159</v>
      </c>
      <c r="J826" s="14" t="s">
        <v>1158</v>
      </c>
      <c r="K826" s="80">
        <v>250</v>
      </c>
      <c r="L826" s="80">
        <v>70</v>
      </c>
      <c r="M826" s="80">
        <f t="shared" si="763"/>
        <v>17500</v>
      </c>
      <c r="N826" s="20">
        <v>45252</v>
      </c>
      <c r="O826" s="80" t="s">
        <v>1577</v>
      </c>
      <c r="P826" s="80" t="s">
        <v>134</v>
      </c>
      <c r="Q826" s="85">
        <v>2676</v>
      </c>
      <c r="R826" s="80" t="s">
        <v>1592</v>
      </c>
      <c r="S826" s="81">
        <v>241679500695</v>
      </c>
      <c r="T826" s="20">
        <v>45252</v>
      </c>
      <c r="U826" s="123"/>
      <c r="V826" s="80">
        <v>632</v>
      </c>
      <c r="W826" s="29">
        <v>45252.694444444445</v>
      </c>
      <c r="X826" s="29">
        <v>45252.854166666664</v>
      </c>
      <c r="Y826" s="30">
        <f t="shared" ref="Y826:Y830" si="776">+X826-W826</f>
        <v>0.15972222221898846</v>
      </c>
      <c r="Z826" s="29">
        <v>45252.777777777781</v>
      </c>
      <c r="AA826" s="29">
        <v>45252.854166666664</v>
      </c>
      <c r="AB826" s="30">
        <f t="shared" ref="AB826:AB830" si="777">+AA826-Z826</f>
        <v>7.6388888883229811E-2</v>
      </c>
    </row>
    <row r="827" spans="1:28" x14ac:dyDescent="0.25">
      <c r="A827" s="12">
        <v>45253</v>
      </c>
      <c r="B827" s="80" t="s">
        <v>1608</v>
      </c>
      <c r="C827" s="20">
        <v>45253</v>
      </c>
      <c r="D827" s="13">
        <v>8261236</v>
      </c>
      <c r="E827" s="80" t="s">
        <v>1131</v>
      </c>
      <c r="F827" s="80" t="s">
        <v>215</v>
      </c>
      <c r="G827" s="80" t="s">
        <v>132</v>
      </c>
      <c r="H827" s="17">
        <v>5230831</v>
      </c>
      <c r="I827" s="17" t="s">
        <v>35</v>
      </c>
      <c r="J827" s="105" t="s">
        <v>1368</v>
      </c>
      <c r="K827" s="80">
        <v>240</v>
      </c>
      <c r="L827" s="80">
        <v>40</v>
      </c>
      <c r="M827" s="80">
        <f t="shared" si="763"/>
        <v>9600</v>
      </c>
      <c r="N827" s="20">
        <v>45253</v>
      </c>
      <c r="O827" s="80" t="s">
        <v>1581</v>
      </c>
      <c r="P827" s="80" t="s">
        <v>144</v>
      </c>
      <c r="Q827" s="85" t="s">
        <v>30</v>
      </c>
      <c r="R827" s="80" t="s">
        <v>817</v>
      </c>
      <c r="S827" s="81">
        <v>211679841821</v>
      </c>
      <c r="T827" s="20">
        <v>45253</v>
      </c>
      <c r="U827" s="123"/>
      <c r="V827" s="80">
        <v>633</v>
      </c>
      <c r="W827" s="29">
        <v>45253.534722222219</v>
      </c>
      <c r="X827" s="29">
        <v>45253.666666666664</v>
      </c>
      <c r="Y827" s="30">
        <f t="shared" si="776"/>
        <v>0.13194444444525288</v>
      </c>
      <c r="Z827" s="29">
        <v>45253.625</v>
      </c>
      <c r="AA827" s="29">
        <v>45253.666666666664</v>
      </c>
      <c r="AB827" s="30">
        <f t="shared" si="777"/>
        <v>4.1666666664241347E-2</v>
      </c>
    </row>
    <row r="828" spans="1:28" x14ac:dyDescent="0.25">
      <c r="A828" s="12">
        <v>45253</v>
      </c>
      <c r="B828" s="80" t="s">
        <v>1609</v>
      </c>
      <c r="C828" s="20">
        <v>45253</v>
      </c>
      <c r="D828" s="13">
        <v>7934781</v>
      </c>
      <c r="E828" s="80" t="s">
        <v>477</v>
      </c>
      <c r="F828" s="80" t="s">
        <v>327</v>
      </c>
      <c r="G828" s="80" t="s">
        <v>132</v>
      </c>
      <c r="H828" s="17">
        <v>5200272</v>
      </c>
      <c r="I828" s="17" t="s">
        <v>1159</v>
      </c>
      <c r="J828" s="14" t="s">
        <v>1158</v>
      </c>
      <c r="K828" s="80">
        <v>250</v>
      </c>
      <c r="L828" s="80">
        <v>110</v>
      </c>
      <c r="M828" s="80">
        <f t="shared" si="763"/>
        <v>27500</v>
      </c>
      <c r="N828" s="20">
        <v>45253</v>
      </c>
      <c r="O828" s="80" t="s">
        <v>1577</v>
      </c>
      <c r="P828" s="80" t="s">
        <v>134</v>
      </c>
      <c r="Q828" s="80">
        <v>2677</v>
      </c>
      <c r="R828" s="80" t="s">
        <v>1610</v>
      </c>
      <c r="S828" s="81">
        <v>271679833181</v>
      </c>
      <c r="T828" s="20">
        <v>45253</v>
      </c>
      <c r="U828" s="123"/>
      <c r="V828" s="80">
        <v>634</v>
      </c>
      <c r="W828" s="29">
        <v>45253.458333333336</v>
      </c>
      <c r="X828" s="29">
        <v>45253.666666666664</v>
      </c>
      <c r="Y828" s="30">
        <f t="shared" si="776"/>
        <v>0.20833333332848269</v>
      </c>
      <c r="Z828" s="29">
        <v>45253.479166666664</v>
      </c>
      <c r="AA828" s="29">
        <v>45253.541666666664</v>
      </c>
      <c r="AB828" s="30">
        <f t="shared" si="777"/>
        <v>6.25E-2</v>
      </c>
    </row>
    <row r="829" spans="1:28" x14ac:dyDescent="0.25">
      <c r="A829" s="12">
        <v>45253</v>
      </c>
      <c r="B829" s="80" t="s">
        <v>1611</v>
      </c>
      <c r="C829" s="20">
        <v>45253</v>
      </c>
      <c r="D829" s="80">
        <v>8492218</v>
      </c>
      <c r="E829" s="80" t="s">
        <v>214</v>
      </c>
      <c r="F829" s="80" t="s">
        <v>215</v>
      </c>
      <c r="G829" s="80" t="s">
        <v>132</v>
      </c>
      <c r="H829" s="17">
        <v>5230874</v>
      </c>
      <c r="I829" s="17" t="s">
        <v>1316</v>
      </c>
      <c r="J829" s="93" t="s">
        <v>1612</v>
      </c>
      <c r="K829" s="80">
        <v>250</v>
      </c>
      <c r="L829" s="80">
        <v>32</v>
      </c>
      <c r="M829" s="80">
        <f t="shared" si="763"/>
        <v>8000</v>
      </c>
      <c r="N829" s="20">
        <v>45253</v>
      </c>
      <c r="O829" s="80" t="s">
        <v>1581</v>
      </c>
      <c r="P829" s="80" t="s">
        <v>134</v>
      </c>
      <c r="Q829" s="80">
        <v>2679</v>
      </c>
      <c r="R829" s="80" t="s">
        <v>216</v>
      </c>
      <c r="S829" s="81">
        <v>281679864366</v>
      </c>
      <c r="T829" s="20">
        <v>45253</v>
      </c>
      <c r="U829" s="123"/>
      <c r="V829" s="80">
        <v>635</v>
      </c>
      <c r="W829" s="29">
        <v>45253.597222222219</v>
      </c>
      <c r="X829" s="29">
        <v>45253.666666666664</v>
      </c>
      <c r="Y829" s="30">
        <f t="shared" si="776"/>
        <v>6.9444444445252884E-2</v>
      </c>
      <c r="Z829" s="29">
        <v>45253.625</v>
      </c>
      <c r="AA829" s="29">
        <v>45253.666666666664</v>
      </c>
      <c r="AB829" s="30">
        <f t="shared" si="777"/>
        <v>4.1666666664241347E-2</v>
      </c>
    </row>
    <row r="830" spans="1:28" x14ac:dyDescent="0.25">
      <c r="A830" s="12">
        <v>45253</v>
      </c>
      <c r="B830" s="80" t="s">
        <v>1613</v>
      </c>
      <c r="C830" s="20">
        <v>45253</v>
      </c>
      <c r="D830" s="80">
        <v>8606264</v>
      </c>
      <c r="E830" s="80" t="s">
        <v>523</v>
      </c>
      <c r="F830" s="80" t="s">
        <v>524</v>
      </c>
      <c r="G830" s="80" t="s">
        <v>192</v>
      </c>
      <c r="H830" s="17">
        <v>5212256</v>
      </c>
      <c r="I830" s="17" t="s">
        <v>22</v>
      </c>
      <c r="J830" s="123" t="s">
        <v>1334</v>
      </c>
      <c r="K830" s="80">
        <v>25</v>
      </c>
      <c r="L830" s="123">
        <f>425/25</f>
        <v>17</v>
      </c>
      <c r="M830" s="80">
        <f t="shared" si="763"/>
        <v>425</v>
      </c>
      <c r="N830" s="20">
        <v>45253</v>
      </c>
      <c r="O830" s="80" t="s">
        <v>1614</v>
      </c>
      <c r="P830" s="80" t="s">
        <v>134</v>
      </c>
      <c r="Q830" s="80">
        <v>2680</v>
      </c>
      <c r="R830" s="80" t="s">
        <v>1615</v>
      </c>
      <c r="S830" s="81">
        <v>211679839532</v>
      </c>
      <c r="T830" s="20">
        <v>45253</v>
      </c>
      <c r="U830" s="123"/>
      <c r="V830" s="80">
        <v>636</v>
      </c>
      <c r="W830" s="29">
        <v>45253.638888888891</v>
      </c>
      <c r="X830" s="29">
        <v>45253.75</v>
      </c>
      <c r="Y830" s="30">
        <f t="shared" si="776"/>
        <v>0.11111111110949423</v>
      </c>
      <c r="Z830" s="29">
        <v>45253.694444444445</v>
      </c>
      <c r="AA830" s="29">
        <v>45253.75</v>
      </c>
      <c r="AB830" s="30">
        <f t="shared" si="777"/>
        <v>5.5555555554747116E-2</v>
      </c>
    </row>
    <row r="831" spans="1:28" x14ac:dyDescent="0.25">
      <c r="A831" s="12">
        <v>45253</v>
      </c>
      <c r="B831" s="80" t="s">
        <v>1613</v>
      </c>
      <c r="C831" s="20">
        <v>45253</v>
      </c>
      <c r="D831" s="80">
        <v>8606264</v>
      </c>
      <c r="E831" s="80" t="s">
        <v>523</v>
      </c>
      <c r="F831" s="80" t="s">
        <v>524</v>
      </c>
      <c r="G831" s="80" t="s">
        <v>192</v>
      </c>
      <c r="H831" s="17">
        <v>5212256</v>
      </c>
      <c r="I831" s="17" t="s">
        <v>22</v>
      </c>
      <c r="J831" s="123" t="s">
        <v>1599</v>
      </c>
      <c r="K831" s="80">
        <v>25</v>
      </c>
      <c r="L831" s="123">
        <f>3325/25</f>
        <v>133</v>
      </c>
      <c r="M831" s="80">
        <f t="shared" si="763"/>
        <v>3325</v>
      </c>
      <c r="N831" s="20">
        <v>45253</v>
      </c>
      <c r="O831" s="80" t="s">
        <v>1614</v>
      </c>
      <c r="P831" s="80" t="s">
        <v>134</v>
      </c>
      <c r="Q831" s="80">
        <v>2680</v>
      </c>
      <c r="R831" s="80" t="s">
        <v>1615</v>
      </c>
      <c r="S831" s="81">
        <v>211679839532</v>
      </c>
      <c r="T831" s="20">
        <v>45253</v>
      </c>
      <c r="U831" s="123"/>
      <c r="V831" s="80">
        <v>636</v>
      </c>
      <c r="W831" s="29">
        <v>45253.638888888891</v>
      </c>
      <c r="X831" s="29">
        <v>45253.75</v>
      </c>
      <c r="Y831" s="30">
        <f t="shared" ref="Y831:Y841" si="778">+X831-W831</f>
        <v>0.11111111110949423</v>
      </c>
      <c r="Z831" s="29">
        <v>45253.694444444445</v>
      </c>
      <c r="AA831" s="29">
        <v>45253.75</v>
      </c>
      <c r="AB831" s="30">
        <f t="shared" ref="AB831:AB841" si="779">+AA831-Z831</f>
        <v>5.5555555554747116E-2</v>
      </c>
    </row>
    <row r="832" spans="1:28" x14ac:dyDescent="0.25">
      <c r="A832" s="12">
        <v>45253</v>
      </c>
      <c r="B832" s="80" t="s">
        <v>1613</v>
      </c>
      <c r="C832" s="20">
        <v>45253</v>
      </c>
      <c r="D832" s="80">
        <v>8606264</v>
      </c>
      <c r="E832" s="80" t="s">
        <v>523</v>
      </c>
      <c r="F832" s="80" t="s">
        <v>524</v>
      </c>
      <c r="G832" s="80" t="s">
        <v>192</v>
      </c>
      <c r="H832" s="17">
        <v>5212256</v>
      </c>
      <c r="I832" s="17" t="s">
        <v>22</v>
      </c>
      <c r="J832" s="123" t="s">
        <v>1600</v>
      </c>
      <c r="K832" s="80">
        <v>25</v>
      </c>
      <c r="L832" s="123">
        <f>1050/25</f>
        <v>42</v>
      </c>
      <c r="M832" s="80">
        <f t="shared" si="763"/>
        <v>1050</v>
      </c>
      <c r="N832" s="20">
        <v>45253</v>
      </c>
      <c r="O832" s="80" t="s">
        <v>1614</v>
      </c>
      <c r="P832" s="80" t="s">
        <v>134</v>
      </c>
      <c r="Q832" s="80">
        <v>2680</v>
      </c>
      <c r="R832" s="80" t="s">
        <v>1615</v>
      </c>
      <c r="S832" s="81">
        <v>211679839532</v>
      </c>
      <c r="T832" s="20">
        <v>45253</v>
      </c>
      <c r="U832" s="123"/>
      <c r="V832" s="80">
        <v>636</v>
      </c>
      <c r="W832" s="29">
        <v>45253.638888888891</v>
      </c>
      <c r="X832" s="29">
        <v>45253.75</v>
      </c>
      <c r="Y832" s="30">
        <f t="shared" si="778"/>
        <v>0.11111111110949423</v>
      </c>
      <c r="Z832" s="29">
        <v>45253.694444444445</v>
      </c>
      <c r="AA832" s="29">
        <v>45253.75</v>
      </c>
      <c r="AB832" s="30">
        <f t="shared" si="779"/>
        <v>5.5555555554747116E-2</v>
      </c>
    </row>
    <row r="833" spans="1:28" x14ac:dyDescent="0.25">
      <c r="A833" s="12">
        <v>45253</v>
      </c>
      <c r="B833" s="80" t="s">
        <v>1613</v>
      </c>
      <c r="C833" s="20">
        <v>45253</v>
      </c>
      <c r="D833" s="80">
        <v>8606264</v>
      </c>
      <c r="E833" s="80" t="s">
        <v>523</v>
      </c>
      <c r="F833" s="80" t="s">
        <v>524</v>
      </c>
      <c r="G833" s="80" t="s">
        <v>192</v>
      </c>
      <c r="H833" s="17">
        <v>5212256</v>
      </c>
      <c r="I833" s="17" t="s">
        <v>22</v>
      </c>
      <c r="J833" s="123" t="s">
        <v>1601</v>
      </c>
      <c r="K833" s="80">
        <v>25</v>
      </c>
      <c r="L833" s="123">
        <f>4975/25</f>
        <v>199</v>
      </c>
      <c r="M833" s="80">
        <f t="shared" si="763"/>
        <v>4975</v>
      </c>
      <c r="N833" s="20">
        <v>45253</v>
      </c>
      <c r="O833" s="80" t="s">
        <v>1614</v>
      </c>
      <c r="P833" s="80" t="s">
        <v>134</v>
      </c>
      <c r="Q833" s="80">
        <v>2680</v>
      </c>
      <c r="R833" s="80" t="s">
        <v>1615</v>
      </c>
      <c r="S833" s="81">
        <v>211679839532</v>
      </c>
      <c r="T833" s="20">
        <v>45253</v>
      </c>
      <c r="U833" s="123"/>
      <c r="V833" s="80">
        <v>636</v>
      </c>
      <c r="W833" s="29">
        <v>45253.638888888891</v>
      </c>
      <c r="X833" s="29">
        <v>45253.75</v>
      </c>
      <c r="Y833" s="30">
        <f t="shared" si="778"/>
        <v>0.11111111110949423</v>
      </c>
      <c r="Z833" s="29">
        <v>45253.694444444445</v>
      </c>
      <c r="AA833" s="29">
        <v>45253.75</v>
      </c>
      <c r="AB833" s="30">
        <f t="shared" si="779"/>
        <v>5.5555555554747116E-2</v>
      </c>
    </row>
    <row r="834" spans="1:28" x14ac:dyDescent="0.25">
      <c r="A834" s="12">
        <v>45253</v>
      </c>
      <c r="B834" s="80" t="s">
        <v>1613</v>
      </c>
      <c r="C834" s="20">
        <v>45253</v>
      </c>
      <c r="D834" s="80">
        <v>8606264</v>
      </c>
      <c r="E834" s="80" t="s">
        <v>523</v>
      </c>
      <c r="F834" s="80" t="s">
        <v>524</v>
      </c>
      <c r="G834" s="80" t="s">
        <v>192</v>
      </c>
      <c r="H834" s="17">
        <v>5212256</v>
      </c>
      <c r="I834" s="17" t="s">
        <v>22</v>
      </c>
      <c r="J834" s="123" t="s">
        <v>1602</v>
      </c>
      <c r="K834" s="80">
        <v>25</v>
      </c>
      <c r="L834" s="123">
        <f>10225/25</f>
        <v>409</v>
      </c>
      <c r="M834" s="80">
        <f t="shared" si="763"/>
        <v>10225</v>
      </c>
      <c r="N834" s="20">
        <v>45253</v>
      </c>
      <c r="O834" s="80" t="s">
        <v>1614</v>
      </c>
      <c r="P834" s="80" t="s">
        <v>134</v>
      </c>
      <c r="Q834" s="80">
        <v>2680</v>
      </c>
      <c r="R834" s="80" t="s">
        <v>1615</v>
      </c>
      <c r="S834" s="81">
        <v>211679839532</v>
      </c>
      <c r="T834" s="20">
        <v>45253</v>
      </c>
      <c r="U834" s="123"/>
      <c r="V834" s="80">
        <v>636</v>
      </c>
      <c r="W834" s="29">
        <v>45253.638888888891</v>
      </c>
      <c r="X834" s="29">
        <v>45253.75</v>
      </c>
      <c r="Y834" s="30">
        <f t="shared" si="778"/>
        <v>0.11111111110949423</v>
      </c>
      <c r="Z834" s="29">
        <v>45253.694444444445</v>
      </c>
      <c r="AA834" s="29">
        <v>45253.75</v>
      </c>
      <c r="AB834" s="30">
        <f t="shared" si="779"/>
        <v>5.5555555554747116E-2</v>
      </c>
    </row>
    <row r="835" spans="1:28" x14ac:dyDescent="0.25">
      <c r="A835" s="12">
        <v>45253</v>
      </c>
      <c r="B835" s="80" t="s">
        <v>1640</v>
      </c>
      <c r="C835" s="20">
        <v>45254</v>
      </c>
      <c r="D835" s="80">
        <v>8734231</v>
      </c>
      <c r="E835" s="80" t="s">
        <v>196</v>
      </c>
      <c r="F835" s="80" t="s">
        <v>197</v>
      </c>
      <c r="G835" s="80" t="s">
        <v>132</v>
      </c>
      <c r="H835" s="17">
        <v>5230831</v>
      </c>
      <c r="I835" s="17" t="s">
        <v>35</v>
      </c>
      <c r="J835" s="97" t="s">
        <v>1574</v>
      </c>
      <c r="K835" s="80">
        <v>240</v>
      </c>
      <c r="L835" s="123">
        <v>40</v>
      </c>
      <c r="M835" s="80">
        <f t="shared" si="763"/>
        <v>9600</v>
      </c>
      <c r="N835" s="20">
        <v>45254</v>
      </c>
      <c r="O835" s="80" t="s">
        <v>136</v>
      </c>
      <c r="P835" s="80" t="s">
        <v>144</v>
      </c>
      <c r="Q835" s="85" t="s">
        <v>30</v>
      </c>
      <c r="R835" s="80" t="s">
        <v>265</v>
      </c>
      <c r="S835" s="81">
        <v>281680341720</v>
      </c>
      <c r="T835" s="20">
        <v>45254</v>
      </c>
      <c r="U835" s="123"/>
      <c r="V835" s="80">
        <v>637</v>
      </c>
      <c r="W835" s="29">
        <v>45254.520833333336</v>
      </c>
      <c r="X835" s="29">
        <v>45254.572916666664</v>
      </c>
      <c r="Y835" s="30">
        <f t="shared" si="778"/>
        <v>5.2083333328482695E-2</v>
      </c>
      <c r="Z835" s="29">
        <v>45254.548611111109</v>
      </c>
      <c r="AA835" s="29">
        <v>45254.569444444445</v>
      </c>
      <c r="AB835" s="30">
        <f t="shared" si="779"/>
        <v>2.0833333335758653E-2</v>
      </c>
    </row>
    <row r="836" spans="1:28" x14ac:dyDescent="0.25">
      <c r="A836" s="12">
        <v>45253</v>
      </c>
      <c r="B836" s="80" t="s">
        <v>1641</v>
      </c>
      <c r="C836" s="20">
        <v>45253</v>
      </c>
      <c r="D836" s="13">
        <v>8017652</v>
      </c>
      <c r="E836" s="80" t="s">
        <v>191</v>
      </c>
      <c r="F836" s="80" t="s">
        <v>135</v>
      </c>
      <c r="G836" s="80" t="s">
        <v>192</v>
      </c>
      <c r="H836" s="17">
        <v>5212252</v>
      </c>
      <c r="I836" s="17" t="s">
        <v>23</v>
      </c>
      <c r="J836" s="31" t="s">
        <v>1441</v>
      </c>
      <c r="K836" s="80">
        <v>25</v>
      </c>
      <c r="L836" s="123">
        <v>2</v>
      </c>
      <c r="M836" s="80">
        <f t="shared" si="763"/>
        <v>50</v>
      </c>
      <c r="N836" s="20">
        <v>45254</v>
      </c>
      <c r="O836" s="80" t="s">
        <v>136</v>
      </c>
      <c r="P836" s="80" t="s">
        <v>144</v>
      </c>
      <c r="Q836" s="85" t="s">
        <v>30</v>
      </c>
      <c r="R836" s="80" t="s">
        <v>330</v>
      </c>
      <c r="S836" s="81">
        <v>211680407399</v>
      </c>
      <c r="T836" s="20">
        <v>45254</v>
      </c>
      <c r="U836" s="123"/>
      <c r="V836" s="80">
        <v>638</v>
      </c>
      <c r="W836" s="29">
        <v>45254.583333333336</v>
      </c>
      <c r="X836" s="29">
        <v>45254.673611111109</v>
      </c>
      <c r="Y836" s="30">
        <f t="shared" si="778"/>
        <v>9.0277777773735579E-2</v>
      </c>
      <c r="Z836" s="29">
        <v>45254.645833333336</v>
      </c>
      <c r="AA836" s="29">
        <v>45254.673611111109</v>
      </c>
      <c r="AB836" s="30">
        <f t="shared" si="779"/>
        <v>2.7777777773735579E-2</v>
      </c>
    </row>
    <row r="837" spans="1:28" x14ac:dyDescent="0.25">
      <c r="A837" s="12">
        <v>45253</v>
      </c>
      <c r="B837" s="80" t="s">
        <v>1641</v>
      </c>
      <c r="C837" s="20">
        <v>45253</v>
      </c>
      <c r="D837" s="90">
        <v>8367062</v>
      </c>
      <c r="E837" s="80" t="s">
        <v>191</v>
      </c>
      <c r="F837" s="80" t="s">
        <v>135</v>
      </c>
      <c r="G837" s="80" t="s">
        <v>192</v>
      </c>
      <c r="H837" s="17">
        <v>5212252</v>
      </c>
      <c r="I837" s="17" t="s">
        <v>23</v>
      </c>
      <c r="J837" s="90" t="s">
        <v>1491</v>
      </c>
      <c r="K837" s="80">
        <v>25</v>
      </c>
      <c r="L837" s="123">
        <v>151</v>
      </c>
      <c r="M837" s="80">
        <f t="shared" ref="M837:M839" si="780">K837*L837</f>
        <v>3775</v>
      </c>
      <c r="N837" s="20">
        <v>45254</v>
      </c>
      <c r="O837" s="80" t="s">
        <v>136</v>
      </c>
      <c r="P837" s="80" t="s">
        <v>144</v>
      </c>
      <c r="Q837" s="85" t="s">
        <v>30</v>
      </c>
      <c r="R837" s="80" t="s">
        <v>330</v>
      </c>
      <c r="S837" s="81">
        <v>211680407399</v>
      </c>
      <c r="T837" s="20">
        <v>45254</v>
      </c>
      <c r="U837" s="123"/>
      <c r="V837" s="80">
        <v>638</v>
      </c>
      <c r="W837" s="29">
        <v>45254.583333333336</v>
      </c>
      <c r="X837" s="29">
        <v>45254.673611111109</v>
      </c>
      <c r="Y837" s="30">
        <f t="shared" ref="Y837:Y839" si="781">+X837-W837</f>
        <v>9.0277777773735579E-2</v>
      </c>
      <c r="Z837" s="29">
        <v>45254.645833333336</v>
      </c>
      <c r="AA837" s="29">
        <v>45254.673611111109</v>
      </c>
      <c r="AB837" s="30">
        <f t="shared" ref="AB837:AB839" si="782">+AA837-Z837</f>
        <v>2.7777777773735579E-2</v>
      </c>
    </row>
    <row r="838" spans="1:28" x14ac:dyDescent="0.25">
      <c r="A838" s="12">
        <v>45253</v>
      </c>
      <c r="B838" s="80" t="s">
        <v>1641</v>
      </c>
      <c r="C838" s="20">
        <v>45253</v>
      </c>
      <c r="D838" s="90">
        <v>8367062</v>
      </c>
      <c r="E838" s="80" t="s">
        <v>191</v>
      </c>
      <c r="F838" s="80" t="s">
        <v>135</v>
      </c>
      <c r="G838" s="80" t="s">
        <v>192</v>
      </c>
      <c r="H838" s="17">
        <v>5212252</v>
      </c>
      <c r="I838" s="17" t="s">
        <v>23</v>
      </c>
      <c r="J838" s="90" t="s">
        <v>1490</v>
      </c>
      <c r="K838" s="80">
        <v>25</v>
      </c>
      <c r="L838" s="123">
        <v>132</v>
      </c>
      <c r="M838" s="80">
        <f t="shared" si="780"/>
        <v>3300</v>
      </c>
      <c r="N838" s="20">
        <v>45254</v>
      </c>
      <c r="O838" s="80" t="s">
        <v>136</v>
      </c>
      <c r="P838" s="80" t="s">
        <v>144</v>
      </c>
      <c r="Q838" s="85" t="s">
        <v>30</v>
      </c>
      <c r="R838" s="80" t="s">
        <v>330</v>
      </c>
      <c r="S838" s="81">
        <v>211680407399</v>
      </c>
      <c r="T838" s="20">
        <v>45254</v>
      </c>
      <c r="U838" s="123"/>
      <c r="V838" s="80">
        <v>638</v>
      </c>
      <c r="W838" s="29">
        <v>45254.583333333336</v>
      </c>
      <c r="X838" s="29">
        <v>45254.673611111109</v>
      </c>
      <c r="Y838" s="30">
        <f t="shared" si="781"/>
        <v>9.0277777773735579E-2</v>
      </c>
      <c r="Z838" s="29">
        <v>45254.645833333336</v>
      </c>
      <c r="AA838" s="29">
        <v>45254.673611111109</v>
      </c>
      <c r="AB838" s="30">
        <f t="shared" si="782"/>
        <v>2.7777777773735579E-2</v>
      </c>
    </row>
    <row r="839" spans="1:28" x14ac:dyDescent="0.25">
      <c r="A839" s="12">
        <v>45253</v>
      </c>
      <c r="B839" s="80" t="s">
        <v>1641</v>
      </c>
      <c r="C839" s="20">
        <v>45253</v>
      </c>
      <c r="D839" s="80">
        <v>8590364</v>
      </c>
      <c r="E839" s="80" t="s">
        <v>191</v>
      </c>
      <c r="F839" s="80" t="s">
        <v>135</v>
      </c>
      <c r="G839" s="80" t="s">
        <v>192</v>
      </c>
      <c r="H839" s="17">
        <v>5212252</v>
      </c>
      <c r="I839" s="17" t="s">
        <v>23</v>
      </c>
      <c r="J839" s="90" t="s">
        <v>1521</v>
      </c>
      <c r="K839" s="80">
        <v>25</v>
      </c>
      <c r="L839" s="123">
        <v>115</v>
      </c>
      <c r="M839" s="80">
        <f t="shared" si="780"/>
        <v>2875</v>
      </c>
      <c r="N839" s="20">
        <v>45254</v>
      </c>
      <c r="O839" s="80" t="s">
        <v>136</v>
      </c>
      <c r="P839" s="80" t="s">
        <v>144</v>
      </c>
      <c r="Q839" s="85" t="s">
        <v>30</v>
      </c>
      <c r="R839" s="80" t="s">
        <v>330</v>
      </c>
      <c r="S839" s="81">
        <v>211680407399</v>
      </c>
      <c r="T839" s="20">
        <v>45254</v>
      </c>
      <c r="U839" s="123"/>
      <c r="V839" s="80">
        <v>638</v>
      </c>
      <c r="W839" s="29">
        <v>45254.583333333336</v>
      </c>
      <c r="X839" s="29">
        <v>45254.673611111109</v>
      </c>
      <c r="Y839" s="30">
        <f t="shared" si="781"/>
        <v>9.0277777773735579E-2</v>
      </c>
      <c r="Z839" s="29">
        <v>45254.645833333336</v>
      </c>
      <c r="AA839" s="29">
        <v>45254.673611111109</v>
      </c>
      <c r="AB839" s="30">
        <f t="shared" si="782"/>
        <v>2.7777777773735579E-2</v>
      </c>
    </row>
    <row r="840" spans="1:28" x14ac:dyDescent="0.25">
      <c r="A840" s="12">
        <v>45253</v>
      </c>
      <c r="B840" s="80" t="s">
        <v>1642</v>
      </c>
      <c r="C840" s="20">
        <v>45254</v>
      </c>
      <c r="D840" s="80">
        <v>8590364</v>
      </c>
      <c r="E840" s="80" t="s">
        <v>859</v>
      </c>
      <c r="F840" s="80" t="s">
        <v>135</v>
      </c>
      <c r="G840" s="80" t="s">
        <v>192</v>
      </c>
      <c r="H840" s="17">
        <v>5212252</v>
      </c>
      <c r="I840" s="17" t="s">
        <v>23</v>
      </c>
      <c r="J840" s="90" t="s">
        <v>1521</v>
      </c>
      <c r="K840" s="80">
        <v>25</v>
      </c>
      <c r="L840" s="123">
        <v>400</v>
      </c>
      <c r="M840" s="80">
        <f t="shared" si="763"/>
        <v>10000</v>
      </c>
      <c r="N840" s="20">
        <v>45254</v>
      </c>
      <c r="O840" s="80" t="s">
        <v>136</v>
      </c>
      <c r="P840" s="80" t="s">
        <v>144</v>
      </c>
      <c r="Q840" s="85" t="s">
        <v>30</v>
      </c>
      <c r="R840" s="80" t="s">
        <v>1455</v>
      </c>
      <c r="S840" s="81">
        <v>261680499263</v>
      </c>
      <c r="T840" s="20">
        <v>45254</v>
      </c>
      <c r="U840" s="123"/>
      <c r="V840" s="80">
        <v>639</v>
      </c>
      <c r="W840" s="29">
        <v>45254.590277777781</v>
      </c>
      <c r="X840" s="29">
        <v>45254.725694444445</v>
      </c>
      <c r="Y840" s="30">
        <f t="shared" si="778"/>
        <v>0.13541666666424135</v>
      </c>
      <c r="Z840" s="29">
        <v>45254.6875</v>
      </c>
      <c r="AA840" s="29">
        <v>45254.722222222219</v>
      </c>
      <c r="AB840" s="30">
        <f t="shared" si="779"/>
        <v>3.4722222218988463E-2</v>
      </c>
    </row>
    <row r="841" spans="1:28" x14ac:dyDescent="0.25">
      <c r="A841" s="12">
        <v>45253</v>
      </c>
      <c r="B841" s="80" t="s">
        <v>1643</v>
      </c>
      <c r="C841" s="20">
        <v>45254</v>
      </c>
      <c r="D841" s="80">
        <v>8590364</v>
      </c>
      <c r="E841" s="80" t="s">
        <v>395</v>
      </c>
      <c r="F841" s="80" t="s">
        <v>396</v>
      </c>
      <c r="G841" s="80" t="s">
        <v>192</v>
      </c>
      <c r="H841" s="17">
        <v>5212252</v>
      </c>
      <c r="I841" s="17" t="s">
        <v>23</v>
      </c>
      <c r="J841" s="90" t="s">
        <v>1521</v>
      </c>
      <c r="K841" s="80">
        <v>25</v>
      </c>
      <c r="L841" s="85">
        <v>195</v>
      </c>
      <c r="M841" s="80">
        <f t="shared" si="763"/>
        <v>4875</v>
      </c>
      <c r="N841" s="20">
        <v>45254</v>
      </c>
      <c r="O841" s="80" t="s">
        <v>177</v>
      </c>
      <c r="P841" s="80" t="s">
        <v>134</v>
      </c>
      <c r="Q841" s="123">
        <v>2681</v>
      </c>
      <c r="R841" s="80" t="s">
        <v>1644</v>
      </c>
      <c r="S841" s="81">
        <v>281680515367</v>
      </c>
      <c r="T841" s="20">
        <v>45254</v>
      </c>
      <c r="U841" s="123"/>
      <c r="V841" s="80">
        <v>640</v>
      </c>
      <c r="W841" s="29">
        <v>45254.625</v>
      </c>
      <c r="X841" s="29">
        <v>45254.777777777781</v>
      </c>
      <c r="Y841" s="30">
        <f t="shared" si="778"/>
        <v>0.15277777778101154</v>
      </c>
      <c r="Z841" s="29">
        <v>45254.743055555555</v>
      </c>
      <c r="AA841" s="29">
        <v>45254.777777777781</v>
      </c>
      <c r="AB841" s="30">
        <f t="shared" si="779"/>
        <v>3.4722222226264421E-2</v>
      </c>
    </row>
    <row r="842" spans="1:28" x14ac:dyDescent="0.25">
      <c r="A842" s="12">
        <v>45253</v>
      </c>
      <c r="B842" s="80" t="s">
        <v>1643</v>
      </c>
      <c r="C842" s="20">
        <v>45254</v>
      </c>
      <c r="D842" s="80">
        <v>8572068</v>
      </c>
      <c r="E842" s="80" t="s">
        <v>395</v>
      </c>
      <c r="F842" s="80" t="s">
        <v>396</v>
      </c>
      <c r="G842" s="80" t="s">
        <v>192</v>
      </c>
      <c r="H842" s="17">
        <v>5212252</v>
      </c>
      <c r="I842" s="17" t="s">
        <v>23</v>
      </c>
      <c r="J842" s="80" t="s">
        <v>1534</v>
      </c>
      <c r="K842" s="80">
        <v>25</v>
      </c>
      <c r="L842" s="85">
        <v>125</v>
      </c>
      <c r="M842" s="80">
        <f t="shared" ref="M842:M849" si="783">K842*L842</f>
        <v>3125</v>
      </c>
      <c r="N842" s="20">
        <v>45254</v>
      </c>
      <c r="O842" s="80" t="s">
        <v>177</v>
      </c>
      <c r="P842" s="80" t="s">
        <v>134</v>
      </c>
      <c r="Q842" s="123">
        <v>2681</v>
      </c>
      <c r="R842" s="80" t="s">
        <v>1644</v>
      </c>
      <c r="S842" s="81">
        <v>281680515367</v>
      </c>
      <c r="T842" s="20">
        <v>45254</v>
      </c>
      <c r="U842" s="123"/>
      <c r="V842" s="80">
        <v>640</v>
      </c>
      <c r="W842" s="29">
        <v>45254.625</v>
      </c>
      <c r="X842" s="29">
        <v>45254.777777777781</v>
      </c>
      <c r="Y842" s="30">
        <f t="shared" ref="Y842:Y843" si="784">+X842-W842</f>
        <v>0.15277777778101154</v>
      </c>
      <c r="Z842" s="29">
        <v>45254.743055555555</v>
      </c>
      <c r="AA842" s="29">
        <v>45254.777777777781</v>
      </c>
      <c r="AB842" s="30">
        <f t="shared" ref="AB842:AB843" si="785">+AA842-Z842</f>
        <v>3.4722222226264421E-2</v>
      </c>
    </row>
    <row r="843" spans="1:28" x14ac:dyDescent="0.25">
      <c r="A843" s="12">
        <v>45257</v>
      </c>
      <c r="B843" s="80" t="s">
        <v>1653</v>
      </c>
      <c r="C843" s="46">
        <v>45257</v>
      </c>
      <c r="D843" s="80">
        <v>8572068</v>
      </c>
      <c r="E843" s="80" t="s">
        <v>191</v>
      </c>
      <c r="F843" s="80" t="s">
        <v>135</v>
      </c>
      <c r="G843" s="80" t="s">
        <v>192</v>
      </c>
      <c r="H843" s="17">
        <v>5212252</v>
      </c>
      <c r="I843" s="17" t="s">
        <v>23</v>
      </c>
      <c r="J843" s="90" t="s">
        <v>1521</v>
      </c>
      <c r="K843" s="80">
        <v>25</v>
      </c>
      <c r="L843" s="80">
        <v>200</v>
      </c>
      <c r="M843" s="80">
        <f t="shared" si="783"/>
        <v>5000</v>
      </c>
      <c r="N843" s="46">
        <v>45257</v>
      </c>
      <c r="O843" s="80" t="s">
        <v>399</v>
      </c>
      <c r="P843" s="80" t="s">
        <v>144</v>
      </c>
      <c r="Q843" s="80" t="s">
        <v>30</v>
      </c>
      <c r="R843" s="80" t="s">
        <v>906</v>
      </c>
      <c r="S843" s="81">
        <v>241681624222</v>
      </c>
      <c r="T843" s="46">
        <v>45257</v>
      </c>
      <c r="U843" s="50"/>
      <c r="V843" s="80">
        <v>641</v>
      </c>
      <c r="W843" s="29">
        <v>45257.458333333336</v>
      </c>
      <c r="X843" s="29">
        <v>45257.694444444445</v>
      </c>
      <c r="Y843" s="30">
        <f t="shared" si="784"/>
        <v>0.23611111110949423</v>
      </c>
      <c r="Z843" s="29">
        <v>45257.482638888891</v>
      </c>
      <c r="AA843" s="29">
        <v>45257.607638888891</v>
      </c>
      <c r="AB843" s="30">
        <f t="shared" si="785"/>
        <v>0.125</v>
      </c>
    </row>
    <row r="844" spans="1:28" x14ac:dyDescent="0.25">
      <c r="A844" s="12">
        <v>45257</v>
      </c>
      <c r="B844" s="80" t="s">
        <v>1653</v>
      </c>
      <c r="C844" s="46">
        <v>45257</v>
      </c>
      <c r="D844" s="80">
        <v>8601970</v>
      </c>
      <c r="E844" s="80" t="s">
        <v>191</v>
      </c>
      <c r="F844" s="80" t="s">
        <v>135</v>
      </c>
      <c r="G844" s="80" t="s">
        <v>192</v>
      </c>
      <c r="H844" s="17">
        <v>5212259</v>
      </c>
      <c r="I844" s="17" t="s">
        <v>26</v>
      </c>
      <c r="J844" s="90" t="s">
        <v>1606</v>
      </c>
      <c r="K844" s="80">
        <v>25</v>
      </c>
      <c r="L844" s="80">
        <v>200</v>
      </c>
      <c r="M844" s="80">
        <f t="shared" si="783"/>
        <v>5000</v>
      </c>
      <c r="N844" s="46">
        <v>45257</v>
      </c>
      <c r="O844" s="80" t="s">
        <v>399</v>
      </c>
      <c r="P844" s="80" t="s">
        <v>144</v>
      </c>
      <c r="Q844" s="80" t="s">
        <v>30</v>
      </c>
      <c r="R844" s="80" t="s">
        <v>906</v>
      </c>
      <c r="S844" s="81">
        <v>241681624222</v>
      </c>
      <c r="T844" s="46">
        <v>45257</v>
      </c>
      <c r="U844" s="50"/>
      <c r="V844" s="80">
        <v>641</v>
      </c>
      <c r="W844" s="29">
        <v>45257.458333333336</v>
      </c>
      <c r="X844" s="29">
        <v>45257.694444444445</v>
      </c>
      <c r="Y844" s="30">
        <f t="shared" ref="Y844:Y849" si="786">+X844-W844</f>
        <v>0.23611111110949423</v>
      </c>
      <c r="Z844" s="29">
        <v>45257.482638888891</v>
      </c>
      <c r="AA844" s="29">
        <v>45257.607638888891</v>
      </c>
      <c r="AB844" s="30">
        <f t="shared" ref="AB844:AB849" si="787">+AA844-Z844</f>
        <v>0.125</v>
      </c>
    </row>
    <row r="845" spans="1:28" x14ac:dyDescent="0.25">
      <c r="A845" s="12">
        <v>45257</v>
      </c>
      <c r="B845" s="80" t="s">
        <v>1653</v>
      </c>
      <c r="C845" s="46">
        <v>45257</v>
      </c>
      <c r="D845" s="13">
        <v>8054309</v>
      </c>
      <c r="E845" s="80" t="s">
        <v>191</v>
      </c>
      <c r="F845" s="80" t="s">
        <v>135</v>
      </c>
      <c r="G845" s="80" t="s">
        <v>192</v>
      </c>
      <c r="H845" s="17">
        <v>5211013</v>
      </c>
      <c r="I845" s="17" t="s">
        <v>27</v>
      </c>
      <c r="J845" s="90" t="s">
        <v>1149</v>
      </c>
      <c r="K845" s="80">
        <v>25</v>
      </c>
      <c r="L845" s="80">
        <v>452</v>
      </c>
      <c r="M845" s="80">
        <f t="shared" si="783"/>
        <v>11300</v>
      </c>
      <c r="N845" s="46">
        <v>45257</v>
      </c>
      <c r="O845" s="80" t="s">
        <v>399</v>
      </c>
      <c r="P845" s="80" t="s">
        <v>144</v>
      </c>
      <c r="Q845" s="80" t="s">
        <v>30</v>
      </c>
      <c r="R845" s="80" t="s">
        <v>906</v>
      </c>
      <c r="S845" s="81">
        <v>241681624222</v>
      </c>
      <c r="T845" s="46">
        <v>45257</v>
      </c>
      <c r="U845" s="50"/>
      <c r="V845" s="80">
        <v>641</v>
      </c>
      <c r="W845" s="29">
        <v>45257.458333333336</v>
      </c>
      <c r="X845" s="29">
        <v>45257.694444444445</v>
      </c>
      <c r="Y845" s="30">
        <f t="shared" si="786"/>
        <v>0.23611111110949423</v>
      </c>
      <c r="Z845" s="29">
        <v>45257.482638888891</v>
      </c>
      <c r="AA845" s="29">
        <v>45257.607638888891</v>
      </c>
      <c r="AB845" s="30">
        <f t="shared" si="787"/>
        <v>0.125</v>
      </c>
    </row>
    <row r="846" spans="1:28" x14ac:dyDescent="0.25">
      <c r="A846" s="12">
        <v>45257</v>
      </c>
      <c r="B846" s="80" t="s">
        <v>1653</v>
      </c>
      <c r="C846" s="46">
        <v>45257</v>
      </c>
      <c r="D846" s="13">
        <v>8054309</v>
      </c>
      <c r="E846" s="80" t="s">
        <v>191</v>
      </c>
      <c r="F846" s="80" t="s">
        <v>135</v>
      </c>
      <c r="G846" s="80" t="s">
        <v>192</v>
      </c>
      <c r="H846" s="17">
        <v>5211013</v>
      </c>
      <c r="I846" s="17" t="s">
        <v>27</v>
      </c>
      <c r="J846" s="90" t="s">
        <v>1151</v>
      </c>
      <c r="K846" s="80">
        <v>25</v>
      </c>
      <c r="L846" s="80">
        <v>280</v>
      </c>
      <c r="M846" s="80">
        <f t="shared" si="783"/>
        <v>7000</v>
      </c>
      <c r="N846" s="46">
        <v>45257</v>
      </c>
      <c r="O846" s="80" t="s">
        <v>399</v>
      </c>
      <c r="P846" s="80" t="s">
        <v>144</v>
      </c>
      <c r="Q846" s="80" t="s">
        <v>30</v>
      </c>
      <c r="R846" s="80" t="s">
        <v>906</v>
      </c>
      <c r="S846" s="81">
        <v>241681624222</v>
      </c>
      <c r="T846" s="46">
        <v>45257</v>
      </c>
      <c r="U846" s="50"/>
      <c r="V846" s="80">
        <v>641</v>
      </c>
      <c r="W846" s="29">
        <v>45257.458333333336</v>
      </c>
      <c r="X846" s="29">
        <v>45257.694444444445</v>
      </c>
      <c r="Y846" s="30">
        <f t="shared" si="786"/>
        <v>0.23611111110949423</v>
      </c>
      <c r="Z846" s="29">
        <v>45257.482638888891</v>
      </c>
      <c r="AA846" s="29">
        <v>45257.607638888891</v>
      </c>
      <c r="AB846" s="30">
        <f t="shared" si="787"/>
        <v>0.125</v>
      </c>
    </row>
    <row r="847" spans="1:28" x14ac:dyDescent="0.25">
      <c r="A847" s="12">
        <v>45257</v>
      </c>
      <c r="B847" s="80" t="s">
        <v>1653</v>
      </c>
      <c r="C847" s="46">
        <v>45257</v>
      </c>
      <c r="D847" s="13">
        <v>7933011</v>
      </c>
      <c r="E847" s="80" t="s">
        <v>191</v>
      </c>
      <c r="F847" s="80" t="s">
        <v>135</v>
      </c>
      <c r="G847" s="80" t="s">
        <v>192</v>
      </c>
      <c r="H847" s="17">
        <v>5211013</v>
      </c>
      <c r="I847" s="17" t="s">
        <v>27</v>
      </c>
      <c r="J847" s="90" t="s">
        <v>1151</v>
      </c>
      <c r="K847" s="80">
        <v>25</v>
      </c>
      <c r="L847" s="80">
        <v>68</v>
      </c>
      <c r="M847" s="80">
        <f t="shared" si="783"/>
        <v>1700</v>
      </c>
      <c r="N847" s="46">
        <v>45257</v>
      </c>
      <c r="O847" s="80" t="s">
        <v>399</v>
      </c>
      <c r="P847" s="80" t="s">
        <v>144</v>
      </c>
      <c r="Q847" s="80" t="s">
        <v>30</v>
      </c>
      <c r="R847" s="80" t="s">
        <v>906</v>
      </c>
      <c r="S847" s="81">
        <v>241681624222</v>
      </c>
      <c r="T847" s="46">
        <v>45257</v>
      </c>
      <c r="U847" s="50"/>
      <c r="V847" s="80">
        <v>641</v>
      </c>
      <c r="W847" s="29">
        <v>45257.458333333336</v>
      </c>
      <c r="X847" s="29">
        <v>45257.694444444445</v>
      </c>
      <c r="Y847" s="30">
        <f t="shared" si="786"/>
        <v>0.23611111110949423</v>
      </c>
      <c r="Z847" s="29">
        <v>45257.482638888891</v>
      </c>
      <c r="AA847" s="29">
        <v>45257.607638888891</v>
      </c>
      <c r="AB847" s="30">
        <f t="shared" si="787"/>
        <v>0.125</v>
      </c>
    </row>
    <row r="848" spans="1:28" x14ac:dyDescent="0.25">
      <c r="A848" s="12">
        <v>45257</v>
      </c>
      <c r="B848" s="80" t="s">
        <v>1654</v>
      </c>
      <c r="C848" s="20">
        <v>45257</v>
      </c>
      <c r="D848" s="13">
        <v>8169767</v>
      </c>
      <c r="E848" s="80" t="s">
        <v>214</v>
      </c>
      <c r="F848" s="80" t="s">
        <v>215</v>
      </c>
      <c r="G848" s="80" t="s">
        <v>132</v>
      </c>
      <c r="H848" s="17">
        <v>5230874</v>
      </c>
      <c r="I848" s="17" t="s">
        <v>1316</v>
      </c>
      <c r="J848" s="14" t="s">
        <v>1296</v>
      </c>
      <c r="K848" s="80">
        <v>250</v>
      </c>
      <c r="L848" s="80">
        <v>32</v>
      </c>
      <c r="M848" s="80">
        <f t="shared" si="783"/>
        <v>8000</v>
      </c>
      <c r="N848" s="20">
        <v>45257</v>
      </c>
      <c r="O848" s="80" t="s">
        <v>136</v>
      </c>
      <c r="P848" s="80" t="s">
        <v>134</v>
      </c>
      <c r="Q848" s="123">
        <v>2682</v>
      </c>
      <c r="R848" s="80" t="s">
        <v>1388</v>
      </c>
      <c r="S848" s="81">
        <v>211681763498</v>
      </c>
      <c r="T848" s="20">
        <v>45257</v>
      </c>
      <c r="U848" s="123"/>
      <c r="V848" s="80">
        <v>642</v>
      </c>
      <c r="W848" s="29">
        <v>45257.625</v>
      </c>
      <c r="X848" s="29">
        <v>45257.708333333336</v>
      </c>
      <c r="Y848" s="30">
        <f t="shared" si="786"/>
        <v>8.3333333335758653E-2</v>
      </c>
      <c r="Z848" s="29">
        <v>45257.666666666664</v>
      </c>
      <c r="AA848" s="29">
        <v>45257.708333333336</v>
      </c>
      <c r="AB848" s="30">
        <f t="shared" si="787"/>
        <v>4.1666666671517305E-2</v>
      </c>
    </row>
    <row r="849" spans="1:28" x14ac:dyDescent="0.25">
      <c r="A849" s="12">
        <v>45257</v>
      </c>
      <c r="B849" s="80" t="s">
        <v>1655</v>
      </c>
      <c r="C849" s="20">
        <v>45257</v>
      </c>
      <c r="D849" s="80">
        <v>8601970</v>
      </c>
      <c r="E849" s="80" t="s">
        <v>191</v>
      </c>
      <c r="F849" s="80" t="s">
        <v>135</v>
      </c>
      <c r="G849" s="80" t="s">
        <v>192</v>
      </c>
      <c r="H849" s="17">
        <v>5212259</v>
      </c>
      <c r="I849" s="17" t="s">
        <v>26</v>
      </c>
      <c r="J849" s="97" t="s">
        <v>1606</v>
      </c>
      <c r="K849" s="80">
        <v>25</v>
      </c>
      <c r="L849" s="80">
        <v>3</v>
      </c>
      <c r="M849" s="80">
        <f t="shared" si="783"/>
        <v>75</v>
      </c>
      <c r="N849" s="20">
        <v>45257</v>
      </c>
      <c r="O849" s="80" t="s">
        <v>399</v>
      </c>
      <c r="P849" s="80" t="s">
        <v>144</v>
      </c>
      <c r="Q849" s="80" t="s">
        <v>30</v>
      </c>
      <c r="R849" s="80" t="s">
        <v>638</v>
      </c>
      <c r="S849" s="81">
        <v>221681808086</v>
      </c>
      <c r="T849" s="20">
        <v>45257</v>
      </c>
      <c r="U849" s="123"/>
      <c r="V849" s="80">
        <v>643</v>
      </c>
      <c r="W849" s="29">
        <v>45257.541666666664</v>
      </c>
      <c r="X849" s="29">
        <v>45257.916666666664</v>
      </c>
      <c r="Y849" s="30">
        <f t="shared" si="786"/>
        <v>0.375</v>
      </c>
      <c r="Z849" s="29">
        <v>45257.791666666664</v>
      </c>
      <c r="AA849" s="29">
        <v>45257.913194444445</v>
      </c>
      <c r="AB849" s="30">
        <f t="shared" si="787"/>
        <v>0.12152777778101154</v>
      </c>
    </row>
    <row r="850" spans="1:28" x14ac:dyDescent="0.25">
      <c r="A850" s="12">
        <v>45257</v>
      </c>
      <c r="B850" s="80" t="s">
        <v>1655</v>
      </c>
      <c r="C850" s="20">
        <v>45257</v>
      </c>
      <c r="D850" s="80">
        <v>8601970</v>
      </c>
      <c r="E850" s="80" t="s">
        <v>191</v>
      </c>
      <c r="F850" s="80" t="s">
        <v>135</v>
      </c>
      <c r="G850" s="80" t="s">
        <v>192</v>
      </c>
      <c r="H850" s="17">
        <v>5212259</v>
      </c>
      <c r="I850" s="17" t="s">
        <v>26</v>
      </c>
      <c r="J850" s="123" t="s">
        <v>1596</v>
      </c>
      <c r="K850" s="80">
        <v>25</v>
      </c>
      <c r="L850" s="80">
        <v>277</v>
      </c>
      <c r="M850" s="80">
        <f t="shared" ref="M850" si="788">K850*L850</f>
        <v>6925</v>
      </c>
      <c r="N850" s="20">
        <v>45257</v>
      </c>
      <c r="O850" s="80" t="s">
        <v>399</v>
      </c>
      <c r="P850" s="80" t="s">
        <v>144</v>
      </c>
      <c r="Q850" s="80" t="s">
        <v>30</v>
      </c>
      <c r="R850" s="80" t="s">
        <v>638</v>
      </c>
      <c r="S850" s="81">
        <v>221681808086</v>
      </c>
      <c r="T850" s="20">
        <v>45257</v>
      </c>
      <c r="U850" s="123"/>
      <c r="V850" s="80">
        <v>643</v>
      </c>
      <c r="W850" s="29">
        <v>45257.541666666664</v>
      </c>
      <c r="X850" s="29">
        <v>45257.916666666664</v>
      </c>
      <c r="Y850" s="30">
        <f t="shared" ref="Y850" si="789">+X850-W850</f>
        <v>0.375</v>
      </c>
      <c r="Z850" s="29">
        <v>45257.791666666664</v>
      </c>
      <c r="AA850" s="29">
        <v>45257.913194444445</v>
      </c>
      <c r="AB850" s="30">
        <f t="shared" ref="AB850" si="790">+AA850-Z850</f>
        <v>0.12152777778101154</v>
      </c>
    </row>
    <row r="851" spans="1:28" x14ac:dyDescent="0.25">
      <c r="A851" s="12">
        <v>45257</v>
      </c>
      <c r="B851" s="80" t="s">
        <v>1655</v>
      </c>
      <c r="C851" s="20">
        <v>45257</v>
      </c>
      <c r="D851" s="80">
        <v>8572068</v>
      </c>
      <c r="E851" s="80" t="s">
        <v>191</v>
      </c>
      <c r="F851" s="80" t="s">
        <v>135</v>
      </c>
      <c r="G851" s="80" t="s">
        <v>192</v>
      </c>
      <c r="H851" s="17">
        <v>5212252</v>
      </c>
      <c r="I851" s="17" t="s">
        <v>23</v>
      </c>
      <c r="J851" s="80" t="s">
        <v>1521</v>
      </c>
      <c r="K851" s="80">
        <v>25</v>
      </c>
      <c r="L851" s="80">
        <v>400</v>
      </c>
      <c r="M851" s="80">
        <f t="shared" ref="M851:M872" si="791">K851*L851</f>
        <v>10000</v>
      </c>
      <c r="N851" s="20">
        <v>45257</v>
      </c>
      <c r="O851" s="80" t="s">
        <v>399</v>
      </c>
      <c r="P851" s="80" t="s">
        <v>144</v>
      </c>
      <c r="Q851" s="80" t="s">
        <v>30</v>
      </c>
      <c r="R851" s="80" t="s">
        <v>638</v>
      </c>
      <c r="S851" s="81">
        <v>221681808086</v>
      </c>
      <c r="T851" s="20">
        <v>45257</v>
      </c>
      <c r="U851" s="123"/>
      <c r="V851" s="80">
        <v>643</v>
      </c>
      <c r="W851" s="29">
        <v>45257.541666666664</v>
      </c>
      <c r="X851" s="29">
        <v>45257.916666666664</v>
      </c>
      <c r="Y851" s="30">
        <f t="shared" ref="Y851:Y854" si="792">+X851-W851</f>
        <v>0.375</v>
      </c>
      <c r="Z851" s="29">
        <v>45257.791666666664</v>
      </c>
      <c r="AA851" s="29">
        <v>45257.913194444445</v>
      </c>
      <c r="AB851" s="30">
        <f t="shared" ref="AB851:AB854" si="793">+AA851-Z851</f>
        <v>0.12152777778101154</v>
      </c>
    </row>
    <row r="852" spans="1:28" x14ac:dyDescent="0.25">
      <c r="A852" s="12">
        <v>45257</v>
      </c>
      <c r="B852" s="80" t="s">
        <v>1655</v>
      </c>
      <c r="C852" s="20">
        <v>45257</v>
      </c>
      <c r="D852" s="80">
        <v>8745118</v>
      </c>
      <c r="E852" s="80" t="s">
        <v>191</v>
      </c>
      <c r="F852" s="80" t="s">
        <v>135</v>
      </c>
      <c r="G852" s="80" t="s">
        <v>192</v>
      </c>
      <c r="H852" s="17" t="s">
        <v>1607</v>
      </c>
      <c r="I852" s="17" t="s">
        <v>29</v>
      </c>
      <c r="J852" s="123" t="s">
        <v>1594</v>
      </c>
      <c r="K852" s="80">
        <v>25</v>
      </c>
      <c r="L852" s="80">
        <v>520</v>
      </c>
      <c r="M852" s="80">
        <f t="shared" si="791"/>
        <v>13000</v>
      </c>
      <c r="N852" s="20">
        <v>45257</v>
      </c>
      <c r="O852" s="80" t="s">
        <v>399</v>
      </c>
      <c r="P852" s="80" t="s">
        <v>144</v>
      </c>
      <c r="Q852" s="80" t="s">
        <v>30</v>
      </c>
      <c r="R852" s="80" t="s">
        <v>638</v>
      </c>
      <c r="S852" s="81">
        <v>221681808086</v>
      </c>
      <c r="T852" s="20">
        <v>45257</v>
      </c>
      <c r="U852" s="123"/>
      <c r="V852" s="80">
        <v>643</v>
      </c>
      <c r="W852" s="29">
        <v>45257.541666666664</v>
      </c>
      <c r="X852" s="29">
        <v>45257.916666666664</v>
      </c>
      <c r="Y852" s="30">
        <f t="shared" si="792"/>
        <v>0.375</v>
      </c>
      <c r="Z852" s="29">
        <v>45257.791666666664</v>
      </c>
      <c r="AA852" s="29">
        <v>45257.913194444445</v>
      </c>
      <c r="AB852" s="30">
        <f t="shared" si="793"/>
        <v>0.12152777778101154</v>
      </c>
    </row>
    <row r="853" spans="1:28" x14ac:dyDescent="0.25">
      <c r="A853" s="12">
        <v>45258</v>
      </c>
      <c r="B853" s="80" t="s">
        <v>1656</v>
      </c>
      <c r="C853" s="20">
        <v>45258</v>
      </c>
      <c r="D853" s="80">
        <v>8572068</v>
      </c>
      <c r="E853" s="80" t="s">
        <v>191</v>
      </c>
      <c r="F853" s="80" t="s">
        <v>135</v>
      </c>
      <c r="G853" s="80" t="s">
        <v>192</v>
      </c>
      <c r="H853" s="17">
        <v>5212252</v>
      </c>
      <c r="I853" s="17" t="s">
        <v>23</v>
      </c>
      <c r="J853" s="80" t="s">
        <v>1534</v>
      </c>
      <c r="K853" s="80">
        <v>25</v>
      </c>
      <c r="L853" s="80">
        <v>400</v>
      </c>
      <c r="M853" s="80">
        <f t="shared" si="791"/>
        <v>10000</v>
      </c>
      <c r="N853" s="20">
        <v>45258</v>
      </c>
      <c r="O853" s="80" t="s">
        <v>136</v>
      </c>
      <c r="P853" s="80" t="s">
        <v>134</v>
      </c>
      <c r="Q853" s="123">
        <v>2678</v>
      </c>
      <c r="R853" s="80" t="s">
        <v>1657</v>
      </c>
      <c r="S853" s="81">
        <v>261682268421</v>
      </c>
      <c r="T853" s="20">
        <v>45258</v>
      </c>
      <c r="U853" s="123"/>
      <c r="V853" s="80">
        <v>644</v>
      </c>
      <c r="W853" s="29">
        <v>45258.5</v>
      </c>
      <c r="X853" s="29">
        <v>45258.8125</v>
      </c>
      <c r="Y853" s="30">
        <f t="shared" si="792"/>
        <v>0.3125</v>
      </c>
      <c r="Z853" s="29">
        <v>45258.708333333336</v>
      </c>
      <c r="AA853" s="29">
        <v>45258.777777777781</v>
      </c>
      <c r="AB853" s="30">
        <f t="shared" si="793"/>
        <v>6.9444444445252884E-2</v>
      </c>
    </row>
    <row r="854" spans="1:28" x14ac:dyDescent="0.25">
      <c r="A854" s="12">
        <v>45258</v>
      </c>
      <c r="B854" s="80" t="s">
        <v>1658</v>
      </c>
      <c r="C854" s="20">
        <v>45257</v>
      </c>
      <c r="D854" s="80">
        <v>8606264</v>
      </c>
      <c r="E854" s="80" t="s">
        <v>523</v>
      </c>
      <c r="F854" s="80" t="s">
        <v>524</v>
      </c>
      <c r="G854" s="80" t="s">
        <v>192</v>
      </c>
      <c r="H854" s="17">
        <v>5212256</v>
      </c>
      <c r="I854" s="17" t="s">
        <v>22</v>
      </c>
      <c r="J854" s="80" t="s">
        <v>1601</v>
      </c>
      <c r="K854" s="80">
        <v>25</v>
      </c>
      <c r="L854" s="80">
        <v>240</v>
      </c>
      <c r="M854" s="80">
        <f t="shared" si="791"/>
        <v>6000</v>
      </c>
      <c r="N854" s="20">
        <v>45258</v>
      </c>
      <c r="O854" s="80" t="s">
        <v>271</v>
      </c>
      <c r="P854" s="80" t="s">
        <v>134</v>
      </c>
      <c r="Q854" s="123">
        <v>2683</v>
      </c>
      <c r="R854" s="80" t="s">
        <v>1659</v>
      </c>
      <c r="S854" s="81">
        <v>281682273856</v>
      </c>
      <c r="T854" s="20">
        <v>45258</v>
      </c>
      <c r="U854" s="123"/>
      <c r="V854" s="80">
        <v>645</v>
      </c>
      <c r="W854" s="29">
        <v>45258.472222222219</v>
      </c>
      <c r="X854" s="29">
        <v>45258.743055555555</v>
      </c>
      <c r="Y854" s="30">
        <f t="shared" si="792"/>
        <v>0.27083333333575865</v>
      </c>
      <c r="Z854" s="29">
        <v>45258.694444444445</v>
      </c>
      <c r="AA854" s="29">
        <v>45258.736111111109</v>
      </c>
      <c r="AB854" s="30">
        <f t="shared" si="793"/>
        <v>4.1666666664241347E-2</v>
      </c>
    </row>
    <row r="855" spans="1:28" x14ac:dyDescent="0.25">
      <c r="A855" s="12">
        <v>45258</v>
      </c>
      <c r="B855" s="80" t="s">
        <v>1658</v>
      </c>
      <c r="C855" s="20">
        <v>45257</v>
      </c>
      <c r="D855" s="80">
        <v>8590364</v>
      </c>
      <c r="E855" s="80" t="s">
        <v>523</v>
      </c>
      <c r="F855" s="80" t="s">
        <v>524</v>
      </c>
      <c r="G855" s="80" t="s">
        <v>192</v>
      </c>
      <c r="H855" s="17">
        <v>5212252</v>
      </c>
      <c r="I855" s="17" t="s">
        <v>23</v>
      </c>
      <c r="J855" s="80" t="s">
        <v>1521</v>
      </c>
      <c r="K855" s="80">
        <v>25</v>
      </c>
      <c r="L855" s="80">
        <v>133</v>
      </c>
      <c r="M855" s="80">
        <v>3325</v>
      </c>
      <c r="N855" s="20">
        <v>45258</v>
      </c>
      <c r="O855" s="80" t="s">
        <v>271</v>
      </c>
      <c r="P855" s="80" t="s">
        <v>134</v>
      </c>
      <c r="Q855" s="123">
        <v>2683</v>
      </c>
      <c r="R855" s="80" t="s">
        <v>1659</v>
      </c>
      <c r="S855" s="81">
        <v>281682273856</v>
      </c>
      <c r="T855" s="20">
        <v>45258</v>
      </c>
      <c r="U855" s="123"/>
      <c r="V855" s="80">
        <v>645</v>
      </c>
      <c r="W855" s="29">
        <v>45258.472222222219</v>
      </c>
      <c r="X855" s="29">
        <v>45258.743055555555</v>
      </c>
      <c r="Y855" s="30">
        <f t="shared" ref="Y855:Y864" si="794">+X855-W855</f>
        <v>0.27083333333575865</v>
      </c>
      <c r="Z855" s="29">
        <v>45258.694444444445</v>
      </c>
      <c r="AA855" s="29">
        <v>45258.736111111109</v>
      </c>
      <c r="AB855" s="30">
        <f t="shared" ref="AB855:AB864" si="795">+AA855-Z855</f>
        <v>4.1666666664241347E-2</v>
      </c>
    </row>
    <row r="856" spans="1:28" x14ac:dyDescent="0.25">
      <c r="A856" s="12">
        <v>45258</v>
      </c>
      <c r="B856" s="80" t="s">
        <v>1658</v>
      </c>
      <c r="C856" s="20">
        <v>45257</v>
      </c>
      <c r="D856" s="80">
        <v>8572068</v>
      </c>
      <c r="E856" s="80" t="s">
        <v>523</v>
      </c>
      <c r="F856" s="80" t="s">
        <v>524</v>
      </c>
      <c r="G856" s="80" t="s">
        <v>192</v>
      </c>
      <c r="H856" s="17">
        <v>5212252</v>
      </c>
      <c r="I856" s="17" t="s">
        <v>23</v>
      </c>
      <c r="J856" s="80" t="s">
        <v>1534</v>
      </c>
      <c r="K856" s="80">
        <v>25</v>
      </c>
      <c r="L856" s="80">
        <v>427</v>
      </c>
      <c r="M856" s="80">
        <f t="shared" si="791"/>
        <v>10675</v>
      </c>
      <c r="N856" s="20">
        <v>45258</v>
      </c>
      <c r="O856" s="80" t="s">
        <v>271</v>
      </c>
      <c r="P856" s="80" t="s">
        <v>134</v>
      </c>
      <c r="Q856" s="123">
        <v>2683</v>
      </c>
      <c r="R856" s="80" t="s">
        <v>1659</v>
      </c>
      <c r="S856" s="81">
        <v>281682273856</v>
      </c>
      <c r="T856" s="20">
        <v>45258</v>
      </c>
      <c r="U856" s="123"/>
      <c r="V856" s="80">
        <v>645</v>
      </c>
      <c r="W856" s="29">
        <v>45258.472222222219</v>
      </c>
      <c r="X856" s="29">
        <v>45258.743055555555</v>
      </c>
      <c r="Y856" s="30">
        <f t="shared" si="794"/>
        <v>0.27083333333575865</v>
      </c>
      <c r="Z856" s="29">
        <v>45258.694444444445</v>
      </c>
      <c r="AA856" s="29">
        <v>45258.736111111109</v>
      </c>
      <c r="AB856" s="30">
        <f t="shared" si="795"/>
        <v>4.1666666664241347E-2</v>
      </c>
    </row>
    <row r="857" spans="1:28" x14ac:dyDescent="0.25">
      <c r="A857" s="12">
        <v>45258</v>
      </c>
      <c r="B857" s="80" t="s">
        <v>1660</v>
      </c>
      <c r="C857" s="20">
        <v>45258</v>
      </c>
      <c r="D857" s="80">
        <v>8572068</v>
      </c>
      <c r="E857" s="80" t="s">
        <v>191</v>
      </c>
      <c r="F857" s="80" t="s">
        <v>135</v>
      </c>
      <c r="G857" s="80" t="s">
        <v>192</v>
      </c>
      <c r="H857" s="17">
        <v>5212252</v>
      </c>
      <c r="I857" s="17" t="s">
        <v>23</v>
      </c>
      <c r="J857" s="80" t="s">
        <v>1534</v>
      </c>
      <c r="K857" s="80">
        <v>25</v>
      </c>
      <c r="L857" s="80">
        <v>60</v>
      </c>
      <c r="M857" s="80">
        <f t="shared" si="791"/>
        <v>1500</v>
      </c>
      <c r="N857" s="20">
        <v>45258</v>
      </c>
      <c r="O857" s="80" t="s">
        <v>271</v>
      </c>
      <c r="P857" s="80" t="s">
        <v>144</v>
      </c>
      <c r="Q857" s="85" t="s">
        <v>30</v>
      </c>
      <c r="R857" s="80" t="s">
        <v>1661</v>
      </c>
      <c r="S857" s="81">
        <v>221682358957</v>
      </c>
      <c r="T857" s="20">
        <v>45258</v>
      </c>
      <c r="U857" s="123"/>
      <c r="V857" s="80">
        <v>646</v>
      </c>
      <c r="W857" s="29">
        <v>45258.5</v>
      </c>
      <c r="X857" s="29">
        <v>45258.847222222219</v>
      </c>
      <c r="Y857" s="30">
        <f t="shared" si="794"/>
        <v>0.34722222221898846</v>
      </c>
      <c r="Z857" s="29">
        <v>45258.78125</v>
      </c>
      <c r="AA857" s="29">
        <v>45258.847222222219</v>
      </c>
      <c r="AB857" s="30">
        <f t="shared" si="795"/>
        <v>6.5972222218988463E-2</v>
      </c>
    </row>
    <row r="858" spans="1:28" x14ac:dyDescent="0.25">
      <c r="A858" s="12">
        <v>45258</v>
      </c>
      <c r="B858" s="80" t="s">
        <v>1660</v>
      </c>
      <c r="C858" s="20">
        <v>45258</v>
      </c>
      <c r="D858" s="80">
        <v>8477407</v>
      </c>
      <c r="E858" s="80" t="s">
        <v>191</v>
      </c>
      <c r="F858" s="80" t="s">
        <v>135</v>
      </c>
      <c r="G858" s="80" t="s">
        <v>192</v>
      </c>
      <c r="H858" s="17">
        <v>5212252</v>
      </c>
      <c r="I858" s="17" t="s">
        <v>23</v>
      </c>
      <c r="J858" s="80" t="s">
        <v>1533</v>
      </c>
      <c r="K858" s="80">
        <v>25</v>
      </c>
      <c r="L858" s="80">
        <v>940</v>
      </c>
      <c r="M858" s="80">
        <f t="shared" ref="M858" si="796">K858*L858</f>
        <v>23500</v>
      </c>
      <c r="N858" s="20">
        <v>45258</v>
      </c>
      <c r="O858" s="80" t="s">
        <v>271</v>
      </c>
      <c r="P858" s="80" t="s">
        <v>144</v>
      </c>
      <c r="Q858" s="85" t="s">
        <v>30</v>
      </c>
      <c r="R858" s="80" t="s">
        <v>1661</v>
      </c>
      <c r="S858" s="81">
        <v>221682358957</v>
      </c>
      <c r="T858" s="20">
        <v>45258</v>
      </c>
      <c r="U858" s="123"/>
      <c r="V858" s="80">
        <v>646</v>
      </c>
      <c r="W858" s="29">
        <v>45258.5</v>
      </c>
      <c r="X858" s="29">
        <v>45258.847222222219</v>
      </c>
      <c r="Y858" s="30">
        <f t="shared" ref="Y858" si="797">+X858-W858</f>
        <v>0.34722222221898846</v>
      </c>
      <c r="Z858" s="29">
        <v>45258.78125</v>
      </c>
      <c r="AA858" s="29">
        <v>45258.847222222219</v>
      </c>
      <c r="AB858" s="30">
        <f t="shared" ref="AB858" si="798">+AA858-Z858</f>
        <v>6.5972222218988463E-2</v>
      </c>
    </row>
    <row r="859" spans="1:28" x14ac:dyDescent="0.25">
      <c r="A859" s="12">
        <v>45258</v>
      </c>
      <c r="B859" s="80" t="s">
        <v>1662</v>
      </c>
      <c r="C859" s="20">
        <v>45258</v>
      </c>
      <c r="D859" s="13">
        <v>8169768</v>
      </c>
      <c r="E859" s="80" t="s">
        <v>1410</v>
      </c>
      <c r="F859" s="80" t="s">
        <v>268</v>
      </c>
      <c r="G859" s="80" t="s">
        <v>132</v>
      </c>
      <c r="H859" s="17">
        <v>5230874</v>
      </c>
      <c r="I859" s="17" t="s">
        <v>1316</v>
      </c>
      <c r="J859" s="14" t="s">
        <v>1292</v>
      </c>
      <c r="K859" s="80">
        <v>250</v>
      </c>
      <c r="L859" s="80">
        <v>4</v>
      </c>
      <c r="M859" s="80">
        <f t="shared" si="791"/>
        <v>1000</v>
      </c>
      <c r="N859" s="20">
        <v>45258</v>
      </c>
      <c r="O859" s="80" t="s">
        <v>136</v>
      </c>
      <c r="P859" s="80" t="s">
        <v>134</v>
      </c>
      <c r="Q859" s="85">
        <v>2684</v>
      </c>
      <c r="R859" s="80" t="s">
        <v>1663</v>
      </c>
      <c r="S859" s="81">
        <v>241682278929</v>
      </c>
      <c r="T859" s="20">
        <v>45258</v>
      </c>
      <c r="U859" s="123"/>
      <c r="V859" s="80">
        <v>647</v>
      </c>
      <c r="W859" s="29">
        <v>45258.604166666664</v>
      </c>
      <c r="X859" s="29">
        <v>45258.791666666664</v>
      </c>
      <c r="Y859" s="30">
        <f t="shared" si="794"/>
        <v>0.1875</v>
      </c>
      <c r="Z859" s="29">
        <v>45258.75</v>
      </c>
      <c r="AA859" s="29">
        <v>45258.791666666664</v>
      </c>
      <c r="AB859" s="30">
        <f t="shared" si="795"/>
        <v>4.1666666664241347E-2</v>
      </c>
    </row>
    <row r="860" spans="1:28" x14ac:dyDescent="0.25">
      <c r="A860" s="12">
        <v>45258</v>
      </c>
      <c r="B860" s="80" t="s">
        <v>1662</v>
      </c>
      <c r="C860" s="20">
        <v>45258</v>
      </c>
      <c r="D860" s="13">
        <v>8169767</v>
      </c>
      <c r="E860" s="80" t="s">
        <v>1410</v>
      </c>
      <c r="F860" s="80" t="s">
        <v>268</v>
      </c>
      <c r="G860" s="80" t="s">
        <v>132</v>
      </c>
      <c r="H860" s="17">
        <v>5230874</v>
      </c>
      <c r="I860" s="17" t="s">
        <v>1316</v>
      </c>
      <c r="J860" s="14" t="s">
        <v>1287</v>
      </c>
      <c r="K860" s="80">
        <v>250</v>
      </c>
      <c r="L860" s="80">
        <v>28</v>
      </c>
      <c r="M860" s="80">
        <f t="shared" ref="M860:M862" si="799">K860*L860</f>
        <v>7000</v>
      </c>
      <c r="N860" s="20">
        <v>45258</v>
      </c>
      <c r="O860" s="80" t="s">
        <v>136</v>
      </c>
      <c r="P860" s="80" t="s">
        <v>134</v>
      </c>
      <c r="Q860" s="85">
        <v>2684</v>
      </c>
      <c r="R860" s="80" t="s">
        <v>1663</v>
      </c>
      <c r="S860" s="81">
        <v>241682278929</v>
      </c>
      <c r="T860" s="20">
        <v>45258</v>
      </c>
      <c r="U860" s="123"/>
      <c r="V860" s="80">
        <v>647</v>
      </c>
      <c r="W860" s="29">
        <v>45258.604166666664</v>
      </c>
      <c r="X860" s="29">
        <v>45258.791666666664</v>
      </c>
      <c r="Y860" s="30">
        <f t="shared" ref="Y860:Y862" si="800">+X860-W860</f>
        <v>0.1875</v>
      </c>
      <c r="Z860" s="29">
        <v>45258.75</v>
      </c>
      <c r="AA860" s="29">
        <v>45258.791666666664</v>
      </c>
      <c r="AB860" s="30">
        <f t="shared" ref="AB860:AB862" si="801">+AA860-Z860</f>
        <v>4.1666666664241347E-2</v>
      </c>
    </row>
    <row r="861" spans="1:28" x14ac:dyDescent="0.25">
      <c r="A861" s="12">
        <v>45258</v>
      </c>
      <c r="B861" s="80" t="s">
        <v>1662</v>
      </c>
      <c r="C861" s="20">
        <v>45258</v>
      </c>
      <c r="D861" s="13">
        <v>8169767</v>
      </c>
      <c r="E861" s="80" t="s">
        <v>1410</v>
      </c>
      <c r="F861" s="80" t="s">
        <v>268</v>
      </c>
      <c r="G861" s="80" t="s">
        <v>132</v>
      </c>
      <c r="H861" s="17">
        <v>5230874</v>
      </c>
      <c r="I861" s="17" t="s">
        <v>1316</v>
      </c>
      <c r="J861" s="14" t="s">
        <v>1296</v>
      </c>
      <c r="K861" s="80">
        <v>250</v>
      </c>
      <c r="L861" s="80">
        <v>4</v>
      </c>
      <c r="M861" s="80">
        <f t="shared" si="799"/>
        <v>1000</v>
      </c>
      <c r="N861" s="20">
        <v>45258</v>
      </c>
      <c r="O861" s="80" t="s">
        <v>136</v>
      </c>
      <c r="P861" s="80" t="s">
        <v>134</v>
      </c>
      <c r="Q861" s="85">
        <v>2684</v>
      </c>
      <c r="R861" s="80" t="s">
        <v>1663</v>
      </c>
      <c r="S861" s="81">
        <v>241682278929</v>
      </c>
      <c r="T861" s="20">
        <v>45258</v>
      </c>
      <c r="U861" s="123"/>
      <c r="V861" s="80">
        <v>647</v>
      </c>
      <c r="W861" s="29">
        <v>45258.604166666664</v>
      </c>
      <c r="X861" s="29">
        <v>45258.791666666664</v>
      </c>
      <c r="Y861" s="30">
        <f t="shared" si="800"/>
        <v>0.1875</v>
      </c>
      <c r="Z861" s="29">
        <v>45258.75</v>
      </c>
      <c r="AA861" s="29">
        <v>45258.791666666664</v>
      </c>
      <c r="AB861" s="30">
        <f t="shared" si="801"/>
        <v>4.1666666664241347E-2</v>
      </c>
    </row>
    <row r="862" spans="1:28" x14ac:dyDescent="0.25">
      <c r="A862" s="12">
        <v>45258</v>
      </c>
      <c r="B862" s="80" t="s">
        <v>1662</v>
      </c>
      <c r="C862" s="20">
        <v>45258</v>
      </c>
      <c r="D862" s="80">
        <v>8734862</v>
      </c>
      <c r="E862" s="80" t="s">
        <v>1410</v>
      </c>
      <c r="F862" s="80" t="s">
        <v>268</v>
      </c>
      <c r="G862" s="80" t="s">
        <v>132</v>
      </c>
      <c r="H862" s="17">
        <v>5230874</v>
      </c>
      <c r="I862" s="17" t="s">
        <v>1316</v>
      </c>
      <c r="J862" s="97" t="s">
        <v>1559</v>
      </c>
      <c r="K862" s="80">
        <v>250</v>
      </c>
      <c r="L862" s="80">
        <v>4</v>
      </c>
      <c r="M862" s="80">
        <f t="shared" si="799"/>
        <v>1000</v>
      </c>
      <c r="N862" s="20">
        <v>45258</v>
      </c>
      <c r="O862" s="80" t="s">
        <v>136</v>
      </c>
      <c r="P862" s="80" t="s">
        <v>134</v>
      </c>
      <c r="Q862" s="85">
        <v>2684</v>
      </c>
      <c r="R862" s="80" t="s">
        <v>1663</v>
      </c>
      <c r="S862" s="81">
        <v>241682278929</v>
      </c>
      <c r="T862" s="20">
        <v>45258</v>
      </c>
      <c r="U862" s="123"/>
      <c r="V862" s="80">
        <v>647</v>
      </c>
      <c r="W862" s="29">
        <v>45258.604166666664</v>
      </c>
      <c r="X862" s="29">
        <v>45258.791666666664</v>
      </c>
      <c r="Y862" s="30">
        <f t="shared" si="800"/>
        <v>0.1875</v>
      </c>
      <c r="Z862" s="29">
        <v>45258.75</v>
      </c>
      <c r="AA862" s="29">
        <v>45258.791666666664</v>
      </c>
      <c r="AB862" s="30">
        <f t="shared" si="801"/>
        <v>4.1666666664241347E-2</v>
      </c>
    </row>
    <row r="863" spans="1:28" x14ac:dyDescent="0.25">
      <c r="A863" s="12">
        <v>45258</v>
      </c>
      <c r="B863" s="80" t="s">
        <v>1666</v>
      </c>
      <c r="C863" s="20">
        <v>45258</v>
      </c>
      <c r="D863" s="80">
        <v>8381635</v>
      </c>
      <c r="E863" s="80" t="s">
        <v>1667</v>
      </c>
      <c r="F863" s="80" t="s">
        <v>680</v>
      </c>
      <c r="G863" s="80" t="s">
        <v>192</v>
      </c>
      <c r="H863" s="17">
        <v>5205449</v>
      </c>
      <c r="I863" s="17" t="s">
        <v>39</v>
      </c>
      <c r="J863" s="80">
        <v>1230455862</v>
      </c>
      <c r="K863" s="80">
        <v>25</v>
      </c>
      <c r="L863" s="80">
        <v>400</v>
      </c>
      <c r="M863" s="80">
        <f t="shared" si="791"/>
        <v>10000</v>
      </c>
      <c r="N863" s="20">
        <v>45258</v>
      </c>
      <c r="O863" s="80" t="s">
        <v>136</v>
      </c>
      <c r="P863" s="80" t="s">
        <v>144</v>
      </c>
      <c r="Q863" s="85" t="s">
        <v>30</v>
      </c>
      <c r="R863" s="80" t="s">
        <v>1668</v>
      </c>
      <c r="S863" s="81">
        <v>291682262831</v>
      </c>
      <c r="T863" s="20">
        <v>45258</v>
      </c>
      <c r="U863" s="123"/>
      <c r="V863" s="80">
        <v>648</v>
      </c>
      <c r="W863" s="29">
        <v>45258.625</v>
      </c>
      <c r="X863" s="29">
        <v>45258.833333333336</v>
      </c>
      <c r="Y863" s="30">
        <f t="shared" si="794"/>
        <v>0.20833333333575865</v>
      </c>
      <c r="Z863" s="29">
        <v>45258.791666666664</v>
      </c>
      <c r="AA863" s="29">
        <v>45258.833333333336</v>
      </c>
      <c r="AB863" s="30">
        <f t="shared" si="795"/>
        <v>4.1666666671517305E-2</v>
      </c>
    </row>
    <row r="864" spans="1:28" x14ac:dyDescent="0.25">
      <c r="A864" s="12">
        <v>45259</v>
      </c>
      <c r="B864" s="80" t="s">
        <v>1671</v>
      </c>
      <c r="C864" s="20">
        <v>45258</v>
      </c>
      <c r="D864" s="80">
        <v>8572068</v>
      </c>
      <c r="E864" s="80" t="s">
        <v>859</v>
      </c>
      <c r="F864" s="80" t="s">
        <v>289</v>
      </c>
      <c r="G864" s="80" t="s">
        <v>192</v>
      </c>
      <c r="H864" s="17">
        <v>5212252</v>
      </c>
      <c r="I864" s="17" t="s">
        <v>23</v>
      </c>
      <c r="J864" s="80" t="s">
        <v>1534</v>
      </c>
      <c r="K864" s="80">
        <v>25</v>
      </c>
      <c r="L864" s="123">
        <f>700/25</f>
        <v>28</v>
      </c>
      <c r="M864" s="80">
        <f t="shared" si="791"/>
        <v>700</v>
      </c>
      <c r="N864" s="20">
        <v>45259</v>
      </c>
      <c r="O864" s="80" t="s">
        <v>399</v>
      </c>
      <c r="P864" s="80" t="s">
        <v>144</v>
      </c>
      <c r="Q864" s="85" t="s">
        <v>30</v>
      </c>
      <c r="R864" s="80" t="s">
        <v>1672</v>
      </c>
      <c r="S864" s="81">
        <v>241682672866</v>
      </c>
      <c r="T864" s="20">
        <v>45259</v>
      </c>
      <c r="U864" s="123"/>
      <c r="V864" s="80">
        <v>649</v>
      </c>
      <c r="W864" s="29">
        <v>45259.423611111109</v>
      </c>
      <c r="X864" s="29">
        <v>45259.694444444445</v>
      </c>
      <c r="Y864" s="30">
        <f t="shared" si="794"/>
        <v>0.27083333333575865</v>
      </c>
      <c r="Z864" s="29">
        <v>45259.506944444445</v>
      </c>
      <c r="AA864" s="29">
        <v>45259.666666666664</v>
      </c>
      <c r="AB864" s="30">
        <f t="shared" si="795"/>
        <v>0.15972222221898846</v>
      </c>
    </row>
    <row r="865" spans="1:28" x14ac:dyDescent="0.25">
      <c r="A865" s="12">
        <v>45259</v>
      </c>
      <c r="B865" s="80" t="s">
        <v>1671</v>
      </c>
      <c r="C865" s="20">
        <v>45258</v>
      </c>
      <c r="D865" s="80">
        <v>8477407</v>
      </c>
      <c r="E865" s="80" t="s">
        <v>859</v>
      </c>
      <c r="F865" s="80" t="s">
        <v>289</v>
      </c>
      <c r="G865" s="80" t="s">
        <v>192</v>
      </c>
      <c r="H865" s="17">
        <v>5212252</v>
      </c>
      <c r="I865" s="17" t="s">
        <v>23</v>
      </c>
      <c r="J865" s="80" t="s">
        <v>1534</v>
      </c>
      <c r="K865" s="80">
        <v>25</v>
      </c>
      <c r="L865" s="80">
        <v>82</v>
      </c>
      <c r="M865" s="80">
        <f t="shared" si="791"/>
        <v>2050</v>
      </c>
      <c r="N865" s="20">
        <v>45259</v>
      </c>
      <c r="O865" s="80" t="s">
        <v>399</v>
      </c>
      <c r="P865" s="80" t="s">
        <v>144</v>
      </c>
      <c r="Q865" s="85" t="s">
        <v>30</v>
      </c>
      <c r="R865" s="80" t="s">
        <v>1672</v>
      </c>
      <c r="S865" s="81">
        <v>241682672866</v>
      </c>
      <c r="T865" s="20">
        <v>45259</v>
      </c>
      <c r="U865" s="123"/>
      <c r="V865" s="80">
        <v>649</v>
      </c>
      <c r="W865" s="29">
        <v>45259.423611111109</v>
      </c>
      <c r="X865" s="29">
        <v>45259.694444444445</v>
      </c>
      <c r="Y865" s="30">
        <f t="shared" ref="Y865:Y866" si="802">+X865-W865</f>
        <v>0.27083333333575865</v>
      </c>
      <c r="Z865" s="29">
        <v>45259.506944444445</v>
      </c>
      <c r="AA865" s="29">
        <v>45259.666666666664</v>
      </c>
      <c r="AB865" s="30">
        <f t="shared" ref="AB865:AB866" si="803">+AA865-Z865</f>
        <v>0.15972222221898846</v>
      </c>
    </row>
    <row r="866" spans="1:28" x14ac:dyDescent="0.25">
      <c r="A866" s="12">
        <v>45259</v>
      </c>
      <c r="B866" s="80" t="s">
        <v>1671</v>
      </c>
      <c r="C866" s="20">
        <v>45258</v>
      </c>
      <c r="D866" s="80">
        <v>8572068</v>
      </c>
      <c r="E866" s="80" t="s">
        <v>859</v>
      </c>
      <c r="F866" s="80" t="s">
        <v>289</v>
      </c>
      <c r="G866" s="80" t="s">
        <v>192</v>
      </c>
      <c r="H866" s="17">
        <v>5212252</v>
      </c>
      <c r="I866" s="17" t="s">
        <v>23</v>
      </c>
      <c r="J866" s="80" t="s">
        <v>1534</v>
      </c>
      <c r="K866" s="80">
        <v>25</v>
      </c>
      <c r="L866" s="80">
        <v>330</v>
      </c>
      <c r="M866" s="80">
        <f t="shared" si="791"/>
        <v>8250</v>
      </c>
      <c r="N866" s="20">
        <v>45259</v>
      </c>
      <c r="O866" s="80" t="s">
        <v>399</v>
      </c>
      <c r="P866" s="80" t="s">
        <v>144</v>
      </c>
      <c r="Q866" s="85" t="s">
        <v>30</v>
      </c>
      <c r="R866" s="80" t="s">
        <v>1672</v>
      </c>
      <c r="S866" s="81">
        <v>241682672866</v>
      </c>
      <c r="T866" s="20">
        <v>45259</v>
      </c>
      <c r="U866" s="123"/>
      <c r="V866" s="80">
        <v>649</v>
      </c>
      <c r="W866" s="29">
        <v>45259.423611111109</v>
      </c>
      <c r="X866" s="29">
        <v>45259.694444444445</v>
      </c>
      <c r="Y866" s="30">
        <f t="shared" si="802"/>
        <v>0.27083333333575865</v>
      </c>
      <c r="Z866" s="29">
        <v>45259.506944444445</v>
      </c>
      <c r="AA866" s="29">
        <v>45259.666666666664</v>
      </c>
      <c r="AB866" s="30">
        <f t="shared" si="803"/>
        <v>0.15972222221898846</v>
      </c>
    </row>
    <row r="867" spans="1:28" x14ac:dyDescent="0.25">
      <c r="A867" s="12">
        <v>45259</v>
      </c>
      <c r="B867" s="80" t="s">
        <v>1671</v>
      </c>
      <c r="C867" s="20">
        <v>45258</v>
      </c>
      <c r="D867" s="80">
        <v>8601970</v>
      </c>
      <c r="E867" s="80" t="s">
        <v>859</v>
      </c>
      <c r="F867" s="80" t="s">
        <v>289</v>
      </c>
      <c r="G867" s="80" t="s">
        <v>192</v>
      </c>
      <c r="H867" s="17">
        <v>5212259</v>
      </c>
      <c r="I867" s="17" t="s">
        <v>26</v>
      </c>
      <c r="J867" s="80" t="s">
        <v>1596</v>
      </c>
      <c r="K867" s="80">
        <v>25</v>
      </c>
      <c r="L867" s="123">
        <f>14000/25</f>
        <v>560</v>
      </c>
      <c r="M867" s="80">
        <f t="shared" si="791"/>
        <v>14000</v>
      </c>
      <c r="N867" s="20">
        <v>45259</v>
      </c>
      <c r="O867" s="80" t="s">
        <v>399</v>
      </c>
      <c r="P867" s="80" t="s">
        <v>144</v>
      </c>
      <c r="Q867" s="85" t="s">
        <v>30</v>
      </c>
      <c r="R867" s="80" t="s">
        <v>1672</v>
      </c>
      <c r="S867" s="81">
        <v>241682672866</v>
      </c>
      <c r="T867" s="20">
        <v>45259</v>
      </c>
      <c r="U867" s="123"/>
      <c r="V867" s="80">
        <v>649</v>
      </c>
      <c r="W867" s="29">
        <v>45259.423611111109</v>
      </c>
      <c r="X867" s="29">
        <v>45259.694444444445</v>
      </c>
      <c r="Y867" s="30">
        <f t="shared" ref="Y867:Y872" si="804">+X867-W867</f>
        <v>0.27083333333575865</v>
      </c>
      <c r="Z867" s="29">
        <v>45259.506944444445</v>
      </c>
      <c r="AA867" s="29">
        <v>45259.666666666664</v>
      </c>
      <c r="AB867" s="30">
        <f t="shared" ref="AB867:AB872" si="805">+AA867-Z867</f>
        <v>0.15972222221898846</v>
      </c>
    </row>
    <row r="868" spans="1:28" x14ac:dyDescent="0.25">
      <c r="A868" s="12">
        <v>45259</v>
      </c>
      <c r="B868" s="80" t="s">
        <v>1671</v>
      </c>
      <c r="C868" s="20">
        <v>45258</v>
      </c>
      <c r="D868" s="80">
        <v>8750260</v>
      </c>
      <c r="E868" s="80" t="s">
        <v>859</v>
      </c>
      <c r="F868" s="80" t="s">
        <v>289</v>
      </c>
      <c r="G868" s="80" t="s">
        <v>192</v>
      </c>
      <c r="H868" s="17">
        <v>5212259</v>
      </c>
      <c r="I868" s="17" t="s">
        <v>26</v>
      </c>
      <c r="J868" s="80" t="s">
        <v>1622</v>
      </c>
      <c r="K868" s="80">
        <v>25</v>
      </c>
      <c r="L868" s="123">
        <f>5000/25</f>
        <v>200</v>
      </c>
      <c r="M868" s="80">
        <f t="shared" si="791"/>
        <v>5000</v>
      </c>
      <c r="N868" s="20">
        <v>45259</v>
      </c>
      <c r="O868" s="80" t="s">
        <v>399</v>
      </c>
      <c r="P868" s="80" t="s">
        <v>144</v>
      </c>
      <c r="Q868" s="85" t="s">
        <v>30</v>
      </c>
      <c r="R868" s="80" t="s">
        <v>1672</v>
      </c>
      <c r="S868" s="81">
        <v>241682672866</v>
      </c>
      <c r="T868" s="20">
        <v>45259</v>
      </c>
      <c r="U868" s="123"/>
      <c r="V868" s="80">
        <v>649</v>
      </c>
      <c r="W868" s="29">
        <v>45259.423611111109</v>
      </c>
      <c r="X868" s="29">
        <v>45259.694444444445</v>
      </c>
      <c r="Y868" s="30">
        <f t="shared" si="804"/>
        <v>0.27083333333575865</v>
      </c>
      <c r="Z868" s="29">
        <v>45259.506944444445</v>
      </c>
      <c r="AA868" s="29">
        <v>45259.666666666664</v>
      </c>
      <c r="AB868" s="30">
        <f t="shared" si="805"/>
        <v>0.15972222221898846</v>
      </c>
    </row>
    <row r="869" spans="1:28" x14ac:dyDescent="0.25">
      <c r="A869" s="12">
        <v>45259</v>
      </c>
      <c r="B869" s="80" t="s">
        <v>1675</v>
      </c>
      <c r="C869" s="20">
        <v>45258</v>
      </c>
      <c r="D869" s="13">
        <v>7934781</v>
      </c>
      <c r="E869" s="80" t="s">
        <v>477</v>
      </c>
      <c r="F869" s="80" t="s">
        <v>1280</v>
      </c>
      <c r="G869" s="80" t="s">
        <v>132</v>
      </c>
      <c r="H869" s="17">
        <v>5200272</v>
      </c>
      <c r="I869" s="17" t="s">
        <v>1159</v>
      </c>
      <c r="J869" s="14" t="s">
        <v>1158</v>
      </c>
      <c r="K869" s="80">
        <v>250</v>
      </c>
      <c r="L869" s="80">
        <v>110</v>
      </c>
      <c r="M869" s="80">
        <f t="shared" si="791"/>
        <v>27500</v>
      </c>
      <c r="N869" s="20">
        <v>45259</v>
      </c>
      <c r="O869" s="80" t="s">
        <v>399</v>
      </c>
      <c r="P869" s="80" t="s">
        <v>134</v>
      </c>
      <c r="Q869" s="123">
        <v>2686</v>
      </c>
      <c r="R869" s="80" t="s">
        <v>1177</v>
      </c>
      <c r="S869" s="81">
        <v>291682668745</v>
      </c>
      <c r="T869" s="20">
        <v>45259</v>
      </c>
      <c r="U869" s="123"/>
      <c r="V869" s="80">
        <v>650</v>
      </c>
      <c r="W869" s="29">
        <v>45259.5</v>
      </c>
      <c r="X869" s="29">
        <v>45259.694444444445</v>
      </c>
      <c r="Y869" s="30">
        <f t="shared" si="804"/>
        <v>0.19444444444525288</v>
      </c>
      <c r="Z869" s="29">
        <v>45259.604166666664</v>
      </c>
      <c r="AA869" s="29">
        <v>45259.690972222219</v>
      </c>
      <c r="AB869" s="30">
        <f t="shared" si="805"/>
        <v>8.6805555554747116E-2</v>
      </c>
    </row>
    <row r="870" spans="1:28" x14ac:dyDescent="0.25">
      <c r="A870" s="12">
        <v>45259</v>
      </c>
      <c r="B870" s="80" t="s">
        <v>1676</v>
      </c>
      <c r="C870" s="20">
        <v>45258</v>
      </c>
      <c r="D870" s="13">
        <v>8261236</v>
      </c>
      <c r="E870" s="80" t="s">
        <v>1131</v>
      </c>
      <c r="F870" s="80" t="s">
        <v>215</v>
      </c>
      <c r="G870" s="80" t="s">
        <v>132</v>
      </c>
      <c r="H870" s="17">
        <v>5230831</v>
      </c>
      <c r="I870" s="17" t="s">
        <v>35</v>
      </c>
      <c r="J870" s="49" t="s">
        <v>1368</v>
      </c>
      <c r="K870" s="80">
        <v>240</v>
      </c>
      <c r="L870" s="80">
        <v>40</v>
      </c>
      <c r="M870" s="80">
        <f t="shared" si="791"/>
        <v>9600</v>
      </c>
      <c r="N870" s="20">
        <v>45259</v>
      </c>
      <c r="O870" s="80" t="s">
        <v>136</v>
      </c>
      <c r="P870" s="80" t="s">
        <v>144</v>
      </c>
      <c r="Q870" s="80" t="s">
        <v>30</v>
      </c>
      <c r="R870" s="80" t="s">
        <v>1567</v>
      </c>
      <c r="S870" s="81">
        <v>261682675704</v>
      </c>
      <c r="T870" s="20">
        <v>45259</v>
      </c>
      <c r="U870" s="123"/>
      <c r="V870" s="80">
        <v>651</v>
      </c>
      <c r="W870" s="29">
        <v>45259.583333333336</v>
      </c>
      <c r="X870" s="29">
        <v>45259.708333333336</v>
      </c>
      <c r="Y870" s="30">
        <f t="shared" si="804"/>
        <v>0.125</v>
      </c>
      <c r="Z870" s="29">
        <v>45259.673611111109</v>
      </c>
      <c r="AA870" s="29">
        <v>45259.708333333336</v>
      </c>
      <c r="AB870" s="30">
        <f t="shared" si="805"/>
        <v>3.4722222226264421E-2</v>
      </c>
    </row>
    <row r="871" spans="1:28" x14ac:dyDescent="0.25">
      <c r="A871" s="12">
        <v>45259</v>
      </c>
      <c r="B871" s="80" t="s">
        <v>1677</v>
      </c>
      <c r="C871" s="20">
        <v>45259</v>
      </c>
      <c r="D871" s="13">
        <v>8169768</v>
      </c>
      <c r="E871" s="80" t="s">
        <v>214</v>
      </c>
      <c r="F871" s="80" t="s">
        <v>215</v>
      </c>
      <c r="G871" s="80" t="s">
        <v>132</v>
      </c>
      <c r="H871" s="17">
        <v>5230874</v>
      </c>
      <c r="I871" s="17" t="s">
        <v>1316</v>
      </c>
      <c r="J871" s="14" t="s">
        <v>1292</v>
      </c>
      <c r="K871" s="80">
        <v>250</v>
      </c>
      <c r="L871" s="80">
        <v>32</v>
      </c>
      <c r="M871" s="80">
        <f t="shared" si="791"/>
        <v>8000</v>
      </c>
      <c r="N871" s="20">
        <v>45259</v>
      </c>
      <c r="O871" s="80" t="s">
        <v>136</v>
      </c>
      <c r="P871" s="80" t="s">
        <v>134</v>
      </c>
      <c r="Q871" s="123">
        <v>2685</v>
      </c>
      <c r="R871" s="80" t="s">
        <v>536</v>
      </c>
      <c r="S871" s="81">
        <v>241682665217</v>
      </c>
      <c r="T871" s="20">
        <v>45259</v>
      </c>
      <c r="U871" s="123"/>
      <c r="V871" s="80">
        <v>652</v>
      </c>
      <c r="W871" s="29">
        <v>45259.625</v>
      </c>
      <c r="X871" s="29">
        <v>45259.729166666664</v>
      </c>
      <c r="Y871" s="30">
        <f t="shared" si="804"/>
        <v>0.10416666666424135</v>
      </c>
      <c r="Z871" s="29">
        <v>45259.701388888891</v>
      </c>
      <c r="AA871" s="29">
        <v>45259.729166666664</v>
      </c>
      <c r="AB871" s="30">
        <f t="shared" si="805"/>
        <v>2.7777777773735579E-2</v>
      </c>
    </row>
    <row r="872" spans="1:28" x14ac:dyDescent="0.25">
      <c r="A872" s="12">
        <v>45259</v>
      </c>
      <c r="B872" s="80" t="s">
        <v>1678</v>
      </c>
      <c r="C872" s="20">
        <v>45258</v>
      </c>
      <c r="D872" s="13">
        <v>7934781</v>
      </c>
      <c r="E872" s="80" t="s">
        <v>477</v>
      </c>
      <c r="F872" s="80" t="s">
        <v>1280</v>
      </c>
      <c r="G872" s="80" t="s">
        <v>132</v>
      </c>
      <c r="H872" s="17">
        <v>5200272</v>
      </c>
      <c r="I872" s="17" t="s">
        <v>1159</v>
      </c>
      <c r="J872" s="14" t="s">
        <v>1158</v>
      </c>
      <c r="K872" s="80">
        <v>250</v>
      </c>
      <c r="L872" s="80">
        <v>100</v>
      </c>
      <c r="M872" s="80">
        <f t="shared" si="791"/>
        <v>25000</v>
      </c>
      <c r="N872" s="20">
        <v>45259</v>
      </c>
      <c r="O872" s="80" t="s">
        <v>399</v>
      </c>
      <c r="P872" s="80" t="s">
        <v>134</v>
      </c>
      <c r="Q872" s="123">
        <v>2687</v>
      </c>
      <c r="R872" s="80" t="s">
        <v>1679</v>
      </c>
      <c r="S872" s="81">
        <v>291682670443</v>
      </c>
      <c r="T872" s="20">
        <v>45259</v>
      </c>
      <c r="U872" s="123"/>
      <c r="V872" s="80">
        <v>653</v>
      </c>
      <c r="W872" s="29">
        <v>45259.506944444445</v>
      </c>
      <c r="X872" s="29">
        <v>45259.805555555555</v>
      </c>
      <c r="Y872" s="30">
        <f t="shared" si="804"/>
        <v>0.29861111110949423</v>
      </c>
      <c r="Z872" s="29">
        <v>45259.673611111109</v>
      </c>
      <c r="AA872" s="29">
        <v>45259.805555555555</v>
      </c>
      <c r="AB872" s="30">
        <f t="shared" si="805"/>
        <v>0.13194444444525288</v>
      </c>
    </row>
    <row r="873" spans="1:28" x14ac:dyDescent="0.25">
      <c r="A873" s="12">
        <v>45259</v>
      </c>
      <c r="B873" s="80" t="s">
        <v>1678</v>
      </c>
      <c r="C873" s="20">
        <v>45258</v>
      </c>
      <c r="D873" s="13">
        <v>8108081</v>
      </c>
      <c r="E873" s="80" t="s">
        <v>477</v>
      </c>
      <c r="F873" s="80" t="s">
        <v>1280</v>
      </c>
      <c r="G873" s="80" t="s">
        <v>132</v>
      </c>
      <c r="H873" s="17">
        <v>5200272</v>
      </c>
      <c r="I873" s="17" t="s">
        <v>1159</v>
      </c>
      <c r="J873" s="14" t="s">
        <v>1158</v>
      </c>
      <c r="K873" s="80">
        <v>250</v>
      </c>
      <c r="L873" s="80">
        <v>10</v>
      </c>
      <c r="M873" s="80">
        <f t="shared" ref="M873:M885" si="806">K873*L873</f>
        <v>2500</v>
      </c>
      <c r="N873" s="20">
        <v>45259</v>
      </c>
      <c r="O873" s="80" t="s">
        <v>399</v>
      </c>
      <c r="P873" s="80" t="s">
        <v>134</v>
      </c>
      <c r="Q873" s="123">
        <v>2687</v>
      </c>
      <c r="R873" s="80" t="s">
        <v>1679</v>
      </c>
      <c r="S873" s="81">
        <v>291682670443</v>
      </c>
      <c r="T873" s="20">
        <v>45259</v>
      </c>
      <c r="U873" s="123"/>
      <c r="V873" s="80">
        <v>653</v>
      </c>
      <c r="W873" s="29">
        <v>45259.506944444445</v>
      </c>
      <c r="X873" s="29">
        <v>45259.805555555555</v>
      </c>
      <c r="Y873" s="30">
        <f t="shared" ref="Y873:Y879" si="807">+X873-W873</f>
        <v>0.29861111110949423</v>
      </c>
      <c r="Z873" s="29">
        <v>45259.673611111109</v>
      </c>
      <c r="AA873" s="29">
        <v>45259.805555555555</v>
      </c>
      <c r="AB873" s="30">
        <f t="shared" ref="AB873:AB879" si="808">+AA873-Z873</f>
        <v>0.13194444444525288</v>
      </c>
    </row>
    <row r="874" spans="1:28" x14ac:dyDescent="0.25">
      <c r="A874" s="12">
        <v>45260</v>
      </c>
      <c r="B874" s="80" t="s">
        <v>1680</v>
      </c>
      <c r="C874" s="20">
        <v>45260</v>
      </c>
      <c r="D874" s="13">
        <v>8261236</v>
      </c>
      <c r="E874" s="80" t="s">
        <v>196</v>
      </c>
      <c r="F874" s="80" t="s">
        <v>1681</v>
      </c>
      <c r="G874" s="80" t="s">
        <v>132</v>
      </c>
      <c r="H874" s="17">
        <v>5230831</v>
      </c>
      <c r="I874" s="17" t="s">
        <v>35</v>
      </c>
      <c r="J874" s="97" t="s">
        <v>1368</v>
      </c>
      <c r="K874" s="80">
        <v>240</v>
      </c>
      <c r="L874" s="80">
        <v>40</v>
      </c>
      <c r="M874" s="80">
        <f t="shared" si="806"/>
        <v>9600</v>
      </c>
      <c r="N874" s="20">
        <v>45260</v>
      </c>
      <c r="O874" s="80" t="s">
        <v>136</v>
      </c>
      <c r="P874" s="80" t="s">
        <v>144</v>
      </c>
      <c r="Q874" s="80">
        <v>5739</v>
      </c>
      <c r="R874" s="80" t="s">
        <v>265</v>
      </c>
      <c r="S874" s="81">
        <v>211683263941</v>
      </c>
      <c r="T874" s="20">
        <v>45260</v>
      </c>
      <c r="U874" s="123"/>
      <c r="V874" s="80">
        <v>654</v>
      </c>
      <c r="W874" s="29">
        <v>45260.625</v>
      </c>
      <c r="X874" s="29">
        <v>45260.652777777781</v>
      </c>
      <c r="Y874" s="30">
        <f t="shared" si="807"/>
        <v>2.7777777781011537E-2</v>
      </c>
      <c r="Z874" s="29">
        <v>45260.631944444445</v>
      </c>
      <c r="AA874" s="29">
        <v>45260.649305555555</v>
      </c>
      <c r="AB874" s="30">
        <f t="shared" si="808"/>
        <v>1.7361111109494232E-2</v>
      </c>
    </row>
    <row r="875" spans="1:28" x14ac:dyDescent="0.25">
      <c r="A875" s="12">
        <v>45260</v>
      </c>
      <c r="B875" s="80" t="s">
        <v>1682</v>
      </c>
      <c r="C875" s="20">
        <v>45260</v>
      </c>
      <c r="D875" s="13">
        <v>6147723</v>
      </c>
      <c r="E875" s="80" t="s">
        <v>1667</v>
      </c>
      <c r="F875" s="80" t="s">
        <v>680</v>
      </c>
      <c r="G875" s="80" t="s">
        <v>192</v>
      </c>
      <c r="H875" s="17">
        <v>5205449</v>
      </c>
      <c r="I875" s="17" t="s">
        <v>39</v>
      </c>
      <c r="J875" s="13">
        <v>2230239912</v>
      </c>
      <c r="K875" s="80">
        <v>25</v>
      </c>
      <c r="L875" s="80">
        <v>400</v>
      </c>
      <c r="M875" s="80">
        <f t="shared" si="806"/>
        <v>10000</v>
      </c>
      <c r="N875" s="20">
        <v>45260</v>
      </c>
      <c r="O875" s="80" t="s">
        <v>136</v>
      </c>
      <c r="P875" s="80" t="s">
        <v>144</v>
      </c>
      <c r="Q875" s="80" t="s">
        <v>30</v>
      </c>
      <c r="R875" s="80" t="s">
        <v>1683</v>
      </c>
      <c r="S875" s="81">
        <v>241683288406</v>
      </c>
      <c r="T875" s="20">
        <v>45260</v>
      </c>
      <c r="U875" s="123"/>
      <c r="V875" s="80">
        <v>655</v>
      </c>
      <c r="W875" s="29">
        <v>45260.583333333336</v>
      </c>
      <c r="X875" s="29">
        <v>45260.680555555555</v>
      </c>
      <c r="Y875" s="30">
        <f t="shared" si="807"/>
        <v>9.7222222218988463E-2</v>
      </c>
      <c r="Z875" s="29">
        <v>45260.649305555555</v>
      </c>
      <c r="AA875" s="29">
        <v>45260.677083333336</v>
      </c>
      <c r="AB875" s="30">
        <f t="shared" si="808"/>
        <v>2.7777777781011537E-2</v>
      </c>
    </row>
    <row r="876" spans="1:28" x14ac:dyDescent="0.25">
      <c r="A876" s="12">
        <v>45260</v>
      </c>
      <c r="B876" s="80" t="s">
        <v>1684</v>
      </c>
      <c r="C876" s="20">
        <v>45260</v>
      </c>
      <c r="D876" s="13">
        <v>8261236</v>
      </c>
      <c r="E876" s="80" t="s">
        <v>1089</v>
      </c>
      <c r="F876" s="80" t="s">
        <v>215</v>
      </c>
      <c r="G876" s="80" t="s">
        <v>132</v>
      </c>
      <c r="H876" s="17">
        <v>5230831</v>
      </c>
      <c r="I876" s="17" t="s">
        <v>35</v>
      </c>
      <c r="J876" s="97" t="s">
        <v>1368</v>
      </c>
      <c r="K876" s="80">
        <v>240</v>
      </c>
      <c r="L876" s="80">
        <v>20</v>
      </c>
      <c r="M876" s="80">
        <f t="shared" si="806"/>
        <v>4800</v>
      </c>
      <c r="N876" s="20">
        <v>45260</v>
      </c>
      <c r="O876" s="80" t="s">
        <v>298</v>
      </c>
      <c r="P876" s="80" t="s">
        <v>134</v>
      </c>
      <c r="Q876" s="80">
        <v>2688</v>
      </c>
      <c r="R876" s="80" t="s">
        <v>1685</v>
      </c>
      <c r="S876" s="81">
        <v>281683397986</v>
      </c>
      <c r="T876" s="20">
        <v>45260</v>
      </c>
      <c r="U876" s="123"/>
      <c r="V876" s="80">
        <v>656</v>
      </c>
      <c r="W876" s="29">
        <v>45260.611111111109</v>
      </c>
      <c r="X876" s="29">
        <v>45260.711805555555</v>
      </c>
      <c r="Y876" s="30">
        <f t="shared" si="807"/>
        <v>0.10069444444525288</v>
      </c>
      <c r="Z876" s="29">
        <v>45260.673611111109</v>
      </c>
      <c r="AA876" s="29">
        <v>45260.708333333336</v>
      </c>
      <c r="AB876" s="30">
        <f t="shared" si="808"/>
        <v>3.4722222226264421E-2</v>
      </c>
    </row>
    <row r="877" spans="1:28" x14ac:dyDescent="0.25">
      <c r="A877" s="12">
        <v>45260</v>
      </c>
      <c r="B877" s="80" t="s">
        <v>1686</v>
      </c>
      <c r="C877" s="20">
        <v>45260</v>
      </c>
      <c r="D877" s="80">
        <v>8516509</v>
      </c>
      <c r="E877" s="80" t="s">
        <v>214</v>
      </c>
      <c r="F877" s="80" t="s">
        <v>215</v>
      </c>
      <c r="G877" s="80" t="s">
        <v>132</v>
      </c>
      <c r="H877" s="17">
        <v>5230874</v>
      </c>
      <c r="I877" s="17" t="s">
        <v>1316</v>
      </c>
      <c r="J877" s="93" t="s">
        <v>1295</v>
      </c>
      <c r="K877" s="80">
        <v>250</v>
      </c>
      <c r="L877" s="80">
        <v>32</v>
      </c>
      <c r="M877" s="80">
        <f t="shared" si="806"/>
        <v>8000</v>
      </c>
      <c r="N877" s="20">
        <v>45260</v>
      </c>
      <c r="O877" s="80" t="s">
        <v>136</v>
      </c>
      <c r="P877" s="80" t="s">
        <v>134</v>
      </c>
      <c r="Q877" s="80">
        <v>2689</v>
      </c>
      <c r="R877" s="80" t="s">
        <v>1388</v>
      </c>
      <c r="S877" s="81">
        <v>251683460784</v>
      </c>
      <c r="T877" s="20">
        <v>45260</v>
      </c>
      <c r="U877" s="123"/>
      <c r="V877" s="80">
        <v>657</v>
      </c>
      <c r="W877" s="29">
        <v>45260.756944444445</v>
      </c>
      <c r="X877" s="29">
        <v>45260.784722222219</v>
      </c>
      <c r="Y877" s="30">
        <f t="shared" si="807"/>
        <v>2.7777777773735579E-2</v>
      </c>
      <c r="Z877" s="29">
        <v>45260.760416666664</v>
      </c>
      <c r="AA877" s="29">
        <v>45260.777777777781</v>
      </c>
      <c r="AB877" s="30">
        <f t="shared" si="808"/>
        <v>1.7361111116770189E-2</v>
      </c>
    </row>
    <row r="878" spans="1:28" x14ac:dyDescent="0.25">
      <c r="A878" s="12">
        <v>45261</v>
      </c>
      <c r="B878" s="80" t="s">
        <v>1687</v>
      </c>
      <c r="C878" s="20">
        <v>45260</v>
      </c>
      <c r="D878" s="80">
        <v>8477658</v>
      </c>
      <c r="E878" s="80" t="s">
        <v>191</v>
      </c>
      <c r="F878" s="80" t="s">
        <v>680</v>
      </c>
      <c r="G878" s="80" t="s">
        <v>192</v>
      </c>
      <c r="H878" s="17">
        <v>5212252</v>
      </c>
      <c r="I878" s="17" t="s">
        <v>23</v>
      </c>
      <c r="J878" s="93" t="s">
        <v>1545</v>
      </c>
      <c r="K878" s="80">
        <v>25</v>
      </c>
      <c r="L878" s="80">
        <v>400</v>
      </c>
      <c r="M878" s="80">
        <f t="shared" si="806"/>
        <v>10000</v>
      </c>
      <c r="N878" s="20">
        <v>45261</v>
      </c>
      <c r="O878" s="80" t="s">
        <v>136</v>
      </c>
      <c r="P878" s="80" t="s">
        <v>144</v>
      </c>
      <c r="Q878" s="67" t="s">
        <v>30</v>
      </c>
      <c r="R878" s="80" t="s">
        <v>1688</v>
      </c>
      <c r="S878" s="81">
        <v>221683710622</v>
      </c>
      <c r="T878" s="46">
        <v>45261</v>
      </c>
      <c r="U878" s="50"/>
      <c r="V878" s="80">
        <v>658</v>
      </c>
      <c r="W878" s="29">
        <v>45261.423611111109</v>
      </c>
      <c r="X878" s="29">
        <v>45261.520833333336</v>
      </c>
      <c r="Y878" s="30">
        <f t="shared" si="807"/>
        <v>9.7222222226264421E-2</v>
      </c>
      <c r="Z878" s="29">
        <v>45261.465277777781</v>
      </c>
      <c r="AA878" s="29">
        <v>45261.513888888891</v>
      </c>
      <c r="AB878" s="30">
        <f t="shared" si="808"/>
        <v>4.8611111109494232E-2</v>
      </c>
    </row>
    <row r="879" spans="1:28" x14ac:dyDescent="0.25">
      <c r="A879" s="12">
        <v>45264</v>
      </c>
      <c r="B879" s="80" t="s">
        <v>1691</v>
      </c>
      <c r="C879" s="46">
        <v>45264</v>
      </c>
      <c r="D879" s="80">
        <v>8750260</v>
      </c>
      <c r="E879" s="80" t="s">
        <v>859</v>
      </c>
      <c r="F879" s="80" t="s">
        <v>289</v>
      </c>
      <c r="G879" s="80" t="s">
        <v>192</v>
      </c>
      <c r="H879" s="17">
        <v>5211014</v>
      </c>
      <c r="I879" s="17" t="s">
        <v>38</v>
      </c>
      <c r="J879" s="80" t="s">
        <v>1621</v>
      </c>
      <c r="K879" s="80">
        <v>25</v>
      </c>
      <c r="L879" s="80">
        <f>13000/25</f>
        <v>520</v>
      </c>
      <c r="M879" s="80">
        <f t="shared" si="806"/>
        <v>13000</v>
      </c>
      <c r="N879" s="46">
        <v>45264</v>
      </c>
      <c r="O879" s="80" t="s">
        <v>204</v>
      </c>
      <c r="P879" s="80" t="s">
        <v>144</v>
      </c>
      <c r="Q879" s="67" t="s">
        <v>30</v>
      </c>
      <c r="R879" s="80" t="s">
        <v>1086</v>
      </c>
      <c r="S879" s="81">
        <v>211685101425</v>
      </c>
      <c r="T879" s="46">
        <v>45264</v>
      </c>
      <c r="U879" s="50"/>
      <c r="V879" s="80">
        <v>659</v>
      </c>
      <c r="W879" s="29">
        <v>45264.416666666664</v>
      </c>
      <c r="X879" s="29">
        <v>45264.694444444445</v>
      </c>
      <c r="Y879" s="30">
        <f t="shared" si="807"/>
        <v>0.27777777778101154</v>
      </c>
      <c r="Z879" s="29">
        <v>45264.583333333336</v>
      </c>
      <c r="AA879" s="29">
        <v>45264.694444444445</v>
      </c>
      <c r="AB879" s="30">
        <f t="shared" si="808"/>
        <v>0.11111111110949423</v>
      </c>
    </row>
    <row r="880" spans="1:28" x14ac:dyDescent="0.25">
      <c r="A880" s="12">
        <v>45264</v>
      </c>
      <c r="B880" s="80" t="s">
        <v>1691</v>
      </c>
      <c r="C880" s="46">
        <v>45264</v>
      </c>
      <c r="D880" s="80">
        <v>8822212</v>
      </c>
      <c r="E880" s="80" t="s">
        <v>859</v>
      </c>
      <c r="F880" s="80" t="s">
        <v>289</v>
      </c>
      <c r="G880" s="80" t="s">
        <v>192</v>
      </c>
      <c r="H880" s="17">
        <v>5211014</v>
      </c>
      <c r="I880" s="17" t="s">
        <v>38</v>
      </c>
      <c r="J880" s="80" t="s">
        <v>1621</v>
      </c>
      <c r="K880" s="80">
        <v>25</v>
      </c>
      <c r="L880" s="80">
        <f>6000/25</f>
        <v>240</v>
      </c>
      <c r="M880" s="80">
        <f t="shared" si="806"/>
        <v>6000</v>
      </c>
      <c r="N880" s="46">
        <v>45264</v>
      </c>
      <c r="O880" s="80" t="s">
        <v>204</v>
      </c>
      <c r="P880" s="80" t="s">
        <v>144</v>
      </c>
      <c r="Q880" s="67" t="s">
        <v>30</v>
      </c>
      <c r="R880" s="80" t="s">
        <v>1086</v>
      </c>
      <c r="S880" s="81">
        <v>211685101425</v>
      </c>
      <c r="T880" s="46">
        <v>45264</v>
      </c>
      <c r="U880" s="50"/>
      <c r="V880" s="80">
        <v>659</v>
      </c>
      <c r="W880" s="29">
        <v>45264.416666666664</v>
      </c>
      <c r="X880" s="29">
        <v>45264.694444444445</v>
      </c>
      <c r="Y880" s="30">
        <f t="shared" ref="Y880" si="809">+X880-W880</f>
        <v>0.27777777778101154</v>
      </c>
      <c r="Z880" s="29">
        <v>45264.583333333336</v>
      </c>
      <c r="AA880" s="29">
        <v>45264.694444444445</v>
      </c>
      <c r="AB880" s="30">
        <f t="shared" ref="AB880" si="810">+AA880-Z880</f>
        <v>0.11111111110949423</v>
      </c>
    </row>
    <row r="881" spans="1:28" x14ac:dyDescent="0.25">
      <c r="A881" s="12">
        <v>45264</v>
      </c>
      <c r="B881" s="80" t="s">
        <v>1691</v>
      </c>
      <c r="C881" s="46">
        <v>45264</v>
      </c>
      <c r="D881" s="51">
        <v>8373156</v>
      </c>
      <c r="E881" s="80" t="s">
        <v>859</v>
      </c>
      <c r="F881" s="80" t="s">
        <v>289</v>
      </c>
      <c r="G881" s="80" t="s">
        <v>192</v>
      </c>
      <c r="H881" s="17">
        <v>5211013</v>
      </c>
      <c r="I881" s="17" t="s">
        <v>27</v>
      </c>
      <c r="J881" s="80" t="s">
        <v>1417</v>
      </c>
      <c r="K881" s="80">
        <v>25</v>
      </c>
      <c r="L881" s="80">
        <v>188</v>
      </c>
      <c r="M881" s="80">
        <f t="shared" si="806"/>
        <v>4700</v>
      </c>
      <c r="N881" s="46">
        <v>45264</v>
      </c>
      <c r="O881" s="80" t="s">
        <v>204</v>
      </c>
      <c r="P881" s="80" t="s">
        <v>144</v>
      </c>
      <c r="Q881" s="67" t="s">
        <v>30</v>
      </c>
      <c r="R881" s="80" t="s">
        <v>1086</v>
      </c>
      <c r="S881" s="81">
        <v>211685101425</v>
      </c>
      <c r="T881" s="46">
        <v>45264</v>
      </c>
      <c r="U881" s="50"/>
      <c r="V881" s="80">
        <v>659</v>
      </c>
      <c r="W881" s="29">
        <v>45264.416666666664</v>
      </c>
      <c r="X881" s="29">
        <v>45264.694444444445</v>
      </c>
      <c r="Y881" s="30">
        <f t="shared" ref="Y881:Y885" si="811">+X881-W881</f>
        <v>0.27777777778101154</v>
      </c>
      <c r="Z881" s="29">
        <v>45264.583333333336</v>
      </c>
      <c r="AA881" s="29">
        <v>45264.694444444445</v>
      </c>
      <c r="AB881" s="30">
        <f t="shared" ref="AB881:AB885" si="812">+AA881-Z881</f>
        <v>0.11111111110949423</v>
      </c>
    </row>
    <row r="882" spans="1:28" x14ac:dyDescent="0.25">
      <c r="A882" s="12">
        <v>45264</v>
      </c>
      <c r="B882" s="80" t="s">
        <v>1691</v>
      </c>
      <c r="C882" s="46">
        <v>45264</v>
      </c>
      <c r="D882" s="13">
        <v>7933011</v>
      </c>
      <c r="E882" s="80" t="s">
        <v>859</v>
      </c>
      <c r="F882" s="80" t="s">
        <v>289</v>
      </c>
      <c r="G882" s="80" t="s">
        <v>192</v>
      </c>
      <c r="H882" s="17">
        <v>5211013</v>
      </c>
      <c r="I882" s="17" t="s">
        <v>27</v>
      </c>
      <c r="J882" s="80" t="s">
        <v>1151</v>
      </c>
      <c r="K882" s="80">
        <v>25</v>
      </c>
      <c r="L882" s="50">
        <f>300/25</f>
        <v>12</v>
      </c>
      <c r="M882" s="80">
        <f t="shared" si="806"/>
        <v>300</v>
      </c>
      <c r="N882" s="46">
        <v>45264</v>
      </c>
      <c r="O882" s="80" t="s">
        <v>204</v>
      </c>
      <c r="P882" s="80" t="s">
        <v>144</v>
      </c>
      <c r="Q882" s="67" t="s">
        <v>30</v>
      </c>
      <c r="R882" s="80" t="s">
        <v>1086</v>
      </c>
      <c r="S882" s="81">
        <v>211685101425</v>
      </c>
      <c r="T882" s="46">
        <v>45264</v>
      </c>
      <c r="U882" s="50"/>
      <c r="V882" s="80">
        <v>659</v>
      </c>
      <c r="W882" s="29">
        <v>45264.416666666664</v>
      </c>
      <c r="X882" s="29">
        <v>45264.694444444445</v>
      </c>
      <c r="Y882" s="30">
        <f t="shared" si="811"/>
        <v>0.27777777778101154</v>
      </c>
      <c r="Z882" s="29">
        <v>45264.583333333336</v>
      </c>
      <c r="AA882" s="29">
        <v>45264.694444444445</v>
      </c>
      <c r="AB882" s="30">
        <f t="shared" si="812"/>
        <v>0.11111111110949423</v>
      </c>
    </row>
    <row r="883" spans="1:28" x14ac:dyDescent="0.25">
      <c r="A883" s="12">
        <v>45264</v>
      </c>
      <c r="B883" s="80" t="s">
        <v>1691</v>
      </c>
      <c r="C883" s="46">
        <v>45264</v>
      </c>
      <c r="D883" s="80">
        <v>8477407</v>
      </c>
      <c r="E883" s="80" t="s">
        <v>859</v>
      </c>
      <c r="F883" s="80" t="s">
        <v>289</v>
      </c>
      <c r="G883" s="80" t="s">
        <v>192</v>
      </c>
      <c r="H883" s="17">
        <v>5212252</v>
      </c>
      <c r="I883" s="17" t="s">
        <v>23</v>
      </c>
      <c r="J883" s="80" t="s">
        <v>1517</v>
      </c>
      <c r="K883" s="50">
        <v>25</v>
      </c>
      <c r="L883" s="50">
        <v>440</v>
      </c>
      <c r="M883" s="80">
        <f t="shared" si="806"/>
        <v>11000</v>
      </c>
      <c r="N883" s="46">
        <v>45264</v>
      </c>
      <c r="O883" s="80" t="s">
        <v>204</v>
      </c>
      <c r="P883" s="80" t="s">
        <v>144</v>
      </c>
      <c r="Q883" s="67" t="s">
        <v>30</v>
      </c>
      <c r="R883" s="80" t="s">
        <v>1086</v>
      </c>
      <c r="S883" s="81">
        <v>211685101425</v>
      </c>
      <c r="T883" s="46">
        <v>45264</v>
      </c>
      <c r="U883" s="50"/>
      <c r="V883" s="80">
        <v>659</v>
      </c>
      <c r="W883" s="29">
        <v>45264.416666666664</v>
      </c>
      <c r="X883" s="29">
        <v>45264.694444444445</v>
      </c>
      <c r="Y883" s="30">
        <f t="shared" si="811"/>
        <v>0.27777777778101154</v>
      </c>
      <c r="Z883" s="29">
        <v>45264.583333333336</v>
      </c>
      <c r="AA883" s="29">
        <v>45264.694444444445</v>
      </c>
      <c r="AB883" s="30">
        <f t="shared" si="812"/>
        <v>0.11111111110949423</v>
      </c>
    </row>
    <row r="884" spans="1:28" x14ac:dyDescent="0.25">
      <c r="A884" s="12">
        <v>45264</v>
      </c>
      <c r="B884" s="80" t="s">
        <v>1692</v>
      </c>
      <c r="C884" s="20">
        <v>45264</v>
      </c>
      <c r="D884" s="80">
        <v>8516509</v>
      </c>
      <c r="E884" s="80" t="s">
        <v>214</v>
      </c>
      <c r="F884" s="80" t="s">
        <v>215</v>
      </c>
      <c r="G884" s="80" t="s">
        <v>132</v>
      </c>
      <c r="H884" s="17">
        <v>5230874</v>
      </c>
      <c r="I884" s="17" t="s">
        <v>1316</v>
      </c>
      <c r="J884" s="93" t="s">
        <v>1295</v>
      </c>
      <c r="K884" s="80">
        <v>250</v>
      </c>
      <c r="L884" s="123">
        <v>32</v>
      </c>
      <c r="M884" s="80">
        <f t="shared" si="806"/>
        <v>8000</v>
      </c>
      <c r="N884" s="20">
        <v>45264</v>
      </c>
      <c r="O884" s="80" t="s">
        <v>136</v>
      </c>
      <c r="P884" s="80" t="s">
        <v>134</v>
      </c>
      <c r="Q884" s="123">
        <v>2690</v>
      </c>
      <c r="R884" s="80" t="s">
        <v>1388</v>
      </c>
      <c r="S884" s="81">
        <v>291685134735</v>
      </c>
      <c r="T884" s="20">
        <v>45264</v>
      </c>
      <c r="U884" s="123"/>
      <c r="V884" s="80">
        <v>660</v>
      </c>
      <c r="W884" s="29">
        <v>45264.618055555555</v>
      </c>
      <c r="X884" s="29">
        <v>45264.753472222219</v>
      </c>
      <c r="Y884" s="30">
        <f t="shared" si="811"/>
        <v>0.13541666666424135</v>
      </c>
      <c r="Z884" s="29">
        <v>45264.736111111109</v>
      </c>
      <c r="AA884" s="29">
        <v>45264.753472222219</v>
      </c>
      <c r="AB884" s="30">
        <f t="shared" si="812"/>
        <v>1.7361111109494232E-2</v>
      </c>
    </row>
    <row r="885" spans="1:28" x14ac:dyDescent="0.25">
      <c r="A885" s="12">
        <v>45264</v>
      </c>
      <c r="B885" s="80" t="s">
        <v>1693</v>
      </c>
      <c r="C885" s="20">
        <v>45264</v>
      </c>
      <c r="D885" s="80">
        <v>8588158</v>
      </c>
      <c r="E885" s="80" t="s">
        <v>395</v>
      </c>
      <c r="F885" s="80" t="s">
        <v>396</v>
      </c>
      <c r="G885" s="80" t="s">
        <v>192</v>
      </c>
      <c r="H885" s="17">
        <v>5212252</v>
      </c>
      <c r="I885" s="17" t="s">
        <v>23</v>
      </c>
      <c r="J885" s="50" t="s">
        <v>1517</v>
      </c>
      <c r="K885" s="80">
        <v>25</v>
      </c>
      <c r="L885" s="123">
        <v>280</v>
      </c>
      <c r="M885" s="80">
        <f t="shared" si="806"/>
        <v>7000</v>
      </c>
      <c r="N885" s="20">
        <v>45264</v>
      </c>
      <c r="O885" s="80" t="s">
        <v>589</v>
      </c>
      <c r="P885" s="80" t="s">
        <v>134</v>
      </c>
      <c r="Q885" s="123">
        <v>2691</v>
      </c>
      <c r="R885" s="80" t="s">
        <v>1694</v>
      </c>
      <c r="S885" s="81">
        <v>201685139168</v>
      </c>
      <c r="T885" s="20">
        <v>45264</v>
      </c>
      <c r="U885" s="123"/>
      <c r="V885" s="80">
        <v>661</v>
      </c>
      <c r="W885" s="29">
        <v>45264.628472222219</v>
      </c>
      <c r="X885" s="29">
        <v>45264.826388888891</v>
      </c>
      <c r="Y885" s="30">
        <f t="shared" si="811"/>
        <v>0.19791666667151731</v>
      </c>
      <c r="Z885" s="29">
        <v>45264.791666666664</v>
      </c>
      <c r="AA885" s="29">
        <v>45264.826388888891</v>
      </c>
      <c r="AB885" s="30">
        <f t="shared" si="812"/>
        <v>3.4722222226264421E-2</v>
      </c>
    </row>
    <row r="886" spans="1:28" x14ac:dyDescent="0.25">
      <c r="A886" s="12">
        <v>45264</v>
      </c>
      <c r="B886" s="80" t="s">
        <v>1693</v>
      </c>
      <c r="C886" s="20">
        <v>45264</v>
      </c>
      <c r="D886" s="51">
        <v>8373156</v>
      </c>
      <c r="E886" s="80" t="s">
        <v>395</v>
      </c>
      <c r="F886" s="80" t="s">
        <v>396</v>
      </c>
      <c r="G886" s="80" t="s">
        <v>192</v>
      </c>
      <c r="H886" s="17">
        <v>5211013</v>
      </c>
      <c r="I886" s="17" t="s">
        <v>27</v>
      </c>
      <c r="J886" s="50" t="s">
        <v>1417</v>
      </c>
      <c r="K886" s="80">
        <v>25</v>
      </c>
      <c r="L886" s="123">
        <v>40</v>
      </c>
      <c r="M886" s="80">
        <f t="shared" ref="M886:M889" si="813">K886*L886</f>
        <v>1000</v>
      </c>
      <c r="N886" s="20">
        <v>45264</v>
      </c>
      <c r="O886" s="80" t="s">
        <v>589</v>
      </c>
      <c r="P886" s="80" t="s">
        <v>134</v>
      </c>
      <c r="Q886" s="123">
        <v>2691</v>
      </c>
      <c r="R886" s="80" t="s">
        <v>1694</v>
      </c>
      <c r="S886" s="81">
        <v>201685139168</v>
      </c>
      <c r="T886" s="20">
        <v>45264</v>
      </c>
      <c r="U886" s="123"/>
      <c r="V886" s="80">
        <v>661</v>
      </c>
      <c r="W886" s="29">
        <v>45264.628472222219</v>
      </c>
      <c r="X886" s="29">
        <v>45264.826388888891</v>
      </c>
      <c r="Y886" s="30">
        <f t="shared" ref="Y886:Y889" si="814">+X886-W886</f>
        <v>0.19791666667151731</v>
      </c>
      <c r="Z886" s="29">
        <v>45264.791666666664</v>
      </c>
      <c r="AA886" s="29">
        <v>45264.826388888891</v>
      </c>
      <c r="AB886" s="30">
        <f t="shared" ref="AB886:AB889" si="815">+AA886-Z886</f>
        <v>3.4722222226264421E-2</v>
      </c>
    </row>
    <row r="887" spans="1:28" x14ac:dyDescent="0.25">
      <c r="A887" s="12">
        <v>45264</v>
      </c>
      <c r="B887" s="80" t="s">
        <v>1695</v>
      </c>
      <c r="C887" s="20">
        <v>45264</v>
      </c>
      <c r="D887" s="80">
        <v>8833204</v>
      </c>
      <c r="E887" s="80" t="s">
        <v>523</v>
      </c>
      <c r="F887" s="80" t="s">
        <v>524</v>
      </c>
      <c r="G887" s="80" t="s">
        <v>192</v>
      </c>
      <c r="H887" s="17">
        <v>5212256</v>
      </c>
      <c r="I887" s="17" t="s">
        <v>22</v>
      </c>
      <c r="J887" s="50" t="s">
        <v>1690</v>
      </c>
      <c r="K887" s="80">
        <v>25</v>
      </c>
      <c r="L887" s="85">
        <v>714</v>
      </c>
      <c r="M887" s="80">
        <f t="shared" si="813"/>
        <v>17850</v>
      </c>
      <c r="N887" s="20">
        <v>45264</v>
      </c>
      <c r="O887" s="80" t="s">
        <v>425</v>
      </c>
      <c r="P887" s="80" t="s">
        <v>134</v>
      </c>
      <c r="Q887" s="85">
        <v>2692</v>
      </c>
      <c r="R887" s="80" t="s">
        <v>1696</v>
      </c>
      <c r="S887" s="81">
        <v>231685178144</v>
      </c>
      <c r="T887" s="20">
        <v>45264</v>
      </c>
      <c r="U887" s="123"/>
      <c r="V887" s="80">
        <v>662</v>
      </c>
      <c r="W887" s="29">
        <v>45264.635416666664</v>
      </c>
      <c r="X887" s="29">
        <v>45264.854166666664</v>
      </c>
      <c r="Y887" s="30">
        <f t="shared" si="814"/>
        <v>0.21875</v>
      </c>
      <c r="Z887" s="29">
        <v>45264.729166666664</v>
      </c>
      <c r="AA887" s="29">
        <v>45264.833333333336</v>
      </c>
      <c r="AB887" s="30">
        <f t="shared" si="815"/>
        <v>0.10416666667151731</v>
      </c>
    </row>
    <row r="888" spans="1:28" x14ac:dyDescent="0.25">
      <c r="A888" s="12">
        <v>45264</v>
      </c>
      <c r="B888" s="80" t="s">
        <v>1695</v>
      </c>
      <c r="C888" s="20">
        <v>45264</v>
      </c>
      <c r="D888" s="80">
        <v>8833204</v>
      </c>
      <c r="E888" s="80" t="s">
        <v>523</v>
      </c>
      <c r="F888" s="80" t="s">
        <v>524</v>
      </c>
      <c r="G888" s="80" t="s">
        <v>192</v>
      </c>
      <c r="H888" s="17">
        <v>5212256</v>
      </c>
      <c r="I888" s="17" t="s">
        <v>22</v>
      </c>
      <c r="J888" s="50" t="s">
        <v>1600</v>
      </c>
      <c r="K888" s="80">
        <v>25</v>
      </c>
      <c r="L888" s="85">
        <v>86</v>
      </c>
      <c r="M888" s="80">
        <f t="shared" ref="M888" si="816">K888*L888</f>
        <v>2150</v>
      </c>
      <c r="N888" s="20">
        <v>45264</v>
      </c>
      <c r="O888" s="80" t="s">
        <v>425</v>
      </c>
      <c r="P888" s="80" t="s">
        <v>134</v>
      </c>
      <c r="Q888" s="85">
        <v>2692</v>
      </c>
      <c r="R888" s="80" t="s">
        <v>1696</v>
      </c>
      <c r="S888" s="81">
        <v>231685178144</v>
      </c>
      <c r="T888" s="20">
        <v>45264</v>
      </c>
      <c r="U888" s="123"/>
      <c r="V888" s="80">
        <v>662</v>
      </c>
      <c r="W888" s="29">
        <v>45264.635416666664</v>
      </c>
      <c r="X888" s="29">
        <v>45264.854166666664</v>
      </c>
      <c r="Y888" s="30">
        <f t="shared" ref="Y888" si="817">+X888-W888</f>
        <v>0.21875</v>
      </c>
      <c r="Z888" s="29">
        <v>45264.729166666664</v>
      </c>
      <c r="AA888" s="29">
        <v>45264.833333333336</v>
      </c>
      <c r="AB888" s="30">
        <f t="shared" ref="AB888" si="818">+AA888-Z888</f>
        <v>0.10416666667151731</v>
      </c>
    </row>
    <row r="889" spans="1:28" x14ac:dyDescent="0.25">
      <c r="A889" s="12">
        <v>45264</v>
      </c>
      <c r="B889" s="80" t="s">
        <v>1697</v>
      </c>
      <c r="C889" s="20">
        <v>45264</v>
      </c>
      <c r="D889" s="13">
        <v>6147723</v>
      </c>
      <c r="E889" s="80" t="s">
        <v>471</v>
      </c>
      <c r="F889" s="80" t="s">
        <v>472</v>
      </c>
      <c r="G889" s="80" t="s">
        <v>192</v>
      </c>
      <c r="H889" s="17">
        <v>5205449</v>
      </c>
      <c r="I889" s="17" t="str">
        <f>VLOOKUP(H889,[1]MASTER!$A:$B,2,0)</f>
        <v>PVC-WH1000F-Premium-Bag-25KG</v>
      </c>
      <c r="J889" s="13">
        <v>2230240612</v>
      </c>
      <c r="K889" s="80">
        <v>25</v>
      </c>
      <c r="L889" s="85">
        <v>6</v>
      </c>
      <c r="M889" s="80">
        <f t="shared" si="813"/>
        <v>150</v>
      </c>
      <c r="N889" s="20">
        <v>45264</v>
      </c>
      <c r="O889" s="80" t="s">
        <v>1698</v>
      </c>
      <c r="P889" s="80" t="s">
        <v>144</v>
      </c>
      <c r="Q889" s="85" t="s">
        <v>30</v>
      </c>
      <c r="R889" s="80" t="s">
        <v>1699</v>
      </c>
      <c r="S889" s="81">
        <v>261685218267</v>
      </c>
      <c r="T889" s="20">
        <v>45264</v>
      </c>
      <c r="U889" s="123"/>
      <c r="V889" s="80">
        <v>663</v>
      </c>
      <c r="W889" s="29">
        <v>45264.583333333336</v>
      </c>
      <c r="X889" s="29">
        <v>45264.923611111109</v>
      </c>
      <c r="Y889" s="30">
        <f t="shared" si="814"/>
        <v>0.34027777777373558</v>
      </c>
      <c r="Z889" s="29">
        <v>45264.739583333336</v>
      </c>
      <c r="AA889" s="29">
        <v>45264.916666666664</v>
      </c>
      <c r="AB889" s="30">
        <f t="shared" si="815"/>
        <v>0.17708333332848269</v>
      </c>
    </row>
    <row r="890" spans="1:28" x14ac:dyDescent="0.25">
      <c r="A890" s="12">
        <v>45264</v>
      </c>
      <c r="B890" s="80" t="s">
        <v>1697</v>
      </c>
      <c r="C890" s="20">
        <v>45264</v>
      </c>
      <c r="D890" s="13">
        <v>6147723</v>
      </c>
      <c r="E890" s="80" t="s">
        <v>471</v>
      </c>
      <c r="F890" s="80" t="s">
        <v>472</v>
      </c>
      <c r="G890" s="80" t="s">
        <v>192</v>
      </c>
      <c r="H890" s="17">
        <v>5205449</v>
      </c>
      <c r="I890" s="17" t="str">
        <f>VLOOKUP(H890,[1]MASTER!$A:$B,2,0)</f>
        <v>PVC-WH1000F-Premium-Bag-25KG</v>
      </c>
      <c r="J890" s="13">
        <v>2230240422</v>
      </c>
      <c r="K890" s="80">
        <v>25</v>
      </c>
      <c r="L890" s="85">
        <v>60</v>
      </c>
      <c r="M890" s="80">
        <f t="shared" ref="M890:M905" si="819">K890*L890</f>
        <v>1500</v>
      </c>
      <c r="N890" s="20">
        <v>45264</v>
      </c>
      <c r="O890" s="80" t="s">
        <v>1698</v>
      </c>
      <c r="P890" s="80" t="s">
        <v>144</v>
      </c>
      <c r="Q890" s="85" t="s">
        <v>30</v>
      </c>
      <c r="R890" s="80" t="s">
        <v>1699</v>
      </c>
      <c r="S890" s="81">
        <v>261685218267</v>
      </c>
      <c r="T890" s="20">
        <v>45264</v>
      </c>
      <c r="U890" s="123"/>
      <c r="V890" s="80">
        <v>663</v>
      </c>
      <c r="W890" s="29">
        <v>45264.583333333336</v>
      </c>
      <c r="X890" s="29">
        <v>45264.923611111109</v>
      </c>
      <c r="Y890" s="30">
        <f t="shared" ref="Y890:Y893" si="820">+X890-W890</f>
        <v>0.34027777777373558</v>
      </c>
      <c r="Z890" s="29">
        <v>45264.739583333336</v>
      </c>
      <c r="AA890" s="29">
        <v>45264.916666666664</v>
      </c>
      <c r="AB890" s="30">
        <f t="shared" ref="AB890:AB893" si="821">+AA890-Z890</f>
        <v>0.17708333332848269</v>
      </c>
    </row>
    <row r="891" spans="1:28" x14ac:dyDescent="0.25">
      <c r="A891" s="12">
        <v>45264</v>
      </c>
      <c r="B891" s="80" t="s">
        <v>1697</v>
      </c>
      <c r="C891" s="20">
        <v>45264</v>
      </c>
      <c r="D891" s="13">
        <v>6147723</v>
      </c>
      <c r="E891" s="80" t="s">
        <v>471</v>
      </c>
      <c r="F891" s="80" t="s">
        <v>472</v>
      </c>
      <c r="G891" s="80" t="s">
        <v>192</v>
      </c>
      <c r="H891" s="17">
        <v>5205449</v>
      </c>
      <c r="I891" s="17" t="str">
        <f>VLOOKUP(H891,[1]MASTER!$A:$B,2,0)</f>
        <v>PVC-WH1000F-Premium-Bag-25KG</v>
      </c>
      <c r="J891" s="13">
        <v>2230239912</v>
      </c>
      <c r="K891" s="80">
        <v>25</v>
      </c>
      <c r="L891" s="85">
        <v>680</v>
      </c>
      <c r="M891" s="80">
        <f t="shared" si="819"/>
        <v>17000</v>
      </c>
      <c r="N891" s="20">
        <v>45264</v>
      </c>
      <c r="O891" s="80" t="s">
        <v>1698</v>
      </c>
      <c r="P891" s="80" t="s">
        <v>144</v>
      </c>
      <c r="Q891" s="85" t="s">
        <v>30</v>
      </c>
      <c r="R891" s="80" t="s">
        <v>1699</v>
      </c>
      <c r="S891" s="81">
        <v>261685218267</v>
      </c>
      <c r="T891" s="20">
        <v>45264</v>
      </c>
      <c r="U891" s="123"/>
      <c r="V891" s="80">
        <v>663</v>
      </c>
      <c r="W891" s="29">
        <v>45264.583333333336</v>
      </c>
      <c r="X891" s="29">
        <v>45264.923611111109</v>
      </c>
      <c r="Y891" s="30">
        <f t="shared" si="820"/>
        <v>0.34027777777373558</v>
      </c>
      <c r="Z891" s="29">
        <v>45264.739583333336</v>
      </c>
      <c r="AA891" s="29">
        <v>45264.916666666664</v>
      </c>
      <c r="AB891" s="30">
        <f t="shared" si="821"/>
        <v>0.17708333332848269</v>
      </c>
    </row>
    <row r="892" spans="1:28" x14ac:dyDescent="0.25">
      <c r="A892" s="12">
        <v>45264</v>
      </c>
      <c r="B892" s="80" t="s">
        <v>1697</v>
      </c>
      <c r="C892" s="20">
        <v>45264</v>
      </c>
      <c r="D892" s="13">
        <v>6147723</v>
      </c>
      <c r="E892" s="80" t="s">
        <v>471</v>
      </c>
      <c r="F892" s="80" t="s">
        <v>472</v>
      </c>
      <c r="G892" s="80" t="s">
        <v>192</v>
      </c>
      <c r="H892" s="17">
        <v>5205449</v>
      </c>
      <c r="I892" s="17" t="str">
        <f>VLOOKUP(H892,[1]MASTER!$A:$B,2,0)</f>
        <v>PVC-WH1000F-Premium-Bag-25KG</v>
      </c>
      <c r="J892" s="13">
        <v>1230239862</v>
      </c>
      <c r="K892" s="80">
        <v>25</v>
      </c>
      <c r="L892" s="85">
        <v>694</v>
      </c>
      <c r="M892" s="80">
        <f t="shared" si="819"/>
        <v>17350</v>
      </c>
      <c r="N892" s="20">
        <v>45264</v>
      </c>
      <c r="O892" s="80" t="s">
        <v>1698</v>
      </c>
      <c r="P892" s="80" t="s">
        <v>144</v>
      </c>
      <c r="Q892" s="85" t="s">
        <v>30</v>
      </c>
      <c r="R892" s="80" t="s">
        <v>1699</v>
      </c>
      <c r="S892" s="81">
        <v>261685218267</v>
      </c>
      <c r="T892" s="20">
        <v>45264</v>
      </c>
      <c r="U892" s="123"/>
      <c r="V892" s="80">
        <v>663</v>
      </c>
      <c r="W892" s="29">
        <v>45264.583333333336</v>
      </c>
      <c r="X892" s="29">
        <v>45264.923611111109</v>
      </c>
      <c r="Y892" s="30">
        <f t="shared" si="820"/>
        <v>0.34027777777373558</v>
      </c>
      <c r="Z892" s="29">
        <v>45264.739583333336</v>
      </c>
      <c r="AA892" s="29">
        <v>45264.916666666664</v>
      </c>
      <c r="AB892" s="30">
        <f t="shared" si="821"/>
        <v>0.17708333332848269</v>
      </c>
    </row>
    <row r="893" spans="1:28" x14ac:dyDescent="0.25">
      <c r="A893" s="12">
        <v>45265</v>
      </c>
      <c r="B893" s="80" t="s">
        <v>1700</v>
      </c>
      <c r="C893" s="46">
        <v>45265</v>
      </c>
      <c r="D893" s="13">
        <v>6147723</v>
      </c>
      <c r="E893" s="80" t="s">
        <v>471</v>
      </c>
      <c r="F893" s="80" t="s">
        <v>472</v>
      </c>
      <c r="G893" s="80" t="s">
        <v>192</v>
      </c>
      <c r="H893" s="17">
        <v>5205449</v>
      </c>
      <c r="I893" s="17" t="str">
        <f>VLOOKUP(H893,[1]MASTER!$A:$B,2,0)</f>
        <v>PVC-WH1000F-Premium-Bag-25KG</v>
      </c>
      <c r="J893" s="13">
        <v>1230239862</v>
      </c>
      <c r="K893" s="80">
        <v>25</v>
      </c>
      <c r="L893" s="80">
        <v>265</v>
      </c>
      <c r="M893" s="80">
        <f t="shared" si="819"/>
        <v>6625</v>
      </c>
      <c r="N893" s="46">
        <v>45265</v>
      </c>
      <c r="O893" s="80" t="s">
        <v>1698</v>
      </c>
      <c r="P893" s="80" t="s">
        <v>144</v>
      </c>
      <c r="Q893" s="85" t="s">
        <v>30</v>
      </c>
      <c r="R893" s="80" t="s">
        <v>1701</v>
      </c>
      <c r="S893" s="81">
        <v>281685740708</v>
      </c>
      <c r="T893" s="46">
        <v>45265</v>
      </c>
      <c r="U893" s="50"/>
      <c r="V893" s="80">
        <v>664</v>
      </c>
      <c r="W893" s="29">
        <v>45265.583333333336</v>
      </c>
      <c r="X893" s="29">
        <v>45265.965277777781</v>
      </c>
      <c r="Y893" s="30">
        <f t="shared" si="820"/>
        <v>0.38194444444525288</v>
      </c>
      <c r="Z893" s="29">
        <v>45265.708333333336</v>
      </c>
      <c r="AA893" s="29">
        <v>45265.965277777781</v>
      </c>
      <c r="AB893" s="30">
        <f t="shared" si="821"/>
        <v>0.25694444444525288</v>
      </c>
    </row>
    <row r="894" spans="1:28" x14ac:dyDescent="0.25">
      <c r="A894" s="12">
        <v>45265</v>
      </c>
      <c r="B894" s="80" t="s">
        <v>1700</v>
      </c>
      <c r="C894" s="46">
        <v>45265</v>
      </c>
      <c r="D894" s="13">
        <v>6147723</v>
      </c>
      <c r="E894" s="80" t="s">
        <v>471</v>
      </c>
      <c r="F894" s="80" t="s">
        <v>472</v>
      </c>
      <c r="G894" s="80" t="s">
        <v>192</v>
      </c>
      <c r="H894" s="17">
        <v>5205449</v>
      </c>
      <c r="I894" s="17" t="str">
        <f>VLOOKUP(H894,[1]MASTER!$A:$B,2,0)</f>
        <v>PVC-WH1000F-Premium-Bag-25KG</v>
      </c>
      <c r="J894" s="13">
        <v>2230240022</v>
      </c>
      <c r="K894" s="80">
        <v>25</v>
      </c>
      <c r="L894" s="80">
        <v>100</v>
      </c>
      <c r="M894" s="80">
        <f t="shared" si="819"/>
        <v>2500</v>
      </c>
      <c r="N894" s="46">
        <v>45265</v>
      </c>
      <c r="O894" s="80" t="s">
        <v>1698</v>
      </c>
      <c r="P894" s="80" t="s">
        <v>144</v>
      </c>
      <c r="Q894" s="85" t="s">
        <v>30</v>
      </c>
      <c r="R894" s="80" t="s">
        <v>1701</v>
      </c>
      <c r="S894" s="81">
        <v>281685740708</v>
      </c>
      <c r="T894" s="46">
        <v>45265</v>
      </c>
      <c r="U894" s="50"/>
      <c r="V894" s="80">
        <v>664</v>
      </c>
      <c r="W894" s="29">
        <v>45265.583333333336</v>
      </c>
      <c r="X894" s="29">
        <v>45265.965277777781</v>
      </c>
      <c r="Y894" s="30">
        <f t="shared" ref="Y894:Y905" si="822">+X894-W894</f>
        <v>0.38194444444525288</v>
      </c>
      <c r="Z894" s="29">
        <v>45265.708333333336</v>
      </c>
      <c r="AA894" s="29">
        <v>45265.965277777781</v>
      </c>
      <c r="AB894" s="30">
        <f t="shared" ref="AB894:AB905" si="823">+AA894-Z894</f>
        <v>0.25694444444525288</v>
      </c>
    </row>
    <row r="895" spans="1:28" x14ac:dyDescent="0.25">
      <c r="A895" s="12">
        <v>45265</v>
      </c>
      <c r="B895" s="80" t="s">
        <v>1700</v>
      </c>
      <c r="C895" s="46">
        <v>45265</v>
      </c>
      <c r="D895" s="13">
        <v>6147723</v>
      </c>
      <c r="E895" s="80" t="s">
        <v>471</v>
      </c>
      <c r="F895" s="80" t="s">
        <v>472</v>
      </c>
      <c r="G895" s="80" t="s">
        <v>192</v>
      </c>
      <c r="H895" s="17">
        <v>5205449</v>
      </c>
      <c r="I895" s="17" t="str">
        <f>VLOOKUP(H895,[1]MASTER!$A:$B,2,0)</f>
        <v>PVC-WH1000F-Premium-Bag-25KG</v>
      </c>
      <c r="J895" s="13">
        <v>2230239912</v>
      </c>
      <c r="K895" s="80">
        <v>25</v>
      </c>
      <c r="L895" s="80">
        <v>780</v>
      </c>
      <c r="M895" s="80">
        <f t="shared" si="819"/>
        <v>19500</v>
      </c>
      <c r="N895" s="46">
        <v>45265</v>
      </c>
      <c r="O895" s="80" t="s">
        <v>1698</v>
      </c>
      <c r="P895" s="80" t="s">
        <v>144</v>
      </c>
      <c r="Q895" s="85" t="s">
        <v>30</v>
      </c>
      <c r="R895" s="80" t="s">
        <v>1701</v>
      </c>
      <c r="S895" s="81">
        <v>281685740708</v>
      </c>
      <c r="T895" s="46">
        <v>45265</v>
      </c>
      <c r="U895" s="50"/>
      <c r="V895" s="80">
        <v>664</v>
      </c>
      <c r="W895" s="29">
        <v>45265.583333333336</v>
      </c>
      <c r="X895" s="29">
        <v>45265.965277777781</v>
      </c>
      <c r="Y895" s="30">
        <f t="shared" si="822"/>
        <v>0.38194444444525288</v>
      </c>
      <c r="Z895" s="29">
        <v>45265.708333333336</v>
      </c>
      <c r="AA895" s="29">
        <v>45265.965277777781</v>
      </c>
      <c r="AB895" s="30">
        <f t="shared" si="823"/>
        <v>0.25694444444525288</v>
      </c>
    </row>
    <row r="896" spans="1:28" x14ac:dyDescent="0.25">
      <c r="A896" s="12">
        <v>45265</v>
      </c>
      <c r="B896" s="80" t="s">
        <v>1700</v>
      </c>
      <c r="C896" s="46">
        <v>45265</v>
      </c>
      <c r="D896" s="90">
        <v>8381635</v>
      </c>
      <c r="E896" s="80" t="s">
        <v>471</v>
      </c>
      <c r="F896" s="80" t="s">
        <v>472</v>
      </c>
      <c r="G896" s="80" t="s">
        <v>192</v>
      </c>
      <c r="H896" s="17">
        <v>5205449</v>
      </c>
      <c r="I896" s="17" t="str">
        <f>VLOOKUP(H896,[1]MASTER!$A:$B,2,0)</f>
        <v>PVC-WH1000F-Premium-Bag-25KG</v>
      </c>
      <c r="J896" s="90">
        <v>1230455862</v>
      </c>
      <c r="K896" s="80">
        <v>25</v>
      </c>
      <c r="L896" s="80">
        <v>255</v>
      </c>
      <c r="M896" s="80">
        <f t="shared" si="819"/>
        <v>6375</v>
      </c>
      <c r="N896" s="46">
        <v>45265</v>
      </c>
      <c r="O896" s="80" t="s">
        <v>1698</v>
      </c>
      <c r="P896" s="80" t="s">
        <v>144</v>
      </c>
      <c r="Q896" s="85" t="s">
        <v>30</v>
      </c>
      <c r="R896" s="80" t="s">
        <v>1701</v>
      </c>
      <c r="S896" s="81">
        <v>281685740708</v>
      </c>
      <c r="T896" s="46">
        <v>45265</v>
      </c>
      <c r="U896" s="50"/>
      <c r="V896" s="80">
        <v>664</v>
      </c>
      <c r="W896" s="29">
        <v>45265.583333333336</v>
      </c>
      <c r="X896" s="29">
        <v>45265.965277777781</v>
      </c>
      <c r="Y896" s="30">
        <f t="shared" si="822"/>
        <v>0.38194444444525288</v>
      </c>
      <c r="Z896" s="29">
        <v>45265.708333333336</v>
      </c>
      <c r="AA896" s="29">
        <v>45265.965277777781</v>
      </c>
      <c r="AB896" s="30">
        <f t="shared" si="823"/>
        <v>0.25694444444525288</v>
      </c>
    </row>
    <row r="897" spans="1:28" x14ac:dyDescent="0.25">
      <c r="A897" s="12">
        <v>45265</v>
      </c>
      <c r="B897" s="80" t="s">
        <v>1703</v>
      </c>
      <c r="C897" s="20">
        <v>45265</v>
      </c>
      <c r="D897" s="13">
        <v>7933360</v>
      </c>
      <c r="E897" s="80" t="s">
        <v>477</v>
      </c>
      <c r="F897" s="80" t="s">
        <v>1280</v>
      </c>
      <c r="G897" s="80" t="s">
        <v>132</v>
      </c>
      <c r="H897" s="17">
        <v>5309040</v>
      </c>
      <c r="I897" s="17" t="s">
        <v>105</v>
      </c>
      <c r="J897" s="13" t="s">
        <v>1210</v>
      </c>
      <c r="K897" s="80">
        <v>250</v>
      </c>
      <c r="L897" s="80">
        <v>110</v>
      </c>
      <c r="M897" s="80">
        <f t="shared" si="819"/>
        <v>27500</v>
      </c>
      <c r="N897" s="20">
        <v>45265</v>
      </c>
      <c r="O897" s="80" t="s">
        <v>399</v>
      </c>
      <c r="P897" s="80" t="s">
        <v>134</v>
      </c>
      <c r="Q897" s="85">
        <v>2694</v>
      </c>
      <c r="R897" s="80" t="s">
        <v>1704</v>
      </c>
      <c r="S897" s="81">
        <v>211685740989</v>
      </c>
      <c r="T897" s="20">
        <v>45265</v>
      </c>
      <c r="U897" s="123"/>
      <c r="V897" s="80">
        <v>665</v>
      </c>
      <c r="W897" s="29">
        <v>45265.666666666664</v>
      </c>
      <c r="X897" s="29">
        <v>45265.993055555555</v>
      </c>
      <c r="Y897" s="30">
        <f t="shared" si="822"/>
        <v>0.32638888889050577</v>
      </c>
      <c r="Z897" s="29">
        <v>45265.916666666664</v>
      </c>
      <c r="AA897" s="29">
        <v>45265.986111111109</v>
      </c>
      <c r="AB897" s="30">
        <f t="shared" si="823"/>
        <v>6.9444444445252884E-2</v>
      </c>
    </row>
    <row r="898" spans="1:28" x14ac:dyDescent="0.25">
      <c r="A898" s="12">
        <v>45265</v>
      </c>
      <c r="B898" s="80" t="s">
        <v>1702</v>
      </c>
      <c r="C898" s="20">
        <v>45265</v>
      </c>
      <c r="D898" s="90">
        <v>8378218</v>
      </c>
      <c r="E898" s="80" t="s">
        <v>196</v>
      </c>
      <c r="F898" s="80" t="s">
        <v>197</v>
      </c>
      <c r="G898" s="80" t="s">
        <v>132</v>
      </c>
      <c r="H898" s="17">
        <v>5230831</v>
      </c>
      <c r="I898" s="17" t="s">
        <v>35</v>
      </c>
      <c r="J898" s="94" t="s">
        <v>1488</v>
      </c>
      <c r="K898" s="80">
        <v>240</v>
      </c>
      <c r="L898" s="80">
        <v>40</v>
      </c>
      <c r="M898" s="80">
        <f t="shared" si="819"/>
        <v>9600</v>
      </c>
      <c r="N898" s="20">
        <v>45265</v>
      </c>
      <c r="O898" s="80" t="s">
        <v>136</v>
      </c>
      <c r="P898" s="80" t="s">
        <v>144</v>
      </c>
      <c r="Q898" s="85">
        <v>5746</v>
      </c>
      <c r="R898" s="80" t="s">
        <v>521</v>
      </c>
      <c r="S898" s="81">
        <v>211685716683</v>
      </c>
      <c r="T898" s="20">
        <v>45265</v>
      </c>
      <c r="U898" s="123"/>
      <c r="V898" s="80">
        <v>666</v>
      </c>
      <c r="W898" s="29">
        <v>45265.645833333336</v>
      </c>
      <c r="X898" s="29">
        <v>45265.881944444445</v>
      </c>
      <c r="Y898" s="30">
        <f t="shared" si="822"/>
        <v>0.23611111110949423</v>
      </c>
      <c r="Z898" s="29">
        <v>45265.850694444445</v>
      </c>
      <c r="AA898" s="29">
        <v>45265.871527777781</v>
      </c>
      <c r="AB898" s="30">
        <f t="shared" si="823"/>
        <v>2.0833333335758653E-2</v>
      </c>
    </row>
    <row r="899" spans="1:28" x14ac:dyDescent="0.25">
      <c r="A899" s="12">
        <v>45265</v>
      </c>
      <c r="B899" s="80" t="s">
        <v>1705</v>
      </c>
      <c r="C899" s="20">
        <v>45264</v>
      </c>
      <c r="D899" s="13">
        <v>6147723</v>
      </c>
      <c r="E899" s="80" t="s">
        <v>471</v>
      </c>
      <c r="F899" s="80" t="s">
        <v>472</v>
      </c>
      <c r="G899" s="80" t="s">
        <v>192</v>
      </c>
      <c r="H899" s="17">
        <v>5205449</v>
      </c>
      <c r="I899" s="17" t="str">
        <f>VLOOKUP(H899,[1]MASTER!$A:$B,2,0)</f>
        <v>PVC-WH1000F-Premium-Bag-25KG</v>
      </c>
      <c r="J899" s="13">
        <v>1230239672</v>
      </c>
      <c r="K899" s="80">
        <v>25</v>
      </c>
      <c r="L899" s="80">
        <v>120</v>
      </c>
      <c r="M899" s="80">
        <f t="shared" si="819"/>
        <v>3000</v>
      </c>
      <c r="N899" s="20">
        <v>45265</v>
      </c>
      <c r="O899" s="80" t="s">
        <v>204</v>
      </c>
      <c r="P899" s="80" t="s">
        <v>144</v>
      </c>
      <c r="Q899" s="80" t="s">
        <v>30</v>
      </c>
      <c r="R899" s="80" t="s">
        <v>1706</v>
      </c>
      <c r="S899" s="81">
        <v>241685717924</v>
      </c>
      <c r="T899" s="20">
        <v>45265</v>
      </c>
      <c r="U899" s="123"/>
      <c r="V899" s="80">
        <v>667</v>
      </c>
      <c r="W899" s="29">
        <v>45265.402777777781</v>
      </c>
      <c r="X899" s="29">
        <v>45265.756944444445</v>
      </c>
      <c r="Y899" s="30">
        <f t="shared" si="822"/>
        <v>0.35416666666424135</v>
      </c>
      <c r="Z899" s="29">
        <v>45265.5</v>
      </c>
      <c r="AA899" s="29">
        <v>45265.75</v>
      </c>
      <c r="AB899" s="30">
        <f t="shared" si="823"/>
        <v>0.25</v>
      </c>
    </row>
    <row r="900" spans="1:28" x14ac:dyDescent="0.25">
      <c r="A900" s="12">
        <v>45265</v>
      </c>
      <c r="B900" s="80" t="s">
        <v>1705</v>
      </c>
      <c r="C900" s="20">
        <v>45264</v>
      </c>
      <c r="D900" s="13">
        <v>6147723</v>
      </c>
      <c r="E900" s="80" t="s">
        <v>471</v>
      </c>
      <c r="F900" s="80" t="s">
        <v>472</v>
      </c>
      <c r="G900" s="80" t="s">
        <v>192</v>
      </c>
      <c r="H900" s="17">
        <v>5205449</v>
      </c>
      <c r="I900" s="17" t="str">
        <f>VLOOKUP(H900,[1]MASTER!$A:$B,2,0)</f>
        <v>PVC-WH1000F-Premium-Bag-25KG</v>
      </c>
      <c r="J900" s="13">
        <v>2230240022</v>
      </c>
      <c r="K900" s="80">
        <v>25</v>
      </c>
      <c r="L900" s="80">
        <v>420</v>
      </c>
      <c r="M900" s="80">
        <f t="shared" ref="M900:M902" si="824">K900*L900</f>
        <v>10500</v>
      </c>
      <c r="N900" s="20">
        <v>45265</v>
      </c>
      <c r="O900" s="80" t="s">
        <v>204</v>
      </c>
      <c r="P900" s="80" t="s">
        <v>144</v>
      </c>
      <c r="Q900" s="80" t="s">
        <v>30</v>
      </c>
      <c r="R900" s="80" t="s">
        <v>1706</v>
      </c>
      <c r="S900" s="81">
        <v>241685717924</v>
      </c>
      <c r="T900" s="20">
        <v>45265</v>
      </c>
      <c r="U900" s="123"/>
      <c r="V900" s="80">
        <v>667</v>
      </c>
      <c r="W900" s="29">
        <v>45265.402777777781</v>
      </c>
      <c r="X900" s="29">
        <v>45265.756944444445</v>
      </c>
      <c r="Y900" s="30">
        <f t="shared" ref="Y900:Y902" si="825">+X900-W900</f>
        <v>0.35416666666424135</v>
      </c>
      <c r="Z900" s="29">
        <v>45265.5</v>
      </c>
      <c r="AA900" s="29">
        <v>45265.75</v>
      </c>
      <c r="AB900" s="30">
        <f t="shared" ref="AB900:AB902" si="826">+AA900-Z900</f>
        <v>0.25</v>
      </c>
    </row>
    <row r="901" spans="1:28" x14ac:dyDescent="0.25">
      <c r="A901" s="12">
        <v>45265</v>
      </c>
      <c r="B901" s="80" t="s">
        <v>1705</v>
      </c>
      <c r="C901" s="20">
        <v>45264</v>
      </c>
      <c r="D901" s="13">
        <v>6147723</v>
      </c>
      <c r="E901" s="80" t="s">
        <v>471</v>
      </c>
      <c r="F901" s="80" t="s">
        <v>472</v>
      </c>
      <c r="G901" s="80" t="s">
        <v>192</v>
      </c>
      <c r="H901" s="17">
        <v>5205449</v>
      </c>
      <c r="I901" s="17" t="str">
        <f>VLOOKUP(H901,[1]MASTER!$A:$B,2,0)</f>
        <v>PVC-WH1000F-Premium-Bag-25KG</v>
      </c>
      <c r="J901" s="13">
        <v>2230240422</v>
      </c>
      <c r="K901" s="80">
        <v>25</v>
      </c>
      <c r="L901" s="80">
        <v>660</v>
      </c>
      <c r="M901" s="80">
        <f t="shared" si="824"/>
        <v>16500</v>
      </c>
      <c r="N901" s="20">
        <v>45265</v>
      </c>
      <c r="O901" s="80" t="s">
        <v>204</v>
      </c>
      <c r="P901" s="80" t="s">
        <v>144</v>
      </c>
      <c r="Q901" s="80" t="s">
        <v>30</v>
      </c>
      <c r="R901" s="80" t="s">
        <v>1706</v>
      </c>
      <c r="S901" s="81">
        <v>241685717924</v>
      </c>
      <c r="T901" s="20">
        <v>45265</v>
      </c>
      <c r="U901" s="123"/>
      <c r="V901" s="80">
        <v>667</v>
      </c>
      <c r="W901" s="29">
        <v>45265.402777777781</v>
      </c>
      <c r="X901" s="29">
        <v>45265.756944444445</v>
      </c>
      <c r="Y901" s="30">
        <f t="shared" si="825"/>
        <v>0.35416666666424135</v>
      </c>
      <c r="Z901" s="29">
        <v>45265.5</v>
      </c>
      <c r="AA901" s="29">
        <v>45265.75</v>
      </c>
      <c r="AB901" s="30">
        <f t="shared" si="826"/>
        <v>0.25</v>
      </c>
    </row>
    <row r="902" spans="1:28" x14ac:dyDescent="0.25">
      <c r="A902" s="12">
        <v>45265</v>
      </c>
      <c r="B902" s="80" t="s">
        <v>1705</v>
      </c>
      <c r="C902" s="20">
        <v>45264</v>
      </c>
      <c r="D902" s="13">
        <v>6147723</v>
      </c>
      <c r="E902" s="80" t="s">
        <v>471</v>
      </c>
      <c r="F902" s="80" t="s">
        <v>472</v>
      </c>
      <c r="G902" s="80" t="s">
        <v>192</v>
      </c>
      <c r="H902" s="17">
        <v>5205449</v>
      </c>
      <c r="I902" s="17" t="str">
        <f>VLOOKUP(H902,[1]MASTER!$A:$B,2,0)</f>
        <v>PVC-WH1000F-Premium-Bag-25KG</v>
      </c>
      <c r="J902" s="13">
        <v>2230240022</v>
      </c>
      <c r="K902" s="80">
        <v>25</v>
      </c>
      <c r="L902" s="80">
        <v>200</v>
      </c>
      <c r="M902" s="80">
        <f t="shared" si="824"/>
        <v>5000</v>
      </c>
      <c r="N902" s="20">
        <v>45265</v>
      </c>
      <c r="O902" s="80" t="s">
        <v>204</v>
      </c>
      <c r="P902" s="80" t="s">
        <v>144</v>
      </c>
      <c r="Q902" s="80" t="s">
        <v>30</v>
      </c>
      <c r="R902" s="80" t="s">
        <v>1706</v>
      </c>
      <c r="S902" s="81">
        <v>241685717924</v>
      </c>
      <c r="T902" s="20">
        <v>45265</v>
      </c>
      <c r="U902" s="123"/>
      <c r="V902" s="80">
        <v>667</v>
      </c>
      <c r="W902" s="29">
        <v>45265.402777777781</v>
      </c>
      <c r="X902" s="29">
        <v>45265.756944444445</v>
      </c>
      <c r="Y902" s="30">
        <f t="shared" si="825"/>
        <v>0.35416666666424135</v>
      </c>
      <c r="Z902" s="29">
        <v>45265.5</v>
      </c>
      <c r="AA902" s="29">
        <v>45265.75</v>
      </c>
      <c r="AB902" s="30">
        <f t="shared" si="826"/>
        <v>0.25</v>
      </c>
    </row>
    <row r="903" spans="1:28" x14ac:dyDescent="0.25">
      <c r="A903" s="12">
        <v>45265</v>
      </c>
      <c r="B903" s="80" t="s">
        <v>1707</v>
      </c>
      <c r="C903" s="20">
        <v>45264</v>
      </c>
      <c r="D903" s="13">
        <v>8261236</v>
      </c>
      <c r="E903" s="80" t="s">
        <v>1131</v>
      </c>
      <c r="F903" s="80" t="s">
        <v>215</v>
      </c>
      <c r="G903" s="80" t="s">
        <v>132</v>
      </c>
      <c r="H903" s="17">
        <v>5230831</v>
      </c>
      <c r="I903" s="17" t="s">
        <v>35</v>
      </c>
      <c r="J903" s="49" t="s">
        <v>1368</v>
      </c>
      <c r="K903" s="80">
        <v>240</v>
      </c>
      <c r="L903" s="80">
        <v>40</v>
      </c>
      <c r="M903" s="80">
        <f t="shared" si="819"/>
        <v>9600</v>
      </c>
      <c r="N903" s="20">
        <v>45265</v>
      </c>
      <c r="O903" s="80" t="s">
        <v>136</v>
      </c>
      <c r="P903" s="80" t="s">
        <v>144</v>
      </c>
      <c r="Q903" s="80" t="s">
        <v>30</v>
      </c>
      <c r="R903" s="80" t="s">
        <v>817</v>
      </c>
      <c r="S903" s="81">
        <v>251685708059</v>
      </c>
      <c r="T903" s="20">
        <v>45265</v>
      </c>
      <c r="U903" s="123"/>
      <c r="V903" s="80">
        <v>668</v>
      </c>
      <c r="W903" s="29">
        <v>45265.791666666664</v>
      </c>
      <c r="X903" s="29">
        <v>45265.854166666664</v>
      </c>
      <c r="Y903" s="30">
        <f t="shared" si="822"/>
        <v>6.25E-2</v>
      </c>
      <c r="Z903" s="29">
        <v>45265.819444444445</v>
      </c>
      <c r="AA903" s="29">
        <v>45265.840277777781</v>
      </c>
      <c r="AB903" s="30">
        <f t="shared" si="823"/>
        <v>2.0833333335758653E-2</v>
      </c>
    </row>
    <row r="904" spans="1:28" x14ac:dyDescent="0.25">
      <c r="A904" s="12">
        <v>45265</v>
      </c>
      <c r="B904" s="80" t="s">
        <v>1708</v>
      </c>
      <c r="C904" s="20">
        <v>45265</v>
      </c>
      <c r="D904" s="90">
        <v>8378218</v>
      </c>
      <c r="E904" s="80" t="s">
        <v>214</v>
      </c>
      <c r="F904" s="80" t="s">
        <v>215</v>
      </c>
      <c r="G904" s="80" t="s">
        <v>132</v>
      </c>
      <c r="H904" s="17">
        <v>5230831</v>
      </c>
      <c r="I904" s="17" t="s">
        <v>35</v>
      </c>
      <c r="J904" s="94" t="s">
        <v>1488</v>
      </c>
      <c r="K904" s="80">
        <v>240</v>
      </c>
      <c r="L904" s="80">
        <v>24</v>
      </c>
      <c r="M904" s="80">
        <f t="shared" si="819"/>
        <v>5760</v>
      </c>
      <c r="N904" s="20">
        <v>45265</v>
      </c>
      <c r="O904" s="80" t="s">
        <v>298</v>
      </c>
      <c r="P904" s="80" t="s">
        <v>134</v>
      </c>
      <c r="Q904" s="80">
        <v>2693</v>
      </c>
      <c r="R904" s="80" t="s">
        <v>1709</v>
      </c>
      <c r="S904" s="81">
        <v>221685705329</v>
      </c>
      <c r="T904" s="20">
        <v>45265</v>
      </c>
      <c r="U904" s="123"/>
      <c r="V904" s="80">
        <v>669</v>
      </c>
      <c r="W904" s="29">
        <v>45265.604166666664</v>
      </c>
      <c r="X904" s="29">
        <v>45265.826388888891</v>
      </c>
      <c r="Y904" s="30">
        <f t="shared" si="822"/>
        <v>0.22222222222626442</v>
      </c>
      <c r="Z904" s="29">
        <v>45265.805555555555</v>
      </c>
      <c r="AA904" s="29">
        <v>45265.826388888891</v>
      </c>
      <c r="AB904" s="30">
        <f t="shared" si="823"/>
        <v>2.0833333335758653E-2</v>
      </c>
    </row>
    <row r="905" spans="1:28" x14ac:dyDescent="0.25">
      <c r="A905" s="12">
        <v>45265</v>
      </c>
      <c r="B905" s="80" t="s">
        <v>1710</v>
      </c>
      <c r="C905" s="20">
        <v>45265</v>
      </c>
      <c r="D905" s="90">
        <v>8378218</v>
      </c>
      <c r="E905" s="80" t="s">
        <v>648</v>
      </c>
      <c r="F905" s="80" t="s">
        <v>506</v>
      </c>
      <c r="G905" s="80" t="s">
        <v>132</v>
      </c>
      <c r="H905" s="17">
        <v>5230831</v>
      </c>
      <c r="I905" s="17" t="s">
        <v>35</v>
      </c>
      <c r="J905" s="94" t="s">
        <v>1488</v>
      </c>
      <c r="K905" s="80">
        <v>240</v>
      </c>
      <c r="L905" s="80">
        <v>14</v>
      </c>
      <c r="M905" s="80">
        <f t="shared" si="819"/>
        <v>3360</v>
      </c>
      <c r="N905" s="20">
        <v>45265</v>
      </c>
      <c r="O905" s="80" t="s">
        <v>136</v>
      </c>
      <c r="P905" s="80" t="s">
        <v>144</v>
      </c>
      <c r="Q905" s="85" t="s">
        <v>30</v>
      </c>
      <c r="R905" s="80" t="s">
        <v>1711</v>
      </c>
      <c r="S905" s="81">
        <v>221685706562</v>
      </c>
      <c r="T905" s="20">
        <v>45265</v>
      </c>
      <c r="U905" s="123"/>
      <c r="V905" s="80">
        <v>670</v>
      </c>
      <c r="W905" s="29">
        <v>45265.576388888891</v>
      </c>
      <c r="X905" s="29">
        <v>45265.836805555555</v>
      </c>
      <c r="Y905" s="30">
        <f t="shared" si="822"/>
        <v>0.26041666666424135</v>
      </c>
      <c r="Z905" s="29">
        <v>45265.819444444445</v>
      </c>
      <c r="AA905" s="29">
        <v>45265.836805555555</v>
      </c>
      <c r="AB905" s="30">
        <f t="shared" si="823"/>
        <v>1.7361111109494232E-2</v>
      </c>
    </row>
    <row r="906" spans="1:28" x14ac:dyDescent="0.25">
      <c r="A906" s="12">
        <v>45265</v>
      </c>
      <c r="B906" s="80" t="s">
        <v>1710</v>
      </c>
      <c r="C906" s="20">
        <v>45265</v>
      </c>
      <c r="D906" s="13">
        <v>7753447</v>
      </c>
      <c r="E906" s="80" t="s">
        <v>648</v>
      </c>
      <c r="F906" s="80" t="s">
        <v>506</v>
      </c>
      <c r="G906" s="80" t="s">
        <v>132</v>
      </c>
      <c r="H906" s="17">
        <v>5306988</v>
      </c>
      <c r="I906" s="17" t="s">
        <v>55</v>
      </c>
      <c r="J906" s="14" t="s">
        <v>998</v>
      </c>
      <c r="K906" s="80">
        <v>200</v>
      </c>
      <c r="L906" s="80">
        <v>20</v>
      </c>
      <c r="M906" s="80">
        <f t="shared" ref="M906:M940" si="827">K906*L906</f>
        <v>4000</v>
      </c>
      <c r="N906" s="20">
        <v>45265</v>
      </c>
      <c r="O906" s="80" t="s">
        <v>136</v>
      </c>
      <c r="P906" s="80" t="s">
        <v>144</v>
      </c>
      <c r="Q906" s="85" t="s">
        <v>30</v>
      </c>
      <c r="R906" s="80" t="s">
        <v>1711</v>
      </c>
      <c r="S906" s="81">
        <v>221685706562</v>
      </c>
      <c r="T906" s="20">
        <v>45265</v>
      </c>
      <c r="U906" s="123"/>
      <c r="V906" s="80">
        <v>670</v>
      </c>
      <c r="W906" s="29">
        <v>45265.576388888891</v>
      </c>
      <c r="X906" s="29">
        <v>45265.836805555555</v>
      </c>
      <c r="Y906" s="30">
        <f t="shared" ref="Y906:Y937" si="828">+X906-W906</f>
        <v>0.26041666666424135</v>
      </c>
      <c r="Z906" s="29">
        <v>45265.819444444445</v>
      </c>
      <c r="AA906" s="29">
        <v>45265.836805555555</v>
      </c>
      <c r="AB906" s="30">
        <f t="shared" ref="AB906:AB937" si="829">+AA906-Z906</f>
        <v>1.7361111109494232E-2</v>
      </c>
    </row>
    <row r="907" spans="1:28" x14ac:dyDescent="0.25">
      <c r="A907" s="12">
        <v>45265</v>
      </c>
      <c r="B907" s="80" t="s">
        <v>1712</v>
      </c>
      <c r="C907" s="20">
        <v>45265</v>
      </c>
      <c r="D907" s="90">
        <v>8378218</v>
      </c>
      <c r="E907" s="80" t="s">
        <v>175</v>
      </c>
      <c r="F907" s="80" t="s">
        <v>680</v>
      </c>
      <c r="G907" s="80" t="s">
        <v>132</v>
      </c>
      <c r="H907" s="17">
        <v>5230831</v>
      </c>
      <c r="I907" s="17" t="s">
        <v>35</v>
      </c>
      <c r="J907" s="94" t="s">
        <v>1488</v>
      </c>
      <c r="K907" s="80">
        <v>240</v>
      </c>
      <c r="L907" s="80">
        <v>35</v>
      </c>
      <c r="M907" s="80">
        <f t="shared" si="827"/>
        <v>8400</v>
      </c>
      <c r="N907" s="20">
        <v>45265</v>
      </c>
      <c r="O907" s="80" t="s">
        <v>177</v>
      </c>
      <c r="P907" s="80" t="s">
        <v>144</v>
      </c>
      <c r="Q907" s="85" t="s">
        <v>30</v>
      </c>
      <c r="R907" s="80" t="s">
        <v>590</v>
      </c>
      <c r="S907" s="81">
        <v>201685668237</v>
      </c>
      <c r="T907" s="20">
        <v>45265</v>
      </c>
      <c r="U907" s="123"/>
      <c r="V907" s="80">
        <v>671</v>
      </c>
      <c r="W907" s="29">
        <v>45265.440972222219</v>
      </c>
      <c r="X907" s="29">
        <v>45265.791666666664</v>
      </c>
      <c r="Y907" s="30">
        <f t="shared" si="828"/>
        <v>0.35069444444525288</v>
      </c>
      <c r="Z907" s="29">
        <v>45265.777777777781</v>
      </c>
      <c r="AA907" s="29">
        <v>45265.791666666664</v>
      </c>
      <c r="AB907" s="30">
        <f t="shared" si="829"/>
        <v>1.3888888883229811E-2</v>
      </c>
    </row>
    <row r="908" spans="1:28" x14ac:dyDescent="0.25">
      <c r="A908" s="12">
        <v>45265</v>
      </c>
      <c r="B908" s="80" t="s">
        <v>1713</v>
      </c>
      <c r="C908" s="20">
        <v>45265</v>
      </c>
      <c r="D908" s="90">
        <v>8378218</v>
      </c>
      <c r="E908" s="80" t="s">
        <v>175</v>
      </c>
      <c r="F908" s="80" t="s">
        <v>680</v>
      </c>
      <c r="G908" s="80" t="s">
        <v>132</v>
      </c>
      <c r="H908" s="17">
        <v>5230831</v>
      </c>
      <c r="I908" s="17" t="s">
        <v>35</v>
      </c>
      <c r="J908" s="94" t="s">
        <v>1488</v>
      </c>
      <c r="K908" s="80">
        <v>240</v>
      </c>
      <c r="L908" s="80">
        <v>35</v>
      </c>
      <c r="M908" s="80">
        <f t="shared" si="827"/>
        <v>8400</v>
      </c>
      <c r="N908" s="20">
        <v>45265</v>
      </c>
      <c r="O908" s="80" t="s">
        <v>177</v>
      </c>
      <c r="P908" s="80" t="s">
        <v>144</v>
      </c>
      <c r="Q908" s="85" t="s">
        <v>30</v>
      </c>
      <c r="R908" s="80" t="s">
        <v>180</v>
      </c>
      <c r="S908" s="81">
        <v>231685667697</v>
      </c>
      <c r="T908" s="20">
        <v>45265</v>
      </c>
      <c r="U908" s="123"/>
      <c r="V908" s="80">
        <v>672</v>
      </c>
      <c r="W908" s="29">
        <v>45265.479166666664</v>
      </c>
      <c r="X908" s="29">
        <v>45265.770833333336</v>
      </c>
      <c r="Y908" s="30">
        <f t="shared" si="828"/>
        <v>0.29166666667151731</v>
      </c>
      <c r="Z908" s="29">
        <v>45265.743055555555</v>
      </c>
      <c r="AA908" s="29">
        <v>45265.767361111109</v>
      </c>
      <c r="AB908" s="30">
        <f t="shared" si="829"/>
        <v>2.4305555554747116E-2</v>
      </c>
    </row>
    <row r="909" spans="1:28" x14ac:dyDescent="0.25">
      <c r="A909" s="12">
        <v>45265</v>
      </c>
      <c r="B909" s="80" t="s">
        <v>1714</v>
      </c>
      <c r="C909" s="20">
        <v>45265</v>
      </c>
      <c r="D909" s="13">
        <v>8178885</v>
      </c>
      <c r="E909" s="80" t="s">
        <v>175</v>
      </c>
      <c r="F909" s="80" t="s">
        <v>680</v>
      </c>
      <c r="G909" s="80" t="s">
        <v>132</v>
      </c>
      <c r="H909" s="17">
        <v>5230831</v>
      </c>
      <c r="I909" s="17" t="s">
        <v>35</v>
      </c>
      <c r="J909" s="14" t="s">
        <v>1259</v>
      </c>
      <c r="K909" s="80">
        <v>240</v>
      </c>
      <c r="L909" s="80">
        <v>10</v>
      </c>
      <c r="M909" s="80">
        <f t="shared" si="827"/>
        <v>2400</v>
      </c>
      <c r="N909" s="20">
        <v>45265</v>
      </c>
      <c r="O909" s="80" t="s">
        <v>555</v>
      </c>
      <c r="P909" s="80" t="s">
        <v>144</v>
      </c>
      <c r="Q909" s="85" t="s">
        <v>30</v>
      </c>
      <c r="R909" s="80" t="s">
        <v>182</v>
      </c>
      <c r="S909" s="81">
        <v>271685658833</v>
      </c>
      <c r="T909" s="20">
        <v>45265</v>
      </c>
      <c r="U909" s="123"/>
      <c r="V909" s="80">
        <v>673</v>
      </c>
      <c r="W909" s="29">
        <v>45265.479166666664</v>
      </c>
      <c r="X909" s="29">
        <v>45265.774305555555</v>
      </c>
      <c r="Y909" s="30">
        <f t="shared" si="828"/>
        <v>0.29513888889050577</v>
      </c>
      <c r="Z909" s="29">
        <v>45265.760416666664</v>
      </c>
      <c r="AA909" s="29">
        <v>45265.770833333336</v>
      </c>
      <c r="AB909" s="30">
        <f t="shared" si="829"/>
        <v>1.0416666671517305E-2</v>
      </c>
    </row>
    <row r="910" spans="1:28" x14ac:dyDescent="0.25">
      <c r="A910" s="12">
        <v>45265</v>
      </c>
      <c r="B910" s="80" t="s">
        <v>1715</v>
      </c>
      <c r="C910" s="20">
        <v>45265</v>
      </c>
      <c r="D910" s="80">
        <v>8477658</v>
      </c>
      <c r="E910" s="80" t="s">
        <v>191</v>
      </c>
      <c r="F910" s="80" t="s">
        <v>135</v>
      </c>
      <c r="G910" s="80" t="s">
        <v>192</v>
      </c>
      <c r="H910" s="17">
        <v>5212252</v>
      </c>
      <c r="I910" s="17" t="s">
        <v>23</v>
      </c>
      <c r="J910" s="50" t="s">
        <v>1545</v>
      </c>
      <c r="K910" s="80">
        <v>25</v>
      </c>
      <c r="L910" s="80">
        <v>53</v>
      </c>
      <c r="M910" s="80">
        <f t="shared" si="827"/>
        <v>1325</v>
      </c>
      <c r="N910" s="20">
        <v>45265</v>
      </c>
      <c r="O910" s="80" t="s">
        <v>136</v>
      </c>
      <c r="P910" s="80" t="s">
        <v>144</v>
      </c>
      <c r="Q910" s="85" t="s">
        <v>30</v>
      </c>
      <c r="R910" s="80" t="s">
        <v>330</v>
      </c>
      <c r="S910" s="81">
        <v>241685661887</v>
      </c>
      <c r="T910" s="20">
        <v>45265</v>
      </c>
      <c r="U910" s="123"/>
      <c r="V910" s="80">
        <v>674</v>
      </c>
      <c r="W910" s="29">
        <v>45265.520833333336</v>
      </c>
      <c r="X910" s="29">
        <v>45265.75</v>
      </c>
      <c r="Y910" s="30">
        <f t="shared" si="828"/>
        <v>0.22916666666424135</v>
      </c>
      <c r="Z910" s="29">
        <v>45265.715277777781</v>
      </c>
      <c r="AA910" s="29">
        <v>45265.75</v>
      </c>
      <c r="AB910" s="30">
        <f t="shared" si="829"/>
        <v>3.4722222218988463E-2</v>
      </c>
    </row>
    <row r="911" spans="1:28" x14ac:dyDescent="0.25">
      <c r="A911" s="12">
        <v>45265</v>
      </c>
      <c r="B911" s="80" t="s">
        <v>1715</v>
      </c>
      <c r="C911" s="20">
        <v>45265</v>
      </c>
      <c r="D911" s="80">
        <v>8657969</v>
      </c>
      <c r="E911" s="80" t="s">
        <v>191</v>
      </c>
      <c r="F911" s="80" t="s">
        <v>135</v>
      </c>
      <c r="G911" s="80" t="s">
        <v>192</v>
      </c>
      <c r="H911" s="17">
        <v>5212252</v>
      </c>
      <c r="I911" s="17" t="s">
        <v>23</v>
      </c>
      <c r="J911" s="80" t="s">
        <v>1545</v>
      </c>
      <c r="K911" s="80">
        <v>25</v>
      </c>
      <c r="L911" s="80">
        <v>327</v>
      </c>
      <c r="M911" s="80">
        <f t="shared" ref="M911" si="830">K911*L911</f>
        <v>8175</v>
      </c>
      <c r="N911" s="20">
        <v>45265</v>
      </c>
      <c r="O911" s="80" t="s">
        <v>136</v>
      </c>
      <c r="P911" s="80" t="s">
        <v>144</v>
      </c>
      <c r="Q911" s="85" t="s">
        <v>30</v>
      </c>
      <c r="R911" s="80" t="s">
        <v>330</v>
      </c>
      <c r="S911" s="81">
        <v>241685661887</v>
      </c>
      <c r="T911" s="20">
        <v>45265</v>
      </c>
      <c r="U911" s="123"/>
      <c r="V911" s="80">
        <v>674</v>
      </c>
      <c r="W911" s="29">
        <v>45265.520833333336</v>
      </c>
      <c r="X911" s="29">
        <v>45265.75</v>
      </c>
      <c r="Y911" s="30">
        <f t="shared" ref="Y911" si="831">+X911-W911</f>
        <v>0.22916666666424135</v>
      </c>
      <c r="Z911" s="29">
        <v>45265.715277777781</v>
      </c>
      <c r="AA911" s="29">
        <v>45265.75</v>
      </c>
      <c r="AB911" s="30">
        <f t="shared" ref="AB911" si="832">+AA911-Z911</f>
        <v>3.4722222218988463E-2</v>
      </c>
    </row>
    <row r="912" spans="1:28" x14ac:dyDescent="0.25">
      <c r="A912" s="12">
        <v>45265</v>
      </c>
      <c r="B912" s="80" t="s">
        <v>1715</v>
      </c>
      <c r="C912" s="20">
        <v>45265</v>
      </c>
      <c r="D912" s="51">
        <v>8373156</v>
      </c>
      <c r="E912" s="80" t="s">
        <v>191</v>
      </c>
      <c r="F912" s="80" t="s">
        <v>135</v>
      </c>
      <c r="G912" s="80" t="s">
        <v>192</v>
      </c>
      <c r="H912" s="17">
        <v>5211013</v>
      </c>
      <c r="I912" s="17" t="s">
        <v>27</v>
      </c>
      <c r="J912" s="51" t="s">
        <v>1417</v>
      </c>
      <c r="K912" s="80">
        <v>25</v>
      </c>
      <c r="L912" s="80">
        <v>20</v>
      </c>
      <c r="M912" s="80">
        <f t="shared" ref="M912" si="833">K912*L912</f>
        <v>500</v>
      </c>
      <c r="N912" s="20">
        <v>45265</v>
      </c>
      <c r="O912" s="80" t="s">
        <v>136</v>
      </c>
      <c r="P912" s="80" t="s">
        <v>144</v>
      </c>
      <c r="Q912" s="85" t="s">
        <v>30</v>
      </c>
      <c r="R912" s="80" t="s">
        <v>330</v>
      </c>
      <c r="S912" s="81">
        <v>241685661887</v>
      </c>
      <c r="T912" s="20">
        <v>45265</v>
      </c>
      <c r="U912" s="123"/>
      <c r="V912" s="80">
        <v>674</v>
      </c>
      <c r="W912" s="29">
        <v>45265.520833333336</v>
      </c>
      <c r="X912" s="29">
        <v>45265.75</v>
      </c>
      <c r="Y912" s="30">
        <f t="shared" ref="Y912" si="834">+X912-W912</f>
        <v>0.22916666666424135</v>
      </c>
      <c r="Z912" s="29">
        <v>45265.715277777781</v>
      </c>
      <c r="AA912" s="29">
        <v>45265.75</v>
      </c>
      <c r="AB912" s="30">
        <f t="shared" ref="AB912" si="835">+AA912-Z912</f>
        <v>3.4722222218988463E-2</v>
      </c>
    </row>
    <row r="913" spans="1:28" x14ac:dyDescent="0.25">
      <c r="A913" s="12">
        <v>45265</v>
      </c>
      <c r="B913" s="80" t="s">
        <v>1716</v>
      </c>
      <c r="C913" s="20">
        <v>45262</v>
      </c>
      <c r="D913" s="13">
        <v>5743118</v>
      </c>
      <c r="E913" s="80" t="s">
        <v>1717</v>
      </c>
      <c r="F913" s="80" t="s">
        <v>1718</v>
      </c>
      <c r="G913" s="80" t="s">
        <v>192</v>
      </c>
      <c r="H913" s="17">
        <v>5211003</v>
      </c>
      <c r="I913" s="17" t="s">
        <v>31</v>
      </c>
      <c r="J913" s="13" t="s">
        <v>85</v>
      </c>
      <c r="K913" s="80">
        <v>25</v>
      </c>
      <c r="L913" s="80">
        <v>846</v>
      </c>
      <c r="M913" s="80">
        <f t="shared" si="827"/>
        <v>21150</v>
      </c>
      <c r="N913" s="20">
        <v>45265</v>
      </c>
      <c r="O913" s="80" t="s">
        <v>1719</v>
      </c>
      <c r="P913" s="80" t="s">
        <v>1720</v>
      </c>
      <c r="Q913" s="123">
        <v>718</v>
      </c>
      <c r="R913" s="80" t="s">
        <v>1650</v>
      </c>
      <c r="S913" s="81">
        <v>221685490623</v>
      </c>
      <c r="T913" s="20">
        <v>45265</v>
      </c>
      <c r="U913" s="123"/>
      <c r="V913" s="80">
        <v>675</v>
      </c>
      <c r="W913" s="29">
        <v>45265.416666666664</v>
      </c>
      <c r="X913" s="29">
        <v>45265.784722222219</v>
      </c>
      <c r="Y913" s="30">
        <f t="shared" si="828"/>
        <v>0.36805555555474712</v>
      </c>
      <c r="Z913" s="29">
        <v>45265.694444444445</v>
      </c>
      <c r="AA913" s="29">
        <v>45265.774305555555</v>
      </c>
      <c r="AB913" s="30">
        <f t="shared" si="829"/>
        <v>7.9861111109494232E-2</v>
      </c>
    </row>
    <row r="914" spans="1:28" x14ac:dyDescent="0.25">
      <c r="A914" s="12">
        <v>45265</v>
      </c>
      <c r="B914" s="80" t="s">
        <v>1716</v>
      </c>
      <c r="C914" s="20">
        <v>45262</v>
      </c>
      <c r="D914" s="13">
        <v>5851097</v>
      </c>
      <c r="E914" s="80" t="s">
        <v>1717</v>
      </c>
      <c r="F914" s="80" t="s">
        <v>1718</v>
      </c>
      <c r="G914" s="80" t="s">
        <v>192</v>
      </c>
      <c r="H914" s="17">
        <v>5211003</v>
      </c>
      <c r="I914" s="17" t="s">
        <v>31</v>
      </c>
      <c r="J914" s="13" t="s">
        <v>97</v>
      </c>
      <c r="K914" s="80">
        <v>25</v>
      </c>
      <c r="L914" s="80">
        <v>154</v>
      </c>
      <c r="M914" s="80">
        <f t="shared" ref="M914" si="836">K914*L914</f>
        <v>3850</v>
      </c>
      <c r="N914" s="20">
        <v>45265</v>
      </c>
      <c r="O914" s="80" t="s">
        <v>1719</v>
      </c>
      <c r="P914" s="80" t="s">
        <v>1720</v>
      </c>
      <c r="Q914" s="123">
        <v>718</v>
      </c>
      <c r="R914" s="80" t="s">
        <v>1650</v>
      </c>
      <c r="S914" s="81">
        <v>221685490623</v>
      </c>
      <c r="T914" s="20">
        <v>45265</v>
      </c>
      <c r="U914" s="123"/>
      <c r="V914" s="80">
        <v>675</v>
      </c>
      <c r="W914" s="29">
        <v>45265.416666666664</v>
      </c>
      <c r="X914" s="29">
        <v>45265.784722222219</v>
      </c>
      <c r="Y914" s="30">
        <f t="shared" ref="Y914" si="837">+X914-W914</f>
        <v>0.36805555555474712</v>
      </c>
      <c r="Z914" s="29">
        <v>45265.694444444445</v>
      </c>
      <c r="AA914" s="29">
        <v>45265.774305555555</v>
      </c>
      <c r="AB914" s="30">
        <f t="shared" ref="AB914" si="838">+AA914-Z914</f>
        <v>7.9861111109494232E-2</v>
      </c>
    </row>
    <row r="915" spans="1:28" x14ac:dyDescent="0.25">
      <c r="A915" s="12">
        <v>45265</v>
      </c>
      <c r="B915" s="80" t="s">
        <v>1716</v>
      </c>
      <c r="C915" s="20">
        <v>45262</v>
      </c>
      <c r="D915" s="13">
        <v>5851097</v>
      </c>
      <c r="E915" s="80" t="s">
        <v>1717</v>
      </c>
      <c r="F915" s="80" t="s">
        <v>1718</v>
      </c>
      <c r="G915" s="80" t="s">
        <v>192</v>
      </c>
      <c r="H915" s="17">
        <v>5211003</v>
      </c>
      <c r="I915" s="17" t="s">
        <v>31</v>
      </c>
      <c r="J915" s="13" t="s">
        <v>97</v>
      </c>
      <c r="K915" s="80">
        <v>25</v>
      </c>
      <c r="L915" s="80">
        <v>346</v>
      </c>
      <c r="M915" s="80">
        <f t="shared" si="827"/>
        <v>8650</v>
      </c>
      <c r="N915" s="20">
        <v>45265</v>
      </c>
      <c r="O915" s="80" t="s">
        <v>1719</v>
      </c>
      <c r="P915" s="80" t="s">
        <v>1720</v>
      </c>
      <c r="Q915" s="123">
        <v>719</v>
      </c>
      <c r="R915" s="80" t="s">
        <v>772</v>
      </c>
      <c r="S915" s="81">
        <v>221685490623</v>
      </c>
      <c r="T915" s="20">
        <v>45265</v>
      </c>
      <c r="U915" s="123"/>
      <c r="V915" s="80">
        <v>676</v>
      </c>
      <c r="W915" s="29">
        <v>45265.416666666664</v>
      </c>
      <c r="X915" s="29">
        <v>45265.604166666664</v>
      </c>
      <c r="Y915" s="30">
        <f t="shared" si="828"/>
        <v>0.1875</v>
      </c>
      <c r="Z915" s="29">
        <v>45265.458333333336</v>
      </c>
      <c r="AA915" s="29">
        <v>45265.590277777781</v>
      </c>
      <c r="AB915" s="30">
        <f t="shared" si="829"/>
        <v>0.13194444444525288</v>
      </c>
    </row>
    <row r="916" spans="1:28" x14ac:dyDescent="0.25">
      <c r="A916" s="12">
        <v>45265</v>
      </c>
      <c r="B916" s="80" t="s">
        <v>1716</v>
      </c>
      <c r="C916" s="20">
        <v>45262</v>
      </c>
      <c r="D916" s="13">
        <v>5916473</v>
      </c>
      <c r="E916" s="80" t="s">
        <v>1717</v>
      </c>
      <c r="F916" s="80" t="s">
        <v>1718</v>
      </c>
      <c r="G916" s="80" t="s">
        <v>192</v>
      </c>
      <c r="H916" s="17">
        <v>5211003</v>
      </c>
      <c r="I916" s="17" t="s">
        <v>31</v>
      </c>
      <c r="J916" s="13" t="s">
        <v>100</v>
      </c>
      <c r="K916" s="80">
        <v>25</v>
      </c>
      <c r="L916" s="80">
        <v>640</v>
      </c>
      <c r="M916" s="80">
        <f t="shared" ref="M916:M917" si="839">K916*L916</f>
        <v>16000</v>
      </c>
      <c r="N916" s="20">
        <v>45265</v>
      </c>
      <c r="O916" s="80" t="s">
        <v>1719</v>
      </c>
      <c r="P916" s="80" t="s">
        <v>1720</v>
      </c>
      <c r="Q916" s="123">
        <v>719</v>
      </c>
      <c r="R916" s="80" t="s">
        <v>772</v>
      </c>
      <c r="S916" s="81">
        <v>221685490623</v>
      </c>
      <c r="T916" s="20">
        <v>45265</v>
      </c>
      <c r="U916" s="123"/>
      <c r="V916" s="80">
        <v>676</v>
      </c>
      <c r="W916" s="29">
        <v>45265.416666666664</v>
      </c>
      <c r="X916" s="29">
        <v>45265.604166666664</v>
      </c>
      <c r="Y916" s="30">
        <f t="shared" ref="Y916:Y917" si="840">+X916-W916</f>
        <v>0.1875</v>
      </c>
      <c r="Z916" s="29">
        <v>45265.458333333336</v>
      </c>
      <c r="AA916" s="29">
        <v>45265.590277777781</v>
      </c>
      <c r="AB916" s="30">
        <f t="shared" ref="AB916:AB917" si="841">+AA916-Z916</f>
        <v>0.13194444444525288</v>
      </c>
    </row>
    <row r="917" spans="1:28" x14ac:dyDescent="0.25">
      <c r="A917" s="12">
        <v>45265</v>
      </c>
      <c r="B917" s="80" t="s">
        <v>1716</v>
      </c>
      <c r="C917" s="20">
        <v>45262</v>
      </c>
      <c r="D917" s="13">
        <v>6166455</v>
      </c>
      <c r="E917" s="80" t="s">
        <v>1717</v>
      </c>
      <c r="F917" s="80" t="s">
        <v>1718</v>
      </c>
      <c r="G917" s="80" t="s">
        <v>192</v>
      </c>
      <c r="H917" s="17">
        <v>5211003</v>
      </c>
      <c r="I917" s="17" t="s">
        <v>31</v>
      </c>
      <c r="J917" s="13" t="s">
        <v>274</v>
      </c>
      <c r="K917" s="80">
        <v>25</v>
      </c>
      <c r="L917" s="80">
        <v>14</v>
      </c>
      <c r="M917" s="80">
        <f t="shared" si="839"/>
        <v>350</v>
      </c>
      <c r="N917" s="20">
        <v>45265</v>
      </c>
      <c r="O917" s="80" t="s">
        <v>1719</v>
      </c>
      <c r="P917" s="80" t="s">
        <v>1720</v>
      </c>
      <c r="Q917" s="123">
        <v>719</v>
      </c>
      <c r="R917" s="80" t="s">
        <v>772</v>
      </c>
      <c r="S917" s="81">
        <v>221685490623</v>
      </c>
      <c r="T917" s="20">
        <v>45265</v>
      </c>
      <c r="U917" s="123"/>
      <c r="V917" s="80">
        <v>676</v>
      </c>
      <c r="W917" s="29">
        <v>45265.416666666664</v>
      </c>
      <c r="X917" s="29">
        <v>45265.604166666664</v>
      </c>
      <c r="Y917" s="30">
        <f t="shared" si="840"/>
        <v>0.1875</v>
      </c>
      <c r="Z917" s="29">
        <v>45265.458333333336</v>
      </c>
      <c r="AA917" s="29">
        <v>45265.590277777781</v>
      </c>
      <c r="AB917" s="30">
        <f t="shared" si="841"/>
        <v>0.13194444444525288</v>
      </c>
    </row>
    <row r="918" spans="1:28" x14ac:dyDescent="0.25">
      <c r="A918" s="12">
        <v>45265</v>
      </c>
      <c r="B918" s="80" t="s">
        <v>1721</v>
      </c>
      <c r="C918" s="20">
        <v>45265</v>
      </c>
      <c r="D918" s="80">
        <v>8477658</v>
      </c>
      <c r="E918" s="80" t="s">
        <v>859</v>
      </c>
      <c r="F918" s="80" t="s">
        <v>289</v>
      </c>
      <c r="G918" s="80" t="s">
        <v>192</v>
      </c>
      <c r="H918" s="17">
        <v>5212252</v>
      </c>
      <c r="I918" s="17" t="s">
        <v>23</v>
      </c>
      <c r="J918" s="80" t="s">
        <v>1545</v>
      </c>
      <c r="K918" s="80">
        <v>25</v>
      </c>
      <c r="L918" s="80">
        <v>400</v>
      </c>
      <c r="M918" s="80">
        <f t="shared" si="827"/>
        <v>10000</v>
      </c>
      <c r="N918" s="20">
        <v>45265</v>
      </c>
      <c r="O918" s="80" t="s">
        <v>136</v>
      </c>
      <c r="P918" s="80" t="s">
        <v>144</v>
      </c>
      <c r="Q918" s="85" t="s">
        <v>30</v>
      </c>
      <c r="R918" s="80" t="s">
        <v>1644</v>
      </c>
      <c r="S918" s="81">
        <v>201685502766</v>
      </c>
      <c r="T918" s="20">
        <v>45265</v>
      </c>
      <c r="U918" s="123"/>
      <c r="V918" s="80">
        <v>677</v>
      </c>
      <c r="W918" s="29">
        <v>45265.5</v>
      </c>
      <c r="X918" s="29">
        <v>45265.638888888891</v>
      </c>
      <c r="Y918" s="30">
        <f t="shared" si="828"/>
        <v>0.13888888889050577</v>
      </c>
      <c r="Z918" s="29">
        <v>45265.583333333336</v>
      </c>
      <c r="AA918" s="29">
        <v>45265.638888888891</v>
      </c>
      <c r="AB918" s="30">
        <f t="shared" si="829"/>
        <v>5.5555555554747116E-2</v>
      </c>
    </row>
    <row r="919" spans="1:28" x14ac:dyDescent="0.25">
      <c r="A919" s="12">
        <v>45265</v>
      </c>
      <c r="B919" s="80" t="s">
        <v>1725</v>
      </c>
      <c r="C919" s="20">
        <v>45265</v>
      </c>
      <c r="D919" s="13">
        <v>7933360</v>
      </c>
      <c r="E919" s="80" t="s">
        <v>477</v>
      </c>
      <c r="F919" s="80" t="s">
        <v>1280</v>
      </c>
      <c r="G919" s="80" t="s">
        <v>132</v>
      </c>
      <c r="H919" s="17">
        <v>5309040</v>
      </c>
      <c r="I919" s="17" t="s">
        <v>105</v>
      </c>
      <c r="J919" s="13" t="s">
        <v>1210</v>
      </c>
      <c r="K919" s="80">
        <v>250</v>
      </c>
      <c r="L919" s="80">
        <v>107</v>
      </c>
      <c r="M919" s="80">
        <f t="shared" si="827"/>
        <v>26750</v>
      </c>
      <c r="N919" s="20">
        <v>45266</v>
      </c>
      <c r="O919" s="80" t="s">
        <v>399</v>
      </c>
      <c r="P919" s="80" t="s">
        <v>134</v>
      </c>
      <c r="Q919" s="80">
        <v>2695</v>
      </c>
      <c r="R919" s="80" t="s">
        <v>1726</v>
      </c>
      <c r="S919" s="81">
        <v>201685954251</v>
      </c>
      <c r="T919" s="20">
        <v>45266</v>
      </c>
      <c r="U919" s="123"/>
      <c r="V919" s="80">
        <v>678</v>
      </c>
      <c r="W919" s="29">
        <v>45266.416666666664</v>
      </c>
      <c r="X919" s="29">
        <v>45266.534722222219</v>
      </c>
      <c r="Y919" s="30">
        <f t="shared" si="828"/>
        <v>0.11805555555474712</v>
      </c>
      <c r="Z919" s="29">
        <v>45266.4375</v>
      </c>
      <c r="AA919" s="29">
        <v>45266.534722222219</v>
      </c>
      <c r="AB919" s="30">
        <f t="shared" si="829"/>
        <v>9.7222222218988463E-2</v>
      </c>
    </row>
    <row r="920" spans="1:28" x14ac:dyDescent="0.25">
      <c r="A920" s="12">
        <v>45265</v>
      </c>
      <c r="B920" s="80" t="s">
        <v>1727</v>
      </c>
      <c r="C920" s="20">
        <v>45266</v>
      </c>
      <c r="D920" s="90">
        <v>8381635</v>
      </c>
      <c r="E920" s="80" t="s">
        <v>471</v>
      </c>
      <c r="F920" s="80" t="s">
        <v>472</v>
      </c>
      <c r="G920" s="80" t="s">
        <v>1418</v>
      </c>
      <c r="H920" s="17">
        <v>5205449</v>
      </c>
      <c r="I920" s="17" t="str">
        <f>VLOOKUP(H920,[1]MASTER!$A:$B,2,0)</f>
        <v>PVC-WH1000F-Premium-Bag-25KG</v>
      </c>
      <c r="J920" s="90">
        <v>1230455862</v>
      </c>
      <c r="K920" s="80">
        <v>25</v>
      </c>
      <c r="L920" s="80">
        <v>1400</v>
      </c>
      <c r="M920" s="80">
        <f t="shared" si="827"/>
        <v>35000</v>
      </c>
      <c r="N920" s="20">
        <v>45266</v>
      </c>
      <c r="O920" s="80" t="s">
        <v>204</v>
      </c>
      <c r="P920" s="80" t="s">
        <v>144</v>
      </c>
      <c r="Q920" s="85" t="s">
        <v>30</v>
      </c>
      <c r="R920" s="80" t="s">
        <v>1728</v>
      </c>
      <c r="S920" s="81">
        <v>251686233279</v>
      </c>
      <c r="T920" s="20">
        <v>45266</v>
      </c>
      <c r="U920" s="123"/>
      <c r="V920" s="80">
        <v>679</v>
      </c>
      <c r="W920" s="29">
        <v>45266.5</v>
      </c>
      <c r="X920" s="29">
        <v>45266.833333333336</v>
      </c>
      <c r="Y920" s="30">
        <f t="shared" si="828"/>
        <v>0.33333333333575865</v>
      </c>
      <c r="Z920" s="29">
        <v>45266.666666666664</v>
      </c>
      <c r="AA920" s="29">
        <v>45266.819444444445</v>
      </c>
      <c r="AB920" s="30">
        <f t="shared" si="829"/>
        <v>0.15277777778101154</v>
      </c>
    </row>
    <row r="921" spans="1:28" x14ac:dyDescent="0.25">
      <c r="A921" s="12">
        <v>45265</v>
      </c>
      <c r="B921" s="80" t="s">
        <v>1729</v>
      </c>
      <c r="C921" s="20">
        <v>45266</v>
      </c>
      <c r="D921" s="80">
        <v>8648192</v>
      </c>
      <c r="E921" s="80" t="s">
        <v>1467</v>
      </c>
      <c r="F921" s="80" t="s">
        <v>268</v>
      </c>
      <c r="G921" s="80" t="s">
        <v>132</v>
      </c>
      <c r="H921" s="17">
        <v>5309040</v>
      </c>
      <c r="I921" s="17" t="s">
        <v>105</v>
      </c>
      <c r="J921" s="67" t="s">
        <v>1552</v>
      </c>
      <c r="K921" s="80">
        <v>250</v>
      </c>
      <c r="L921" s="80">
        <v>80</v>
      </c>
      <c r="M921" s="80">
        <f t="shared" si="827"/>
        <v>20000</v>
      </c>
      <c r="N921" s="20">
        <v>45266</v>
      </c>
      <c r="O921" s="80" t="s">
        <v>425</v>
      </c>
      <c r="P921" s="80" t="s">
        <v>134</v>
      </c>
      <c r="Q921" s="80">
        <v>2696</v>
      </c>
      <c r="R921" s="80" t="s">
        <v>1730</v>
      </c>
      <c r="S921" s="81">
        <v>201686214691</v>
      </c>
      <c r="T921" s="20">
        <v>45266</v>
      </c>
      <c r="U921" s="123"/>
      <c r="V921" s="80">
        <v>680</v>
      </c>
      <c r="W921" s="29">
        <v>45266.583333333336</v>
      </c>
      <c r="X921" s="29">
        <v>45266.743055555555</v>
      </c>
      <c r="Y921" s="30">
        <f t="shared" si="828"/>
        <v>0.15972222221898846</v>
      </c>
      <c r="Z921" s="29">
        <v>45266.65625</v>
      </c>
      <c r="AA921" s="29">
        <v>45266.739583333336</v>
      </c>
      <c r="AB921" s="30">
        <f t="shared" si="829"/>
        <v>8.3333333335758653E-2</v>
      </c>
    </row>
    <row r="922" spans="1:28" x14ac:dyDescent="0.25">
      <c r="A922" s="12">
        <v>45265</v>
      </c>
      <c r="B922" s="80" t="s">
        <v>1731</v>
      </c>
      <c r="C922" s="20">
        <v>45265</v>
      </c>
      <c r="D922" s="51">
        <v>8373156</v>
      </c>
      <c r="E922" s="80" t="s">
        <v>230</v>
      </c>
      <c r="F922" s="80" t="s">
        <v>231</v>
      </c>
      <c r="G922" s="80" t="s">
        <v>192</v>
      </c>
      <c r="H922" s="17">
        <v>5211013</v>
      </c>
      <c r="I922" s="17" t="s">
        <v>27</v>
      </c>
      <c r="J922" s="51" t="s">
        <v>1417</v>
      </c>
      <c r="K922" s="80">
        <v>25</v>
      </c>
      <c r="L922" s="80">
        <v>600</v>
      </c>
      <c r="M922" s="80">
        <f t="shared" si="827"/>
        <v>15000</v>
      </c>
      <c r="N922" s="20">
        <v>45266</v>
      </c>
      <c r="O922" s="80" t="s">
        <v>739</v>
      </c>
      <c r="P922" s="80" t="s">
        <v>134</v>
      </c>
      <c r="Q922" s="80">
        <v>2697</v>
      </c>
      <c r="R922" s="80" t="s">
        <v>1732</v>
      </c>
      <c r="S922" s="81">
        <v>221686230482</v>
      </c>
      <c r="T922" s="20">
        <v>45266</v>
      </c>
      <c r="U922" s="123"/>
      <c r="V922" s="80">
        <v>681</v>
      </c>
      <c r="W922" s="29">
        <v>45266.666666666664</v>
      </c>
      <c r="X922" s="29">
        <v>45266.840277777781</v>
      </c>
      <c r="Y922" s="30">
        <f t="shared" si="828"/>
        <v>0.17361111111677019</v>
      </c>
      <c r="Z922" s="29">
        <v>45266.756944444445</v>
      </c>
      <c r="AA922" s="29">
        <v>45266.840277777781</v>
      </c>
      <c r="AB922" s="30">
        <f t="shared" si="829"/>
        <v>8.3333333335758653E-2</v>
      </c>
    </row>
    <row r="923" spans="1:28" x14ac:dyDescent="0.25">
      <c r="A923" s="12">
        <v>45265</v>
      </c>
      <c r="B923" s="80" t="s">
        <v>1733</v>
      </c>
      <c r="C923" s="20">
        <v>45266</v>
      </c>
      <c r="D923" s="90">
        <v>8378218</v>
      </c>
      <c r="E923" s="80" t="s">
        <v>1089</v>
      </c>
      <c r="F923" s="80" t="s">
        <v>215</v>
      </c>
      <c r="G923" s="80" t="s">
        <v>132</v>
      </c>
      <c r="H923" s="17">
        <v>5230831</v>
      </c>
      <c r="I923" s="17" t="s">
        <v>35</v>
      </c>
      <c r="J923" s="94" t="s">
        <v>1488</v>
      </c>
      <c r="K923" s="80">
        <v>240</v>
      </c>
      <c r="L923" s="80">
        <v>20</v>
      </c>
      <c r="M923" s="80">
        <f t="shared" si="827"/>
        <v>4800</v>
      </c>
      <c r="N923" s="20">
        <v>45266</v>
      </c>
      <c r="O923" s="80" t="s">
        <v>298</v>
      </c>
      <c r="P923" s="80" t="s">
        <v>134</v>
      </c>
      <c r="Q923" s="80">
        <v>2698</v>
      </c>
      <c r="R923" s="80" t="s">
        <v>1734</v>
      </c>
      <c r="S923" s="81">
        <v>201686236538</v>
      </c>
      <c r="T923" s="20">
        <v>45266</v>
      </c>
      <c r="U923" s="123"/>
      <c r="V923" s="80">
        <v>682</v>
      </c>
      <c r="W923" s="29">
        <v>45266.798611111109</v>
      </c>
      <c r="X923" s="29">
        <v>45266.868055555555</v>
      </c>
      <c r="Y923" s="30">
        <f t="shared" si="828"/>
        <v>6.9444444445252884E-2</v>
      </c>
      <c r="Z923" s="29">
        <v>45266.850694444445</v>
      </c>
      <c r="AA923" s="29">
        <v>45266.864583333336</v>
      </c>
      <c r="AB923" s="30">
        <f t="shared" si="829"/>
        <v>1.3888888890505768E-2</v>
      </c>
    </row>
    <row r="924" spans="1:28" x14ac:dyDescent="0.25">
      <c r="A924" s="12">
        <v>45265</v>
      </c>
      <c r="B924" s="80" t="s">
        <v>1735</v>
      </c>
      <c r="C924" s="20">
        <v>45266</v>
      </c>
      <c r="D924" s="80">
        <v>8648192</v>
      </c>
      <c r="E924" s="80" t="s">
        <v>477</v>
      </c>
      <c r="F924" s="80" t="s">
        <v>1280</v>
      </c>
      <c r="G924" s="80" t="s">
        <v>132</v>
      </c>
      <c r="H924" s="17">
        <v>5309040</v>
      </c>
      <c r="I924" s="17" t="s">
        <v>105</v>
      </c>
      <c r="J924" s="80" t="s">
        <v>1536</v>
      </c>
      <c r="K924" s="80">
        <v>250</v>
      </c>
      <c r="L924" s="80">
        <v>110</v>
      </c>
      <c r="M924" s="80">
        <f t="shared" si="827"/>
        <v>27500</v>
      </c>
      <c r="N924" s="20">
        <v>45266</v>
      </c>
      <c r="O924" s="80" t="s">
        <v>399</v>
      </c>
      <c r="P924" s="80" t="s">
        <v>134</v>
      </c>
      <c r="Q924" s="80">
        <v>2699</v>
      </c>
      <c r="R924" s="80" t="s">
        <v>1736</v>
      </c>
      <c r="S924" s="81">
        <v>281686239883</v>
      </c>
      <c r="T924" s="20">
        <v>45266</v>
      </c>
      <c r="U924" s="123"/>
      <c r="V924" s="80">
        <v>683</v>
      </c>
      <c r="W924" s="29">
        <v>45266.680555555555</v>
      </c>
      <c r="X924" s="29">
        <v>45266.899305555555</v>
      </c>
      <c r="Y924" s="30">
        <f t="shared" si="828"/>
        <v>0.21875</v>
      </c>
      <c r="Z924" s="29">
        <v>45266.819444444445</v>
      </c>
      <c r="AA924" s="29">
        <v>45266.895833333336</v>
      </c>
      <c r="AB924" s="30">
        <f t="shared" si="829"/>
        <v>7.6388888890505768E-2</v>
      </c>
    </row>
    <row r="925" spans="1:28" x14ac:dyDescent="0.25">
      <c r="A925" s="12">
        <v>45265</v>
      </c>
      <c r="B925" s="80" t="s">
        <v>1746</v>
      </c>
      <c r="C925" s="20">
        <v>45267</v>
      </c>
      <c r="D925" s="80">
        <v>8734862</v>
      </c>
      <c r="E925" s="80" t="s">
        <v>1410</v>
      </c>
      <c r="F925" s="80" t="s">
        <v>268</v>
      </c>
      <c r="G925" s="80" t="s">
        <v>132</v>
      </c>
      <c r="H925" s="17">
        <v>5230874</v>
      </c>
      <c r="I925" s="17" t="s">
        <v>1316</v>
      </c>
      <c r="J925" s="97" t="s">
        <v>1560</v>
      </c>
      <c r="K925" s="80">
        <v>250</v>
      </c>
      <c r="L925" s="80">
        <v>40</v>
      </c>
      <c r="M925" s="80">
        <f t="shared" si="827"/>
        <v>10000</v>
      </c>
      <c r="N925" s="20">
        <v>45267</v>
      </c>
      <c r="O925" s="80" t="s">
        <v>136</v>
      </c>
      <c r="P925" s="80" t="s">
        <v>134</v>
      </c>
      <c r="Q925" s="80">
        <v>2700</v>
      </c>
      <c r="R925" s="80" t="s">
        <v>1747</v>
      </c>
      <c r="S925" s="81">
        <v>261686640261</v>
      </c>
      <c r="T925" s="20">
        <v>45267</v>
      </c>
      <c r="U925" s="123"/>
      <c r="V925" s="80">
        <v>684</v>
      </c>
      <c r="W925" s="29">
        <v>45267.604166666664</v>
      </c>
      <c r="X925" s="29">
        <v>45267.722222222219</v>
      </c>
      <c r="Y925" s="30">
        <f t="shared" si="828"/>
        <v>0.11805555555474712</v>
      </c>
      <c r="Z925" s="29">
        <v>45267.6875</v>
      </c>
      <c r="AA925" s="29">
        <v>45267.71875</v>
      </c>
      <c r="AB925" s="30">
        <f t="shared" si="829"/>
        <v>3.125E-2</v>
      </c>
    </row>
    <row r="926" spans="1:28" x14ac:dyDescent="0.25">
      <c r="A926" s="12">
        <v>45265</v>
      </c>
      <c r="B926" s="80" t="s">
        <v>1748</v>
      </c>
      <c r="C926" s="20">
        <v>45267</v>
      </c>
      <c r="D926" s="90">
        <v>8378218</v>
      </c>
      <c r="E926" s="80" t="s">
        <v>897</v>
      </c>
      <c r="F926" s="80" t="s">
        <v>240</v>
      </c>
      <c r="G926" s="80" t="s">
        <v>132</v>
      </c>
      <c r="H926" s="17">
        <v>5230831</v>
      </c>
      <c r="I926" s="17" t="s">
        <v>35</v>
      </c>
      <c r="J926" s="14" t="s">
        <v>1488</v>
      </c>
      <c r="K926" s="80">
        <v>240</v>
      </c>
      <c r="L926" s="80">
        <v>6</v>
      </c>
      <c r="M926" s="80">
        <f t="shared" si="827"/>
        <v>1440</v>
      </c>
      <c r="N926" s="20">
        <v>45267</v>
      </c>
      <c r="O926" s="80" t="s">
        <v>298</v>
      </c>
      <c r="P926" s="80" t="s">
        <v>144</v>
      </c>
      <c r="Q926" s="85" t="s">
        <v>30</v>
      </c>
      <c r="R926" s="80" t="s">
        <v>1749</v>
      </c>
      <c r="S926" s="81">
        <v>261686631690</v>
      </c>
      <c r="T926" s="20">
        <v>45267</v>
      </c>
      <c r="U926" s="123"/>
      <c r="V926" s="80">
        <v>685</v>
      </c>
      <c r="W926" s="29">
        <v>45267.5</v>
      </c>
      <c r="X926" s="29">
        <v>45267.736111111109</v>
      </c>
      <c r="Y926" s="30">
        <f t="shared" si="828"/>
        <v>0.23611111110949423</v>
      </c>
      <c r="Z926" s="29">
        <v>45267.722222222219</v>
      </c>
      <c r="AA926" s="29">
        <v>45267.729166666664</v>
      </c>
      <c r="AB926" s="30">
        <f t="shared" si="829"/>
        <v>6.9444444452528842E-3</v>
      </c>
    </row>
    <row r="927" spans="1:28" x14ac:dyDescent="0.25">
      <c r="A927" s="12">
        <v>45265</v>
      </c>
      <c r="B927" s="80" t="s">
        <v>1750</v>
      </c>
      <c r="C927" s="20">
        <v>45267</v>
      </c>
      <c r="D927" s="90">
        <v>8378218</v>
      </c>
      <c r="E927" s="80" t="s">
        <v>175</v>
      </c>
      <c r="F927" s="80" t="s">
        <v>680</v>
      </c>
      <c r="G927" s="80" t="s">
        <v>132</v>
      </c>
      <c r="H927" s="17">
        <v>5230831</v>
      </c>
      <c r="I927" s="17" t="s">
        <v>35</v>
      </c>
      <c r="J927" s="14" t="s">
        <v>1488</v>
      </c>
      <c r="K927" s="80">
        <v>240</v>
      </c>
      <c r="L927" s="80">
        <v>35</v>
      </c>
      <c r="M927" s="80">
        <f t="shared" si="827"/>
        <v>8400</v>
      </c>
      <c r="N927" s="20">
        <v>45267</v>
      </c>
      <c r="O927" s="80" t="s">
        <v>177</v>
      </c>
      <c r="P927" s="80" t="s">
        <v>144</v>
      </c>
      <c r="Q927" s="85" t="s">
        <v>30</v>
      </c>
      <c r="R927" s="80" t="s">
        <v>590</v>
      </c>
      <c r="S927" s="81">
        <v>271686666468</v>
      </c>
      <c r="T927" s="20">
        <v>45267</v>
      </c>
      <c r="U927" s="123"/>
      <c r="V927" s="80">
        <v>686</v>
      </c>
      <c r="W927" s="29">
        <v>45267.541666666664</v>
      </c>
      <c r="X927" s="29">
        <v>45267.75</v>
      </c>
      <c r="Y927" s="30">
        <f t="shared" si="828"/>
        <v>0.20833333333575865</v>
      </c>
      <c r="Z927" s="29">
        <v>45267.729166666664</v>
      </c>
      <c r="AA927" s="29">
        <v>45267.746527777781</v>
      </c>
      <c r="AB927" s="30">
        <f t="shared" si="829"/>
        <v>1.7361111116770189E-2</v>
      </c>
    </row>
    <row r="928" spans="1:28" x14ac:dyDescent="0.25">
      <c r="A928" s="12">
        <v>45265</v>
      </c>
      <c r="B928" s="80" t="s">
        <v>1751</v>
      </c>
      <c r="C928" s="20">
        <v>45267</v>
      </c>
      <c r="D928" s="90">
        <v>8378218</v>
      </c>
      <c r="E928" s="80" t="s">
        <v>175</v>
      </c>
      <c r="F928" s="80" t="s">
        <v>680</v>
      </c>
      <c r="G928" s="80" t="s">
        <v>132</v>
      </c>
      <c r="H928" s="17">
        <v>5230831</v>
      </c>
      <c r="I928" s="17" t="s">
        <v>35</v>
      </c>
      <c r="J928" s="14" t="s">
        <v>1488</v>
      </c>
      <c r="K928" s="80">
        <v>240</v>
      </c>
      <c r="L928" s="80">
        <v>21</v>
      </c>
      <c r="M928" s="80">
        <f t="shared" si="827"/>
        <v>5040</v>
      </c>
      <c r="N928" s="20">
        <v>45267</v>
      </c>
      <c r="O928" s="80" t="s">
        <v>177</v>
      </c>
      <c r="P928" s="80" t="s">
        <v>144</v>
      </c>
      <c r="Q928" s="85" t="s">
        <v>30</v>
      </c>
      <c r="R928" s="80" t="s">
        <v>182</v>
      </c>
      <c r="S928" s="81">
        <v>241686688942</v>
      </c>
      <c r="T928" s="20">
        <v>45267</v>
      </c>
      <c r="U928" s="123"/>
      <c r="V928" s="80">
        <v>687</v>
      </c>
      <c r="W928" s="29">
        <v>45267.694444444445</v>
      </c>
      <c r="X928" s="29">
        <v>45267.777777777781</v>
      </c>
      <c r="Y928" s="30">
        <f t="shared" si="828"/>
        <v>8.3333333335758653E-2</v>
      </c>
      <c r="Z928" s="29">
        <v>45267.75</v>
      </c>
      <c r="AA928" s="29">
        <v>45267.774305555555</v>
      </c>
      <c r="AB928" s="30">
        <f t="shared" si="829"/>
        <v>2.4305555554747116E-2</v>
      </c>
    </row>
    <row r="929" spans="1:28" x14ac:dyDescent="0.25">
      <c r="A929" s="12">
        <v>45265</v>
      </c>
      <c r="B929" s="80" t="s">
        <v>1751</v>
      </c>
      <c r="C929" s="20">
        <v>45267</v>
      </c>
      <c r="D929" s="80">
        <v>8734231</v>
      </c>
      <c r="E929" s="80" t="s">
        <v>175</v>
      </c>
      <c r="F929" s="80" t="s">
        <v>680</v>
      </c>
      <c r="G929" s="80" t="s">
        <v>132</v>
      </c>
      <c r="H929" s="17">
        <v>5230831</v>
      </c>
      <c r="I929" s="17" t="s">
        <v>35</v>
      </c>
      <c r="J929" s="93" t="s">
        <v>1575</v>
      </c>
      <c r="K929" s="80">
        <v>240</v>
      </c>
      <c r="L929" s="80">
        <v>12</v>
      </c>
      <c r="M929" s="80">
        <f t="shared" ref="M929" si="842">K929*L929</f>
        <v>2880</v>
      </c>
      <c r="N929" s="20">
        <v>45267</v>
      </c>
      <c r="O929" s="80" t="s">
        <v>177</v>
      </c>
      <c r="P929" s="80" t="s">
        <v>144</v>
      </c>
      <c r="Q929" s="85" t="s">
        <v>30</v>
      </c>
      <c r="R929" s="80" t="s">
        <v>182</v>
      </c>
      <c r="S929" s="81">
        <v>241686688942</v>
      </c>
      <c r="T929" s="20">
        <v>45267</v>
      </c>
      <c r="U929" s="123"/>
      <c r="V929" s="80">
        <v>687</v>
      </c>
      <c r="W929" s="29">
        <v>45267.694444444445</v>
      </c>
      <c r="X929" s="29">
        <v>45267.777777777781</v>
      </c>
      <c r="Y929" s="30">
        <f t="shared" ref="Y929" si="843">+X929-W929</f>
        <v>8.3333333335758653E-2</v>
      </c>
      <c r="Z929" s="29">
        <v>45267.75</v>
      </c>
      <c r="AA929" s="29">
        <v>45267.774305555555</v>
      </c>
      <c r="AB929" s="30">
        <f t="shared" ref="AB929" si="844">+AA929-Z929</f>
        <v>2.4305555554747116E-2</v>
      </c>
    </row>
    <row r="930" spans="1:28" x14ac:dyDescent="0.25">
      <c r="A930" s="12">
        <v>45265</v>
      </c>
      <c r="B930" s="80" t="s">
        <v>1751</v>
      </c>
      <c r="C930" s="20">
        <v>45267</v>
      </c>
      <c r="D930" s="13">
        <v>8262234</v>
      </c>
      <c r="E930" s="80" t="s">
        <v>175</v>
      </c>
      <c r="F930" s="80" t="s">
        <v>680</v>
      </c>
      <c r="G930" s="80" t="s">
        <v>132</v>
      </c>
      <c r="H930" s="17">
        <v>5230831</v>
      </c>
      <c r="I930" s="17" t="s">
        <v>35</v>
      </c>
      <c r="J930" s="14" t="s">
        <v>1232</v>
      </c>
      <c r="K930" s="80">
        <v>240</v>
      </c>
      <c r="L930" s="80">
        <v>2</v>
      </c>
      <c r="M930" s="80">
        <f t="shared" ref="M930" si="845">K930*L930</f>
        <v>480</v>
      </c>
      <c r="N930" s="20">
        <v>45267</v>
      </c>
      <c r="O930" s="80" t="s">
        <v>177</v>
      </c>
      <c r="P930" s="80" t="s">
        <v>144</v>
      </c>
      <c r="Q930" s="85" t="s">
        <v>30</v>
      </c>
      <c r="R930" s="80" t="s">
        <v>182</v>
      </c>
      <c r="S930" s="81">
        <v>241686688942</v>
      </c>
      <c r="T930" s="20">
        <v>45267</v>
      </c>
      <c r="U930" s="123"/>
      <c r="V930" s="80">
        <v>687</v>
      </c>
      <c r="W930" s="29">
        <v>45267.694444444445</v>
      </c>
      <c r="X930" s="29">
        <v>45267.777777777781</v>
      </c>
      <c r="Y930" s="30">
        <f t="shared" ref="Y930" si="846">+X930-W930</f>
        <v>8.3333333335758653E-2</v>
      </c>
      <c r="Z930" s="29">
        <v>45267.75</v>
      </c>
      <c r="AA930" s="29">
        <v>45267.774305555555</v>
      </c>
      <c r="AB930" s="30">
        <f t="shared" ref="AB930" si="847">+AA930-Z930</f>
        <v>2.4305555554747116E-2</v>
      </c>
    </row>
    <row r="931" spans="1:28" x14ac:dyDescent="0.25">
      <c r="A931" s="12">
        <v>45265</v>
      </c>
      <c r="B931" s="80" t="s">
        <v>1752</v>
      </c>
      <c r="C931" s="20">
        <v>45267</v>
      </c>
      <c r="D931" s="90">
        <v>8378218</v>
      </c>
      <c r="E931" s="80" t="s">
        <v>175</v>
      </c>
      <c r="F931" s="80" t="s">
        <v>680</v>
      </c>
      <c r="G931" s="80" t="s">
        <v>132</v>
      </c>
      <c r="H931" s="17">
        <v>5230831</v>
      </c>
      <c r="I931" s="17" t="s">
        <v>35</v>
      </c>
      <c r="J931" s="14" t="s">
        <v>1488</v>
      </c>
      <c r="K931" s="80">
        <v>240</v>
      </c>
      <c r="L931" s="80">
        <v>10</v>
      </c>
      <c r="M931" s="80">
        <f t="shared" si="827"/>
        <v>2400</v>
      </c>
      <c r="N931" s="20">
        <v>45267</v>
      </c>
      <c r="O931" s="80" t="s">
        <v>555</v>
      </c>
      <c r="P931" s="80" t="s">
        <v>144</v>
      </c>
      <c r="Q931" s="85" t="s">
        <v>30</v>
      </c>
      <c r="R931" s="80" t="s">
        <v>180</v>
      </c>
      <c r="S931" s="81">
        <v>281686676754</v>
      </c>
      <c r="T931" s="20">
        <v>45267</v>
      </c>
      <c r="U931" s="123"/>
      <c r="V931" s="80">
        <v>688</v>
      </c>
      <c r="W931" s="29">
        <v>45267.704861111109</v>
      </c>
      <c r="X931" s="29">
        <v>45267.774305555555</v>
      </c>
      <c r="Y931" s="30">
        <f t="shared" si="828"/>
        <v>6.9444444445252884E-2</v>
      </c>
      <c r="Z931" s="29">
        <v>45267.756944444445</v>
      </c>
      <c r="AA931" s="29">
        <v>45267.770833333336</v>
      </c>
      <c r="AB931" s="30">
        <f t="shared" si="829"/>
        <v>1.3888888890505768E-2</v>
      </c>
    </row>
    <row r="932" spans="1:28" x14ac:dyDescent="0.25">
      <c r="A932" s="12">
        <v>45265</v>
      </c>
      <c r="B932" s="13" t="s">
        <v>1753</v>
      </c>
      <c r="C932" s="20">
        <v>45267</v>
      </c>
      <c r="D932" s="80">
        <v>8648192</v>
      </c>
      <c r="E932" s="80" t="s">
        <v>1467</v>
      </c>
      <c r="F932" s="80" t="s">
        <v>268</v>
      </c>
      <c r="G932" s="80" t="s">
        <v>132</v>
      </c>
      <c r="H932" s="17">
        <v>5309040</v>
      </c>
      <c r="I932" s="17" t="s">
        <v>105</v>
      </c>
      <c r="J932" s="80" t="s">
        <v>1536</v>
      </c>
      <c r="K932" s="80">
        <v>250</v>
      </c>
      <c r="L932" s="80">
        <v>80</v>
      </c>
      <c r="M932" s="80">
        <f t="shared" si="827"/>
        <v>20000</v>
      </c>
      <c r="N932" s="20">
        <v>45267</v>
      </c>
      <c r="O932" s="80" t="s">
        <v>425</v>
      </c>
      <c r="P932" s="80" t="s">
        <v>134</v>
      </c>
      <c r="Q932" s="123">
        <v>4051</v>
      </c>
      <c r="R932" s="80" t="s">
        <v>1754</v>
      </c>
      <c r="S932" s="81">
        <v>281686743326</v>
      </c>
      <c r="T932" s="20">
        <v>45267</v>
      </c>
      <c r="U932" s="123"/>
      <c r="V932" s="80">
        <v>689</v>
      </c>
      <c r="W932" s="29">
        <v>45267.673611111109</v>
      </c>
      <c r="X932" s="29">
        <v>45267.864583333336</v>
      </c>
      <c r="Y932" s="30">
        <f t="shared" si="828"/>
        <v>0.19097222222626442</v>
      </c>
      <c r="Z932" s="29">
        <v>45267.791666666664</v>
      </c>
      <c r="AA932" s="29">
        <v>45267.861111111109</v>
      </c>
      <c r="AB932" s="30">
        <f t="shared" si="829"/>
        <v>6.9444444445252884E-2</v>
      </c>
    </row>
    <row r="933" spans="1:28" x14ac:dyDescent="0.25">
      <c r="A933" s="12">
        <v>45265</v>
      </c>
      <c r="B933" s="13" t="s">
        <v>1755</v>
      </c>
      <c r="C933" s="20">
        <v>45267</v>
      </c>
      <c r="D933" s="80">
        <v>8648192</v>
      </c>
      <c r="E933" s="80" t="s">
        <v>1467</v>
      </c>
      <c r="F933" s="80" t="s">
        <v>268</v>
      </c>
      <c r="G933" s="80" t="s">
        <v>132</v>
      </c>
      <c r="H933" s="17">
        <v>5309040</v>
      </c>
      <c r="I933" s="17" t="s">
        <v>105</v>
      </c>
      <c r="J933" s="80" t="s">
        <v>1549</v>
      </c>
      <c r="K933" s="80">
        <v>250</v>
      </c>
      <c r="L933" s="80">
        <v>80</v>
      </c>
      <c r="M933" s="80">
        <f t="shared" si="827"/>
        <v>20000</v>
      </c>
      <c r="N933" s="20">
        <v>45267</v>
      </c>
      <c r="O933" s="80" t="s">
        <v>425</v>
      </c>
      <c r="P933" s="80" t="s">
        <v>134</v>
      </c>
      <c r="Q933" s="123">
        <v>4052</v>
      </c>
      <c r="R933" s="80" t="s">
        <v>1756</v>
      </c>
      <c r="S933" s="81">
        <v>231686748847</v>
      </c>
      <c r="T933" s="20">
        <v>45267</v>
      </c>
      <c r="U933" s="123"/>
      <c r="V933" s="80">
        <v>690</v>
      </c>
      <c r="W933" s="29">
        <v>45267.694444444445</v>
      </c>
      <c r="X933" s="29">
        <v>45267.913194444445</v>
      </c>
      <c r="Y933" s="30">
        <f t="shared" si="828"/>
        <v>0.21875</v>
      </c>
      <c r="Z933" s="29">
        <v>45267.861111111109</v>
      </c>
      <c r="AA933" s="29">
        <v>45267.909722222219</v>
      </c>
      <c r="AB933" s="30">
        <f t="shared" si="829"/>
        <v>4.8611111109494232E-2</v>
      </c>
    </row>
    <row r="934" spans="1:28" x14ac:dyDescent="0.25">
      <c r="A934" s="12">
        <v>45265</v>
      </c>
      <c r="B934" s="80" t="s">
        <v>1769</v>
      </c>
      <c r="C934" s="46">
        <v>45268</v>
      </c>
      <c r="D934" s="13">
        <v>7749572</v>
      </c>
      <c r="E934" s="80" t="s">
        <v>1770</v>
      </c>
      <c r="F934" s="80" t="s">
        <v>1771</v>
      </c>
      <c r="G934" s="80" t="s">
        <v>132</v>
      </c>
      <c r="H934" s="17">
        <v>5231523</v>
      </c>
      <c r="I934" s="17" t="s">
        <v>1001</v>
      </c>
      <c r="J934" s="14" t="s">
        <v>1002</v>
      </c>
      <c r="K934" s="80">
        <v>200</v>
      </c>
      <c r="L934" s="80">
        <v>50</v>
      </c>
      <c r="M934" s="80">
        <f t="shared" si="827"/>
        <v>10000</v>
      </c>
      <c r="N934" s="46">
        <v>45268</v>
      </c>
      <c r="O934" s="80" t="s">
        <v>136</v>
      </c>
      <c r="P934" s="80" t="s">
        <v>1772</v>
      </c>
      <c r="Q934" s="80" t="s">
        <v>30</v>
      </c>
      <c r="R934" s="80" t="s">
        <v>784</v>
      </c>
      <c r="S934" s="80" t="s">
        <v>30</v>
      </c>
      <c r="T934" s="80" t="s">
        <v>30</v>
      </c>
      <c r="U934" s="50"/>
      <c r="V934" s="80">
        <v>691</v>
      </c>
      <c r="W934" s="29">
        <v>45268.625</v>
      </c>
      <c r="X934" s="29">
        <v>45268.6875</v>
      </c>
      <c r="Y934" s="30">
        <f t="shared" si="828"/>
        <v>6.25E-2</v>
      </c>
      <c r="Z934" s="29">
        <v>45268.645833333336</v>
      </c>
      <c r="AA934" s="29">
        <v>45268.680555555555</v>
      </c>
      <c r="AB934" s="30">
        <f t="shared" si="829"/>
        <v>3.4722222218988463E-2</v>
      </c>
    </row>
    <row r="935" spans="1:28" x14ac:dyDescent="0.25">
      <c r="A935" s="12">
        <v>45265</v>
      </c>
      <c r="B935" s="13" t="s">
        <v>1773</v>
      </c>
      <c r="C935" s="46">
        <v>45268</v>
      </c>
      <c r="D935" s="80">
        <v>8734231</v>
      </c>
      <c r="E935" s="80" t="s">
        <v>1131</v>
      </c>
      <c r="F935" s="80" t="s">
        <v>215</v>
      </c>
      <c r="G935" s="80" t="s">
        <v>132</v>
      </c>
      <c r="H935" s="17">
        <v>5230831</v>
      </c>
      <c r="I935" s="17" t="s">
        <v>35</v>
      </c>
      <c r="J935" s="93" t="s">
        <v>1575</v>
      </c>
      <c r="K935" s="80">
        <v>240</v>
      </c>
      <c r="L935" s="80">
        <v>40</v>
      </c>
      <c r="M935" s="80">
        <f t="shared" si="827"/>
        <v>9600</v>
      </c>
      <c r="N935" s="46">
        <v>45268</v>
      </c>
      <c r="O935" s="80" t="s">
        <v>136</v>
      </c>
      <c r="P935" s="80" t="s">
        <v>144</v>
      </c>
      <c r="Q935" s="80" t="s">
        <v>30</v>
      </c>
      <c r="R935" s="80" t="s">
        <v>1541</v>
      </c>
      <c r="S935" s="81">
        <v>201687142573</v>
      </c>
      <c r="T935" s="46">
        <v>45268</v>
      </c>
      <c r="U935" s="50"/>
      <c r="V935" s="80">
        <v>692</v>
      </c>
      <c r="W935" s="29">
        <v>45268.652777777781</v>
      </c>
      <c r="X935" s="29">
        <v>45268.739583333336</v>
      </c>
      <c r="Y935" s="30">
        <f t="shared" si="828"/>
        <v>8.6805555554747116E-2</v>
      </c>
      <c r="Z935" s="29">
        <v>45268.715277777781</v>
      </c>
      <c r="AA935" s="29">
        <v>45268.736111111109</v>
      </c>
      <c r="AB935" s="30">
        <f t="shared" si="829"/>
        <v>2.0833333328482695E-2</v>
      </c>
    </row>
    <row r="936" spans="1:28" x14ac:dyDescent="0.25">
      <c r="A936" s="12">
        <v>45265</v>
      </c>
      <c r="B936" s="13" t="s">
        <v>1774</v>
      </c>
      <c r="C936" s="46">
        <v>45268</v>
      </c>
      <c r="D936" s="51">
        <v>8373156</v>
      </c>
      <c r="E936" s="80" t="s">
        <v>191</v>
      </c>
      <c r="F936" s="80" t="s">
        <v>135</v>
      </c>
      <c r="G936" s="80" t="s">
        <v>192</v>
      </c>
      <c r="H936" s="17">
        <v>5211013</v>
      </c>
      <c r="I936" s="17" t="s">
        <v>27</v>
      </c>
      <c r="J936" s="51" t="s">
        <v>1417</v>
      </c>
      <c r="K936" s="80">
        <v>25</v>
      </c>
      <c r="L936" s="80">
        <v>400</v>
      </c>
      <c r="M936" s="80">
        <f t="shared" si="827"/>
        <v>10000</v>
      </c>
      <c r="N936" s="46">
        <v>45268</v>
      </c>
      <c r="O936" s="80" t="s">
        <v>136</v>
      </c>
      <c r="P936" s="80" t="s">
        <v>144</v>
      </c>
      <c r="Q936" s="80" t="s">
        <v>30</v>
      </c>
      <c r="R936" s="80" t="s">
        <v>1775</v>
      </c>
      <c r="S936" s="81">
        <v>221687151786</v>
      </c>
      <c r="T936" s="46">
        <v>45268</v>
      </c>
      <c r="U936" s="50"/>
      <c r="V936" s="80">
        <v>693</v>
      </c>
      <c r="W936" s="29">
        <v>45268.513888888891</v>
      </c>
      <c r="X936" s="29">
        <v>45268.673611111109</v>
      </c>
      <c r="Y936" s="30">
        <f t="shared" si="828"/>
        <v>0.15972222221898846</v>
      </c>
      <c r="Z936" s="29">
        <v>45268.625</v>
      </c>
      <c r="AA936" s="29">
        <v>45268.670138888891</v>
      </c>
      <c r="AB936" s="30">
        <f t="shared" si="829"/>
        <v>4.5138888890505768E-2</v>
      </c>
    </row>
    <row r="937" spans="1:28" x14ac:dyDescent="0.25">
      <c r="A937" s="12">
        <v>45265</v>
      </c>
      <c r="B937" s="13" t="s">
        <v>1776</v>
      </c>
      <c r="C937" s="46">
        <v>45268</v>
      </c>
      <c r="D937" s="50"/>
      <c r="E937" s="80" t="s">
        <v>191</v>
      </c>
      <c r="F937" s="80" t="s">
        <v>135</v>
      </c>
      <c r="G937" s="80" t="s">
        <v>192</v>
      </c>
      <c r="H937" s="17">
        <v>5212252</v>
      </c>
      <c r="I937" s="17" t="s">
        <v>23</v>
      </c>
      <c r="J937" s="50" t="s">
        <v>1518</v>
      </c>
      <c r="K937" s="80">
        <v>25</v>
      </c>
      <c r="L937" s="80">
        <v>89</v>
      </c>
      <c r="M937" s="80">
        <f t="shared" si="827"/>
        <v>2225</v>
      </c>
      <c r="N937" s="46">
        <v>45268</v>
      </c>
      <c r="O937" s="80" t="s">
        <v>399</v>
      </c>
      <c r="P937" s="80" t="s">
        <v>144</v>
      </c>
      <c r="Q937" s="80" t="s">
        <v>30</v>
      </c>
      <c r="R937" s="80" t="s">
        <v>1777</v>
      </c>
      <c r="S937" s="81">
        <v>261687149879</v>
      </c>
      <c r="T937" s="46">
        <v>45268</v>
      </c>
      <c r="U937" s="50"/>
      <c r="V937" s="80">
        <v>694</v>
      </c>
      <c r="W937" s="29">
        <v>45268.583333333336</v>
      </c>
      <c r="X937" s="29">
        <v>45268.8125</v>
      </c>
      <c r="Y937" s="30">
        <f t="shared" si="828"/>
        <v>0.22916666666424135</v>
      </c>
      <c r="Z937" s="29">
        <v>45268.6875</v>
      </c>
      <c r="AA937" s="29">
        <v>45268.8125</v>
      </c>
      <c r="AB937" s="30">
        <f t="shared" si="829"/>
        <v>0.125</v>
      </c>
    </row>
    <row r="938" spans="1:28" x14ac:dyDescent="0.25">
      <c r="A938" s="12">
        <v>45265</v>
      </c>
      <c r="B938" s="13" t="s">
        <v>1776</v>
      </c>
      <c r="C938" s="46">
        <v>45268</v>
      </c>
      <c r="D938" s="50"/>
      <c r="E938" s="80" t="s">
        <v>191</v>
      </c>
      <c r="F938" s="80" t="s">
        <v>135</v>
      </c>
      <c r="G938" s="80" t="s">
        <v>192</v>
      </c>
      <c r="H938" s="17">
        <v>5212252</v>
      </c>
      <c r="I938" s="17" t="s">
        <v>23</v>
      </c>
      <c r="J938" s="80" t="s">
        <v>1533</v>
      </c>
      <c r="K938" s="80">
        <v>25</v>
      </c>
      <c r="L938" s="80">
        <v>504</v>
      </c>
      <c r="M938" s="80">
        <f t="shared" si="827"/>
        <v>12600</v>
      </c>
      <c r="N938" s="46">
        <v>45268</v>
      </c>
      <c r="O938" s="80" t="s">
        <v>399</v>
      </c>
      <c r="P938" s="80" t="s">
        <v>144</v>
      </c>
      <c r="Q938" s="80" t="s">
        <v>30</v>
      </c>
      <c r="R938" s="80" t="s">
        <v>1777</v>
      </c>
      <c r="S938" s="81">
        <v>261687149879</v>
      </c>
      <c r="T938" s="46">
        <v>45268</v>
      </c>
      <c r="U938" s="50"/>
      <c r="V938" s="80">
        <v>694</v>
      </c>
      <c r="W938" s="29">
        <v>45268.583333333336</v>
      </c>
      <c r="X938" s="29">
        <v>45268.8125</v>
      </c>
      <c r="Y938" s="30">
        <f t="shared" ref="Y938:Y940" si="848">+X938-W938</f>
        <v>0.22916666666424135</v>
      </c>
      <c r="Z938" s="29">
        <v>45268.6875</v>
      </c>
      <c r="AA938" s="29">
        <v>45268.8125</v>
      </c>
      <c r="AB938" s="30">
        <f t="shared" ref="AB938:AB940" si="849">+AA938-Z938</f>
        <v>0.125</v>
      </c>
    </row>
    <row r="939" spans="1:28" x14ac:dyDescent="0.25">
      <c r="A939" s="12">
        <v>45265</v>
      </c>
      <c r="B939" s="13" t="s">
        <v>1776</v>
      </c>
      <c r="C939" s="46">
        <v>45268</v>
      </c>
      <c r="D939" s="50"/>
      <c r="E939" s="80" t="s">
        <v>191</v>
      </c>
      <c r="F939" s="80" t="s">
        <v>135</v>
      </c>
      <c r="G939" s="80" t="s">
        <v>192</v>
      </c>
      <c r="H939" s="17">
        <v>5212252</v>
      </c>
      <c r="I939" s="17" t="s">
        <v>23</v>
      </c>
      <c r="J939" s="50" t="s">
        <v>1518</v>
      </c>
      <c r="K939" s="80">
        <v>25</v>
      </c>
      <c r="L939" s="80">
        <v>27</v>
      </c>
      <c r="M939" s="80">
        <f t="shared" si="827"/>
        <v>675</v>
      </c>
      <c r="N939" s="46">
        <v>45268</v>
      </c>
      <c r="O939" s="80" t="s">
        <v>399</v>
      </c>
      <c r="P939" s="80" t="s">
        <v>144</v>
      </c>
      <c r="Q939" s="80" t="s">
        <v>30</v>
      </c>
      <c r="R939" s="80" t="s">
        <v>1777</v>
      </c>
      <c r="S939" s="81">
        <v>261687149879</v>
      </c>
      <c r="T939" s="46">
        <v>45268</v>
      </c>
      <c r="U939" s="50"/>
      <c r="V939" s="80">
        <v>694</v>
      </c>
      <c r="W939" s="29">
        <v>45268.583333333336</v>
      </c>
      <c r="X939" s="29">
        <v>45268.8125</v>
      </c>
      <c r="Y939" s="30">
        <f t="shared" si="848"/>
        <v>0.22916666666424135</v>
      </c>
      <c r="Z939" s="29">
        <v>45268.6875</v>
      </c>
      <c r="AA939" s="29">
        <v>45268.8125</v>
      </c>
      <c r="AB939" s="30">
        <f t="shared" si="849"/>
        <v>0.125</v>
      </c>
    </row>
    <row r="940" spans="1:28" x14ac:dyDescent="0.25">
      <c r="A940" s="12">
        <v>45265</v>
      </c>
      <c r="B940" s="13" t="s">
        <v>1776</v>
      </c>
      <c r="C940" s="46">
        <v>45268</v>
      </c>
      <c r="D940" s="50"/>
      <c r="E940" s="80" t="s">
        <v>191</v>
      </c>
      <c r="F940" s="80" t="s">
        <v>135</v>
      </c>
      <c r="G940" s="80" t="s">
        <v>192</v>
      </c>
      <c r="H940" s="17">
        <v>5212252</v>
      </c>
      <c r="I940" s="17" t="s">
        <v>23</v>
      </c>
      <c r="J940" s="80" t="s">
        <v>1545</v>
      </c>
      <c r="K940" s="80">
        <v>25</v>
      </c>
      <c r="L940" s="80">
        <v>260</v>
      </c>
      <c r="M940" s="80">
        <f t="shared" si="827"/>
        <v>6500</v>
      </c>
      <c r="N940" s="46">
        <v>45268</v>
      </c>
      <c r="O940" s="80" t="s">
        <v>399</v>
      </c>
      <c r="P940" s="80" t="s">
        <v>144</v>
      </c>
      <c r="Q940" s="80" t="s">
        <v>30</v>
      </c>
      <c r="R940" s="80" t="s">
        <v>1777</v>
      </c>
      <c r="S940" s="81">
        <v>261687149879</v>
      </c>
      <c r="T940" s="46">
        <v>45268</v>
      </c>
      <c r="U940" s="50"/>
      <c r="V940" s="80">
        <v>694</v>
      </c>
      <c r="W940" s="29">
        <v>45268.583333333336</v>
      </c>
      <c r="X940" s="29">
        <v>45268.8125</v>
      </c>
      <c r="Y940" s="30">
        <f t="shared" si="848"/>
        <v>0.22916666666424135</v>
      </c>
      <c r="Z940" s="29">
        <v>45268.6875</v>
      </c>
      <c r="AA940" s="29">
        <v>45268.8125</v>
      </c>
      <c r="AB940" s="30">
        <f t="shared" si="849"/>
        <v>0.125</v>
      </c>
    </row>
    <row r="941" spans="1:28" x14ac:dyDescent="0.25">
      <c r="A941" s="12">
        <v>45265</v>
      </c>
      <c r="B941" s="13" t="s">
        <v>1776</v>
      </c>
      <c r="C941" s="46">
        <v>45268</v>
      </c>
      <c r="D941" s="80">
        <v>8750260</v>
      </c>
      <c r="E941" s="80" t="s">
        <v>191</v>
      </c>
      <c r="F941" s="80" t="s">
        <v>135</v>
      </c>
      <c r="G941" s="80" t="s">
        <v>192</v>
      </c>
      <c r="H941" s="17">
        <v>5212259</v>
      </c>
      <c r="I941" s="17" t="s">
        <v>26</v>
      </c>
      <c r="J941" s="123" t="s">
        <v>1622</v>
      </c>
      <c r="K941" s="80">
        <v>25</v>
      </c>
      <c r="L941" s="80">
        <v>320</v>
      </c>
      <c r="M941" s="80">
        <f t="shared" ref="M941:M942" si="850">K941*L941</f>
        <v>8000</v>
      </c>
      <c r="N941" s="46">
        <v>45268</v>
      </c>
      <c r="O941" s="80" t="s">
        <v>399</v>
      </c>
      <c r="P941" s="80" t="s">
        <v>144</v>
      </c>
      <c r="Q941" s="80" t="s">
        <v>30</v>
      </c>
      <c r="R941" s="80" t="s">
        <v>1777</v>
      </c>
      <c r="S941" s="81">
        <v>261687149879</v>
      </c>
      <c r="T941" s="46">
        <v>45268</v>
      </c>
      <c r="U941" s="50"/>
      <c r="V941" s="80">
        <v>694</v>
      </c>
      <c r="W941" s="29">
        <v>45268.583333333336</v>
      </c>
      <c r="X941" s="29">
        <v>45268.8125</v>
      </c>
      <c r="Y941" s="30">
        <f t="shared" ref="Y941:Y942" si="851">+X941-W941</f>
        <v>0.22916666666424135</v>
      </c>
      <c r="Z941" s="29">
        <v>45268.6875</v>
      </c>
      <c r="AA941" s="29">
        <v>45268.8125</v>
      </c>
      <c r="AB941" s="30">
        <f t="shared" ref="AB941:AB942" si="852">+AA941-Z941</f>
        <v>0.125</v>
      </c>
    </row>
    <row r="942" spans="1:28" x14ac:dyDescent="0.25">
      <c r="A942" s="12">
        <v>45265</v>
      </c>
      <c r="B942" s="13" t="s">
        <v>1778</v>
      </c>
      <c r="C942" s="46">
        <v>45268</v>
      </c>
      <c r="D942" s="80">
        <v>8477658</v>
      </c>
      <c r="E942" s="80" t="s">
        <v>859</v>
      </c>
      <c r="F942" s="80" t="s">
        <v>289</v>
      </c>
      <c r="G942" s="80" t="s">
        <v>192</v>
      </c>
      <c r="H942" s="17">
        <v>5212252</v>
      </c>
      <c r="I942" s="17" t="s">
        <v>23</v>
      </c>
      <c r="J942" s="50" t="s">
        <v>1518</v>
      </c>
      <c r="K942" s="80">
        <v>25</v>
      </c>
      <c r="L942" s="80">
        <v>1200</v>
      </c>
      <c r="M942" s="80">
        <f t="shared" si="850"/>
        <v>30000</v>
      </c>
      <c r="N942" s="46">
        <v>45268</v>
      </c>
      <c r="O942" s="80" t="s">
        <v>204</v>
      </c>
      <c r="P942" s="80" t="s">
        <v>144</v>
      </c>
      <c r="Q942" s="80" t="s">
        <v>30</v>
      </c>
      <c r="R942" s="80" t="s">
        <v>1779</v>
      </c>
      <c r="S942" s="81">
        <v>211687139747</v>
      </c>
      <c r="T942" s="46">
        <v>45268</v>
      </c>
      <c r="U942" s="50"/>
      <c r="V942" s="80">
        <v>695</v>
      </c>
      <c r="W942" s="29">
        <v>45268.541666666664</v>
      </c>
      <c r="X942" s="29">
        <v>45268.854166666664</v>
      </c>
      <c r="Y942" s="30">
        <f t="shared" si="851"/>
        <v>0.3125</v>
      </c>
      <c r="Z942" s="29">
        <v>45268.777777777781</v>
      </c>
      <c r="AA942" s="29">
        <v>45268.854166666664</v>
      </c>
      <c r="AB942" s="30">
        <f t="shared" si="852"/>
        <v>7.6388888883229811E-2</v>
      </c>
    </row>
    <row r="943" spans="1:28" x14ac:dyDescent="0.25">
      <c r="A943" s="12">
        <v>45265</v>
      </c>
      <c r="B943" s="13" t="s">
        <v>1778</v>
      </c>
      <c r="C943" s="46">
        <v>45268</v>
      </c>
      <c r="D943" s="80">
        <v>8745118</v>
      </c>
      <c r="E943" s="80" t="s">
        <v>859</v>
      </c>
      <c r="F943" s="80" t="s">
        <v>289</v>
      </c>
      <c r="G943" s="80" t="s">
        <v>192</v>
      </c>
      <c r="H943" s="17" t="s">
        <v>1607</v>
      </c>
      <c r="I943" s="17" t="s">
        <v>29</v>
      </c>
      <c r="J943" s="123" t="s">
        <v>1594</v>
      </c>
      <c r="K943" s="80">
        <v>25</v>
      </c>
      <c r="L943" s="80">
        <v>200</v>
      </c>
      <c r="M943" s="80">
        <f t="shared" ref="M943:M954" si="853">K943*L943</f>
        <v>5000</v>
      </c>
      <c r="N943" s="46">
        <v>45268</v>
      </c>
      <c r="O943" s="80" t="s">
        <v>204</v>
      </c>
      <c r="P943" s="80" t="s">
        <v>144</v>
      </c>
      <c r="Q943" s="80" t="s">
        <v>30</v>
      </c>
      <c r="R943" s="80" t="s">
        <v>1779</v>
      </c>
      <c r="S943" s="81">
        <v>211687139747</v>
      </c>
      <c r="T943" s="46">
        <v>45268</v>
      </c>
      <c r="U943" s="50"/>
      <c r="V943" s="80">
        <v>695</v>
      </c>
      <c r="W943" s="29">
        <v>45268.541666666664</v>
      </c>
      <c r="X943" s="29">
        <v>45268.854166666664</v>
      </c>
      <c r="Y943" s="30">
        <f t="shared" ref="Y943:Y948" si="854">+X943-W943</f>
        <v>0.3125</v>
      </c>
      <c r="Z943" s="29">
        <v>45268.777777777781</v>
      </c>
      <c r="AA943" s="29">
        <v>45268.854166666664</v>
      </c>
      <c r="AB943" s="30">
        <f t="shared" ref="AB943:AB948" si="855">+AA943-Z943</f>
        <v>7.6388888883229811E-2</v>
      </c>
    </row>
    <row r="944" spans="1:28" x14ac:dyDescent="0.25">
      <c r="A944" s="12">
        <v>45265</v>
      </c>
      <c r="B944" s="13" t="s">
        <v>1780</v>
      </c>
      <c r="C944" s="20">
        <v>45268</v>
      </c>
      <c r="D944" s="80">
        <v>8516509</v>
      </c>
      <c r="E944" s="80" t="s">
        <v>214</v>
      </c>
      <c r="F944" s="80" t="s">
        <v>215</v>
      </c>
      <c r="G944" s="80" t="s">
        <v>132</v>
      </c>
      <c r="H944" s="17">
        <v>5230874</v>
      </c>
      <c r="I944" s="17" t="s">
        <v>1316</v>
      </c>
      <c r="J944" s="93" t="s">
        <v>1512</v>
      </c>
      <c r="K944" s="80">
        <v>250</v>
      </c>
      <c r="L944" s="80">
        <v>32</v>
      </c>
      <c r="M944" s="80">
        <f t="shared" si="853"/>
        <v>8000</v>
      </c>
      <c r="N944" s="20">
        <v>45268</v>
      </c>
      <c r="O944" s="80" t="s">
        <v>136</v>
      </c>
      <c r="P944" s="80" t="s">
        <v>134</v>
      </c>
      <c r="Q944" s="123">
        <v>4053</v>
      </c>
      <c r="R944" s="80" t="s">
        <v>1781</v>
      </c>
      <c r="S944" s="81">
        <v>291687147476</v>
      </c>
      <c r="T944" s="20">
        <v>45268</v>
      </c>
      <c r="U944" s="123"/>
      <c r="V944" s="80">
        <v>696</v>
      </c>
      <c r="W944" s="29">
        <v>45268.722222222219</v>
      </c>
      <c r="X944" s="29">
        <v>45268.8125</v>
      </c>
      <c r="Y944" s="30">
        <f t="shared" si="854"/>
        <v>9.0277777781011537E-2</v>
      </c>
      <c r="Z944" s="29">
        <v>45268.777777777781</v>
      </c>
      <c r="AA944" s="29">
        <v>45268.809027777781</v>
      </c>
      <c r="AB944" s="30">
        <f t="shared" si="855"/>
        <v>3.125E-2</v>
      </c>
    </row>
    <row r="945" spans="1:28" x14ac:dyDescent="0.25">
      <c r="A945" s="12">
        <v>45269</v>
      </c>
      <c r="B945" s="13" t="s">
        <v>1791</v>
      </c>
      <c r="C945" s="46">
        <v>45269</v>
      </c>
      <c r="D945" s="80">
        <v>8656376</v>
      </c>
      <c r="E945" s="80" t="s">
        <v>1410</v>
      </c>
      <c r="F945" s="80" t="s">
        <v>268</v>
      </c>
      <c r="G945" s="80" t="s">
        <v>132</v>
      </c>
      <c r="H945" s="17">
        <v>5230874</v>
      </c>
      <c r="I945" s="17" t="s">
        <v>1316</v>
      </c>
      <c r="J945" s="96" t="s">
        <v>1538</v>
      </c>
      <c r="K945" s="80">
        <v>250</v>
      </c>
      <c r="L945" s="80">
        <v>40</v>
      </c>
      <c r="M945" s="80">
        <f t="shared" si="853"/>
        <v>10000</v>
      </c>
      <c r="N945" s="46">
        <v>45269</v>
      </c>
      <c r="O945" s="80" t="s">
        <v>136</v>
      </c>
      <c r="P945" s="80" t="s">
        <v>134</v>
      </c>
      <c r="Q945" s="50">
        <v>4054</v>
      </c>
      <c r="R945" s="80" t="s">
        <v>1792</v>
      </c>
      <c r="S945" s="81">
        <v>271687528109</v>
      </c>
      <c r="T945" s="46">
        <v>45269</v>
      </c>
      <c r="U945" s="50"/>
      <c r="V945" s="80">
        <v>697</v>
      </c>
      <c r="W945" s="29">
        <v>45269.506944444445</v>
      </c>
      <c r="X945" s="29">
        <v>45269.638888888891</v>
      </c>
      <c r="Y945" s="30">
        <f t="shared" si="854"/>
        <v>0.13194444444525288</v>
      </c>
      <c r="Z945" s="29">
        <v>45269.590277777781</v>
      </c>
      <c r="AA945" s="29">
        <v>45269.631944444445</v>
      </c>
      <c r="AB945" s="30">
        <f t="shared" si="855"/>
        <v>4.1666666664241347E-2</v>
      </c>
    </row>
    <row r="946" spans="1:28" x14ac:dyDescent="0.25">
      <c r="A946" s="12">
        <v>45271</v>
      </c>
      <c r="B946" s="13" t="s">
        <v>1803</v>
      </c>
      <c r="C946" s="46">
        <v>45271</v>
      </c>
      <c r="D946" s="80">
        <v>8734231</v>
      </c>
      <c r="E946" s="80" t="s">
        <v>175</v>
      </c>
      <c r="F946" s="80" t="s">
        <v>135</v>
      </c>
      <c r="G946" s="80" t="s">
        <v>132</v>
      </c>
      <c r="H946" s="17">
        <v>5230831</v>
      </c>
      <c r="I946" s="17" t="s">
        <v>35</v>
      </c>
      <c r="J946" s="93" t="s">
        <v>1575</v>
      </c>
      <c r="K946" s="80">
        <v>240</v>
      </c>
      <c r="L946" s="80">
        <v>35</v>
      </c>
      <c r="M946" s="80">
        <f t="shared" si="853"/>
        <v>8400</v>
      </c>
      <c r="N946" s="46">
        <v>45271</v>
      </c>
      <c r="O946" s="80" t="s">
        <v>136</v>
      </c>
      <c r="P946" s="80" t="s">
        <v>144</v>
      </c>
      <c r="Q946" s="80" t="s">
        <v>30</v>
      </c>
      <c r="R946" s="80" t="s">
        <v>590</v>
      </c>
      <c r="S946" s="81">
        <v>271688359582</v>
      </c>
      <c r="T946" s="46">
        <v>45271</v>
      </c>
      <c r="U946" s="50"/>
      <c r="V946" s="80">
        <v>698</v>
      </c>
      <c r="W946" s="29">
        <v>45271.715277777781</v>
      </c>
      <c r="X946" s="29">
        <v>45271.791666666664</v>
      </c>
      <c r="Y946" s="30">
        <f t="shared" si="854"/>
        <v>7.6388888883229811E-2</v>
      </c>
      <c r="Z946" s="29">
        <v>45271.763888888891</v>
      </c>
      <c r="AA946" s="29">
        <v>45271.791666666664</v>
      </c>
      <c r="AB946" s="30">
        <f t="shared" si="855"/>
        <v>2.7777777773735579E-2</v>
      </c>
    </row>
    <row r="947" spans="1:28" x14ac:dyDescent="0.25">
      <c r="A947" s="12">
        <v>45271</v>
      </c>
      <c r="B947" s="13" t="s">
        <v>1804</v>
      </c>
      <c r="C947" s="46">
        <v>45271</v>
      </c>
      <c r="D947" s="80">
        <v>8734231</v>
      </c>
      <c r="E947" s="80" t="s">
        <v>175</v>
      </c>
      <c r="F947" s="80" t="s">
        <v>135</v>
      </c>
      <c r="G947" s="80" t="s">
        <v>132</v>
      </c>
      <c r="H947" s="17">
        <v>5230831</v>
      </c>
      <c r="I947" s="17" t="s">
        <v>35</v>
      </c>
      <c r="J947" s="93" t="s">
        <v>1575</v>
      </c>
      <c r="K947" s="80">
        <v>240</v>
      </c>
      <c r="L947" s="80">
        <v>10</v>
      </c>
      <c r="M947" s="80">
        <f t="shared" si="853"/>
        <v>2400</v>
      </c>
      <c r="N947" s="46">
        <v>45271</v>
      </c>
      <c r="O947" s="80" t="s">
        <v>259</v>
      </c>
      <c r="P947" s="80" t="s">
        <v>144</v>
      </c>
      <c r="Q947" s="80" t="s">
        <v>30</v>
      </c>
      <c r="R947" s="80" t="s">
        <v>182</v>
      </c>
      <c r="S947" s="81">
        <v>201688361164</v>
      </c>
      <c r="T947" s="46">
        <v>45271</v>
      </c>
      <c r="U947" s="50"/>
      <c r="V947" s="80">
        <v>699</v>
      </c>
      <c r="W947" s="29">
        <v>45271.715277777781</v>
      </c>
      <c r="X947" s="29">
        <v>45271.791666666664</v>
      </c>
      <c r="Y947" s="30">
        <f t="shared" si="854"/>
        <v>7.6388888883229811E-2</v>
      </c>
      <c r="Z947" s="29">
        <v>45271.763888888891</v>
      </c>
      <c r="AA947" s="29">
        <v>45271.791666666664</v>
      </c>
      <c r="AB947" s="30">
        <f t="shared" si="855"/>
        <v>2.7777777773735579E-2</v>
      </c>
    </row>
    <row r="948" spans="1:28" x14ac:dyDescent="0.25">
      <c r="A948" s="12">
        <v>45271</v>
      </c>
      <c r="B948" s="13" t="s">
        <v>1805</v>
      </c>
      <c r="C948" s="46">
        <v>45271</v>
      </c>
      <c r="D948" s="80">
        <v>8516509</v>
      </c>
      <c r="E948" s="80" t="s">
        <v>214</v>
      </c>
      <c r="F948" s="80" t="s">
        <v>215</v>
      </c>
      <c r="G948" s="80" t="s">
        <v>132</v>
      </c>
      <c r="H948" s="17">
        <v>5230874</v>
      </c>
      <c r="I948" s="17" t="s">
        <v>1316</v>
      </c>
      <c r="J948" s="93" t="s">
        <v>1512</v>
      </c>
      <c r="K948" s="80">
        <v>250</v>
      </c>
      <c r="L948" s="80">
        <v>32</v>
      </c>
      <c r="M948" s="80">
        <f t="shared" si="853"/>
        <v>8000</v>
      </c>
      <c r="N948" s="46">
        <v>45271</v>
      </c>
      <c r="O948" s="80" t="s">
        <v>136</v>
      </c>
      <c r="P948" s="80" t="s">
        <v>134</v>
      </c>
      <c r="Q948" s="50">
        <v>4055</v>
      </c>
      <c r="R948" s="80" t="s">
        <v>1806</v>
      </c>
      <c r="S948" s="81">
        <v>201688350018</v>
      </c>
      <c r="T948" s="46">
        <v>45271</v>
      </c>
      <c r="U948" s="50"/>
      <c r="V948" s="80">
        <v>700</v>
      </c>
      <c r="W948" s="29">
        <v>45271.715277777781</v>
      </c>
      <c r="X948" s="29">
        <v>45271.791666666664</v>
      </c>
      <c r="Y948" s="30">
        <f t="shared" si="854"/>
        <v>7.6388888883229811E-2</v>
      </c>
      <c r="Z948" s="29">
        <v>45271.763888888891</v>
      </c>
      <c r="AA948" s="29">
        <v>45271.791666666664</v>
      </c>
      <c r="AB948" s="30">
        <f t="shared" si="855"/>
        <v>2.7777777773735579E-2</v>
      </c>
    </row>
    <row r="949" spans="1:28" x14ac:dyDescent="0.25">
      <c r="A949" s="12">
        <v>45271</v>
      </c>
      <c r="B949" s="13" t="s">
        <v>1807</v>
      </c>
      <c r="C949" s="46">
        <v>45271</v>
      </c>
      <c r="D949" s="80">
        <v>8734231</v>
      </c>
      <c r="E949" s="80" t="s">
        <v>175</v>
      </c>
      <c r="F949" s="80" t="s">
        <v>135</v>
      </c>
      <c r="G949" s="80" t="s">
        <v>132</v>
      </c>
      <c r="H949" s="17">
        <v>5230831</v>
      </c>
      <c r="I949" s="17" t="s">
        <v>35</v>
      </c>
      <c r="J949" s="93" t="s">
        <v>1575</v>
      </c>
      <c r="K949" s="80">
        <v>240</v>
      </c>
      <c r="L949" s="80">
        <v>35</v>
      </c>
      <c r="M949" s="80">
        <f t="shared" si="853"/>
        <v>8400</v>
      </c>
      <c r="N949" s="46">
        <v>45271</v>
      </c>
      <c r="O949" s="80" t="s">
        <v>136</v>
      </c>
      <c r="P949" s="80" t="s">
        <v>144</v>
      </c>
      <c r="Q949" s="80" t="s">
        <v>30</v>
      </c>
      <c r="R949" s="80" t="s">
        <v>1808</v>
      </c>
      <c r="S949" s="81">
        <v>241688360415</v>
      </c>
      <c r="T949" s="46">
        <v>45271</v>
      </c>
      <c r="U949" s="53"/>
      <c r="V949" s="80">
        <v>701</v>
      </c>
      <c r="W949" s="29">
        <v>45271.715277777781</v>
      </c>
      <c r="X949" s="29">
        <v>45271.791666666664</v>
      </c>
      <c r="Y949" s="30">
        <f t="shared" ref="Y949:Y954" si="856">+X949-W949</f>
        <v>7.6388888883229811E-2</v>
      </c>
      <c r="Z949" s="29">
        <v>45271.763888888891</v>
      </c>
      <c r="AA949" s="29">
        <v>45271.791666666664</v>
      </c>
      <c r="AB949" s="30">
        <f t="shared" ref="AB949:AB954" si="857">+AA949-Z949</f>
        <v>2.7777777773735579E-2</v>
      </c>
    </row>
    <row r="950" spans="1:28" x14ac:dyDescent="0.25">
      <c r="A950" s="12">
        <v>45271</v>
      </c>
      <c r="B950" s="13" t="s">
        <v>1809</v>
      </c>
      <c r="C950" s="46">
        <v>45271</v>
      </c>
      <c r="D950" s="90">
        <v>8381635</v>
      </c>
      <c r="E950" s="80" t="s">
        <v>471</v>
      </c>
      <c r="F950" s="80" t="s">
        <v>472</v>
      </c>
      <c r="G950" s="80" t="s">
        <v>192</v>
      </c>
      <c r="H950" s="17">
        <v>5205449</v>
      </c>
      <c r="I950" s="17" t="str">
        <f>VLOOKUP(H950,[1]MASTER!$A:$B,2,0)</f>
        <v>PVC-WH1000F-Premium-Bag-25KG</v>
      </c>
      <c r="J950" s="90">
        <v>1230455862</v>
      </c>
      <c r="K950" s="80">
        <v>25</v>
      </c>
      <c r="L950" s="80">
        <v>105</v>
      </c>
      <c r="M950" s="80">
        <f t="shared" si="853"/>
        <v>2625</v>
      </c>
      <c r="N950" s="46">
        <v>45271</v>
      </c>
      <c r="O950" s="80" t="s">
        <v>204</v>
      </c>
      <c r="P950" s="80" t="s">
        <v>144</v>
      </c>
      <c r="Q950" s="80" t="s">
        <v>30</v>
      </c>
      <c r="R950" s="80" t="s">
        <v>1810</v>
      </c>
      <c r="S950" s="81">
        <v>291688354679</v>
      </c>
      <c r="T950" s="46">
        <v>45271</v>
      </c>
      <c r="U950" s="53"/>
      <c r="V950" s="80">
        <v>702</v>
      </c>
      <c r="W950" s="29">
        <v>45271.409722222219</v>
      </c>
      <c r="X950" s="29">
        <v>45271.78125</v>
      </c>
      <c r="Y950" s="30">
        <f t="shared" si="856"/>
        <v>0.37152777778101154</v>
      </c>
      <c r="Z950" s="29">
        <v>45271.520833333336</v>
      </c>
      <c r="AA950" s="29">
        <v>45271.770833333336</v>
      </c>
      <c r="AB950" s="30">
        <f t="shared" si="857"/>
        <v>0.25</v>
      </c>
    </row>
    <row r="951" spans="1:28" x14ac:dyDescent="0.25">
      <c r="A951" s="12">
        <v>45271</v>
      </c>
      <c r="B951" s="13" t="s">
        <v>1809</v>
      </c>
      <c r="C951" s="46">
        <v>45271</v>
      </c>
      <c r="D951" s="80">
        <v>8562277</v>
      </c>
      <c r="E951" s="80" t="s">
        <v>471</v>
      </c>
      <c r="F951" s="80" t="s">
        <v>472</v>
      </c>
      <c r="G951" s="80" t="s">
        <v>192</v>
      </c>
      <c r="H951" s="17">
        <v>5205449</v>
      </c>
      <c r="I951" s="17" t="str">
        <f>VLOOKUP(H951,[1]MASTER!$A:$B,2,0)</f>
        <v>PVC-WH1000F-Premium-Bag-25KG</v>
      </c>
      <c r="J951" s="80">
        <v>1230467962</v>
      </c>
      <c r="K951" s="80">
        <v>25</v>
      </c>
      <c r="L951" s="80">
        <v>360</v>
      </c>
      <c r="M951" s="80">
        <f t="shared" ref="M951:M953" si="858">K951*L951</f>
        <v>9000</v>
      </c>
      <c r="N951" s="46">
        <v>45271</v>
      </c>
      <c r="O951" s="80" t="s">
        <v>204</v>
      </c>
      <c r="P951" s="80" t="s">
        <v>144</v>
      </c>
      <c r="Q951" s="80" t="s">
        <v>30</v>
      </c>
      <c r="R951" s="80" t="s">
        <v>1810</v>
      </c>
      <c r="S951" s="81">
        <v>291688354679</v>
      </c>
      <c r="T951" s="46">
        <v>45271</v>
      </c>
      <c r="U951" s="53"/>
      <c r="V951" s="80">
        <v>702</v>
      </c>
      <c r="W951" s="29">
        <v>45271.409722222219</v>
      </c>
      <c r="X951" s="29">
        <v>45271.78125</v>
      </c>
      <c r="Y951" s="30">
        <f t="shared" ref="Y951:Y953" si="859">+X951-W951</f>
        <v>0.37152777778101154</v>
      </c>
      <c r="Z951" s="29">
        <v>45271.520833333336</v>
      </c>
      <c r="AA951" s="29">
        <v>45271.770833333336</v>
      </c>
      <c r="AB951" s="30">
        <f t="shared" ref="AB951:AB953" si="860">+AA951-Z951</f>
        <v>0.25</v>
      </c>
    </row>
    <row r="952" spans="1:28" x14ac:dyDescent="0.25">
      <c r="A952" s="12">
        <v>45271</v>
      </c>
      <c r="B952" s="13" t="s">
        <v>1809</v>
      </c>
      <c r="C952" s="46">
        <v>45271</v>
      </c>
      <c r="D952" s="80">
        <v>8562277</v>
      </c>
      <c r="E952" s="80" t="s">
        <v>471</v>
      </c>
      <c r="F952" s="80" t="s">
        <v>472</v>
      </c>
      <c r="G952" s="80" t="s">
        <v>192</v>
      </c>
      <c r="H952" s="17">
        <v>5205449</v>
      </c>
      <c r="I952" s="17" t="str">
        <f>VLOOKUP(H952,[1]MASTER!$A:$B,2,0)</f>
        <v>PVC-WH1000F-Premium-Bag-25KG</v>
      </c>
      <c r="J952" s="50">
        <v>1230468372</v>
      </c>
      <c r="K952" s="80">
        <v>25</v>
      </c>
      <c r="L952" s="80">
        <v>720</v>
      </c>
      <c r="M952" s="80">
        <f t="shared" si="858"/>
        <v>18000</v>
      </c>
      <c r="N952" s="46">
        <v>45271</v>
      </c>
      <c r="O952" s="80" t="s">
        <v>204</v>
      </c>
      <c r="P952" s="80" t="s">
        <v>144</v>
      </c>
      <c r="Q952" s="80" t="s">
        <v>30</v>
      </c>
      <c r="R952" s="80" t="s">
        <v>1810</v>
      </c>
      <c r="S952" s="81">
        <v>291688354679</v>
      </c>
      <c r="T952" s="46">
        <v>45271</v>
      </c>
      <c r="U952" s="53"/>
      <c r="V952" s="80">
        <v>702</v>
      </c>
      <c r="W952" s="29">
        <v>45271.409722222219</v>
      </c>
      <c r="X952" s="29">
        <v>45271.78125</v>
      </c>
      <c r="Y952" s="30">
        <f t="shared" si="859"/>
        <v>0.37152777778101154</v>
      </c>
      <c r="Z952" s="29">
        <v>45271.520833333336</v>
      </c>
      <c r="AA952" s="29">
        <v>45271.770833333336</v>
      </c>
      <c r="AB952" s="30">
        <f t="shared" si="860"/>
        <v>0.25</v>
      </c>
    </row>
    <row r="953" spans="1:28" x14ac:dyDescent="0.25">
      <c r="A953" s="12">
        <v>45271</v>
      </c>
      <c r="B953" s="13" t="s">
        <v>1809</v>
      </c>
      <c r="C953" s="46">
        <v>45271</v>
      </c>
      <c r="D953" s="80">
        <v>8562277</v>
      </c>
      <c r="E953" s="80" t="s">
        <v>471</v>
      </c>
      <c r="F953" s="80" t="s">
        <v>472</v>
      </c>
      <c r="G953" s="80" t="s">
        <v>192</v>
      </c>
      <c r="H953" s="17">
        <v>5205449</v>
      </c>
      <c r="I953" s="17" t="str">
        <f>VLOOKUP(H953,[1]MASTER!$A:$B,2,0)</f>
        <v>PVC-WH1000F-Premium-Bag-25KG</v>
      </c>
      <c r="J953" s="80">
        <v>1230469262</v>
      </c>
      <c r="K953" s="80">
        <v>25</v>
      </c>
      <c r="L953" s="80">
        <v>215</v>
      </c>
      <c r="M953" s="80">
        <f t="shared" si="858"/>
        <v>5375</v>
      </c>
      <c r="N953" s="46">
        <v>45271</v>
      </c>
      <c r="O953" s="80" t="s">
        <v>204</v>
      </c>
      <c r="P953" s="80" t="s">
        <v>144</v>
      </c>
      <c r="Q953" s="80" t="s">
        <v>30</v>
      </c>
      <c r="R953" s="80" t="s">
        <v>1810</v>
      </c>
      <c r="S953" s="81">
        <v>291688354679</v>
      </c>
      <c r="T953" s="46">
        <v>45271</v>
      </c>
      <c r="U953" s="53"/>
      <c r="V953" s="80">
        <v>702</v>
      </c>
      <c r="W953" s="29">
        <v>45271.409722222219</v>
      </c>
      <c r="X953" s="29">
        <v>45271.78125</v>
      </c>
      <c r="Y953" s="30">
        <f t="shared" si="859"/>
        <v>0.37152777778101154</v>
      </c>
      <c r="Z953" s="29">
        <v>45271.520833333336</v>
      </c>
      <c r="AA953" s="29">
        <v>45271.770833333336</v>
      </c>
      <c r="AB953" s="30">
        <f t="shared" si="860"/>
        <v>0.25</v>
      </c>
    </row>
    <row r="954" spans="1:28" x14ac:dyDescent="0.25">
      <c r="A954" s="12">
        <v>45271</v>
      </c>
      <c r="B954" s="13" t="s">
        <v>1811</v>
      </c>
      <c r="C954" s="46">
        <v>45271</v>
      </c>
      <c r="D954" s="80">
        <v>8657969</v>
      </c>
      <c r="E954" s="80" t="s">
        <v>191</v>
      </c>
      <c r="F954" s="80" t="s">
        <v>135</v>
      </c>
      <c r="G954" s="80" t="s">
        <v>192</v>
      </c>
      <c r="H954" s="17">
        <v>5212252</v>
      </c>
      <c r="I954" s="17" t="s">
        <v>23</v>
      </c>
      <c r="J954" s="97" t="s">
        <v>1603</v>
      </c>
      <c r="K954" s="80">
        <v>25</v>
      </c>
      <c r="L954" s="80">
        <v>520</v>
      </c>
      <c r="M954" s="80">
        <f t="shared" si="853"/>
        <v>13000</v>
      </c>
      <c r="N954" s="46">
        <v>45271</v>
      </c>
      <c r="O954" s="80" t="s">
        <v>399</v>
      </c>
      <c r="P954" s="80" t="s">
        <v>144</v>
      </c>
      <c r="Q954" s="80" t="s">
        <v>30</v>
      </c>
      <c r="R954" s="80" t="s">
        <v>621</v>
      </c>
      <c r="S954" s="81">
        <v>261688352025</v>
      </c>
      <c r="T954" s="46">
        <v>45271</v>
      </c>
      <c r="U954" s="53"/>
      <c r="V954" s="80">
        <v>703</v>
      </c>
      <c r="W954" s="29">
        <v>45271.625</v>
      </c>
      <c r="X954" s="29">
        <v>45271.90625</v>
      </c>
      <c r="Y954" s="30">
        <f t="shared" si="856"/>
        <v>0.28125</v>
      </c>
      <c r="Z954" s="29">
        <v>45271.784722222219</v>
      </c>
      <c r="AA954" s="29">
        <v>45271.902777777781</v>
      </c>
      <c r="AB954" s="30">
        <f t="shared" si="857"/>
        <v>0.11805555556202307</v>
      </c>
    </row>
    <row r="955" spans="1:28" x14ac:dyDescent="0.25">
      <c r="A955" s="12">
        <v>45271</v>
      </c>
      <c r="B955" s="13" t="s">
        <v>1811</v>
      </c>
      <c r="C955" s="46">
        <v>45271</v>
      </c>
      <c r="D955" s="80">
        <v>8745118</v>
      </c>
      <c r="E955" s="80" t="s">
        <v>191</v>
      </c>
      <c r="F955" s="80" t="s">
        <v>135</v>
      </c>
      <c r="G955" s="80" t="s">
        <v>192</v>
      </c>
      <c r="H955" s="17" t="s">
        <v>1607</v>
      </c>
      <c r="I955" s="17" t="s">
        <v>29</v>
      </c>
      <c r="J955" s="123" t="s">
        <v>1594</v>
      </c>
      <c r="K955" s="80">
        <v>25</v>
      </c>
      <c r="L955" s="80">
        <v>320</v>
      </c>
      <c r="M955" s="80">
        <f t="shared" ref="M955:M959" si="861">K955*L955</f>
        <v>8000</v>
      </c>
      <c r="N955" s="46">
        <v>45271</v>
      </c>
      <c r="O955" s="80" t="s">
        <v>399</v>
      </c>
      <c r="P955" s="80" t="s">
        <v>144</v>
      </c>
      <c r="Q955" s="80" t="s">
        <v>30</v>
      </c>
      <c r="R955" s="80" t="s">
        <v>621</v>
      </c>
      <c r="S955" s="81">
        <v>261688352025</v>
      </c>
      <c r="T955" s="46">
        <v>45271</v>
      </c>
      <c r="U955" s="53"/>
      <c r="V955" s="80">
        <v>703</v>
      </c>
      <c r="W955" s="29">
        <v>45271.625</v>
      </c>
      <c r="X955" s="29">
        <v>45271.90625</v>
      </c>
      <c r="Y955" s="30">
        <f t="shared" ref="Y955:Y959" si="862">+X955-W955</f>
        <v>0.28125</v>
      </c>
      <c r="Z955" s="29">
        <v>45271.784722222219</v>
      </c>
      <c r="AA955" s="29">
        <v>45271.902777777781</v>
      </c>
      <c r="AB955" s="30">
        <f t="shared" ref="AB955:AB959" si="863">+AA955-Z955</f>
        <v>0.11805555556202307</v>
      </c>
    </row>
    <row r="956" spans="1:28" x14ac:dyDescent="0.25">
      <c r="A956" s="12">
        <v>45271</v>
      </c>
      <c r="B956" s="13" t="s">
        <v>1811</v>
      </c>
      <c r="C956" s="46">
        <v>45271</v>
      </c>
      <c r="D956" s="80">
        <v>9041475</v>
      </c>
      <c r="E956" s="80" t="s">
        <v>191</v>
      </c>
      <c r="F956" s="80" t="s">
        <v>135</v>
      </c>
      <c r="G956" s="80" t="s">
        <v>192</v>
      </c>
      <c r="H956" s="17" t="s">
        <v>1607</v>
      </c>
      <c r="I956" s="17" t="s">
        <v>29</v>
      </c>
      <c r="J956" s="90" t="s">
        <v>1795</v>
      </c>
      <c r="K956" s="80">
        <v>25</v>
      </c>
      <c r="L956" s="80">
        <v>180</v>
      </c>
      <c r="M956" s="80">
        <f t="shared" ref="M956:M957" si="864">K956*L956</f>
        <v>4500</v>
      </c>
      <c r="N956" s="46">
        <v>45271</v>
      </c>
      <c r="O956" s="80" t="s">
        <v>399</v>
      </c>
      <c r="P956" s="80" t="s">
        <v>144</v>
      </c>
      <c r="Q956" s="80" t="s">
        <v>30</v>
      </c>
      <c r="R956" s="80" t="s">
        <v>621</v>
      </c>
      <c r="S956" s="81">
        <v>261688352025</v>
      </c>
      <c r="T956" s="46">
        <v>45271</v>
      </c>
      <c r="U956" s="53"/>
      <c r="V956" s="80">
        <v>703</v>
      </c>
      <c r="W956" s="29">
        <v>45271.625</v>
      </c>
      <c r="X956" s="29">
        <v>45271.90625</v>
      </c>
      <c r="Y956" s="30">
        <f t="shared" ref="Y956:Y957" si="865">+X956-W956</f>
        <v>0.28125</v>
      </c>
      <c r="Z956" s="29">
        <v>45271.784722222219</v>
      </c>
      <c r="AA956" s="29">
        <v>45271.902777777781</v>
      </c>
      <c r="AB956" s="30">
        <f t="shared" ref="AB956:AB957" si="866">+AA956-Z956</f>
        <v>0.11805555556202307</v>
      </c>
    </row>
    <row r="957" spans="1:28" x14ac:dyDescent="0.25">
      <c r="A957" s="12">
        <v>45271</v>
      </c>
      <c r="B957" s="13" t="s">
        <v>1811</v>
      </c>
      <c r="C957" s="46">
        <v>45271</v>
      </c>
      <c r="D957" s="80">
        <v>9041475</v>
      </c>
      <c r="E957" s="80" t="s">
        <v>191</v>
      </c>
      <c r="F957" s="80" t="s">
        <v>135</v>
      </c>
      <c r="G957" s="80" t="s">
        <v>192</v>
      </c>
      <c r="H957" s="17" t="s">
        <v>1607</v>
      </c>
      <c r="I957" s="17" t="s">
        <v>29</v>
      </c>
      <c r="J957" s="90" t="s">
        <v>1794</v>
      </c>
      <c r="K957" s="80">
        <v>25</v>
      </c>
      <c r="L957" s="80">
        <v>20</v>
      </c>
      <c r="M957" s="80">
        <f t="shared" si="864"/>
        <v>500</v>
      </c>
      <c r="N957" s="46">
        <v>45271</v>
      </c>
      <c r="O957" s="80" t="s">
        <v>399</v>
      </c>
      <c r="P957" s="80" t="s">
        <v>144</v>
      </c>
      <c r="Q957" s="80" t="s">
        <v>30</v>
      </c>
      <c r="R957" s="80" t="s">
        <v>621</v>
      </c>
      <c r="S957" s="81">
        <v>261688352025</v>
      </c>
      <c r="T957" s="46">
        <v>45271</v>
      </c>
      <c r="U957" s="53"/>
      <c r="V957" s="80">
        <v>703</v>
      </c>
      <c r="W957" s="29">
        <v>45271.625</v>
      </c>
      <c r="X957" s="29">
        <v>45271.90625</v>
      </c>
      <c r="Y957" s="30">
        <f t="shared" si="865"/>
        <v>0.28125</v>
      </c>
      <c r="Z957" s="29">
        <v>45271.784722222219</v>
      </c>
      <c r="AA957" s="29">
        <v>45271.902777777781</v>
      </c>
      <c r="AB957" s="30">
        <f t="shared" si="866"/>
        <v>0.11805555556202307</v>
      </c>
    </row>
    <row r="958" spans="1:28" x14ac:dyDescent="0.25">
      <c r="A958" s="12">
        <v>45271</v>
      </c>
      <c r="B958" s="13" t="s">
        <v>1811</v>
      </c>
      <c r="C958" s="46">
        <v>45271</v>
      </c>
      <c r="D958" s="80">
        <v>8822212</v>
      </c>
      <c r="E958" s="80" t="s">
        <v>191</v>
      </c>
      <c r="F958" s="80" t="s">
        <v>135</v>
      </c>
      <c r="G958" s="80" t="s">
        <v>192</v>
      </c>
      <c r="H958" s="17">
        <v>5211014</v>
      </c>
      <c r="I958" s="17" t="s">
        <v>38</v>
      </c>
      <c r="J958" s="123" t="s">
        <v>1621</v>
      </c>
      <c r="K958" s="80">
        <v>25</v>
      </c>
      <c r="L958" s="80">
        <v>40</v>
      </c>
      <c r="M958" s="80">
        <f t="shared" si="861"/>
        <v>1000</v>
      </c>
      <c r="N958" s="46">
        <v>45271</v>
      </c>
      <c r="O958" s="80" t="s">
        <v>399</v>
      </c>
      <c r="P958" s="80" t="s">
        <v>144</v>
      </c>
      <c r="Q958" s="80" t="s">
        <v>30</v>
      </c>
      <c r="R958" s="80" t="s">
        <v>621</v>
      </c>
      <c r="S958" s="81">
        <v>261688352025</v>
      </c>
      <c r="T958" s="46">
        <v>45271</v>
      </c>
      <c r="U958" s="53"/>
      <c r="V958" s="80">
        <v>703</v>
      </c>
      <c r="W958" s="29">
        <v>45271.625</v>
      </c>
      <c r="X958" s="29">
        <v>45271.90625</v>
      </c>
      <c r="Y958" s="30">
        <f t="shared" si="862"/>
        <v>0.28125</v>
      </c>
      <c r="Z958" s="29">
        <v>45271.784722222219</v>
      </c>
      <c r="AA958" s="29">
        <v>45271.902777777781</v>
      </c>
      <c r="AB958" s="30">
        <f t="shared" si="863"/>
        <v>0.11805555556202307</v>
      </c>
    </row>
    <row r="959" spans="1:28" x14ac:dyDescent="0.25">
      <c r="A959" s="12">
        <v>45271</v>
      </c>
      <c r="B959" s="13" t="s">
        <v>1811</v>
      </c>
      <c r="C959" s="46">
        <v>45271</v>
      </c>
      <c r="D959" s="51">
        <v>8373156</v>
      </c>
      <c r="E959" s="80" t="s">
        <v>191</v>
      </c>
      <c r="F959" s="80" t="s">
        <v>135</v>
      </c>
      <c r="G959" s="80" t="s">
        <v>192</v>
      </c>
      <c r="H959" s="17">
        <v>5211013</v>
      </c>
      <c r="I959" s="17" t="s">
        <v>27</v>
      </c>
      <c r="J959" s="50" t="s">
        <v>1420</v>
      </c>
      <c r="K959" s="80">
        <v>25</v>
      </c>
      <c r="L959" s="80">
        <v>100</v>
      </c>
      <c r="M959" s="80">
        <f t="shared" si="861"/>
        <v>2500</v>
      </c>
      <c r="N959" s="46">
        <v>45271</v>
      </c>
      <c r="O959" s="80" t="s">
        <v>399</v>
      </c>
      <c r="P959" s="80" t="s">
        <v>144</v>
      </c>
      <c r="Q959" s="80" t="s">
        <v>30</v>
      </c>
      <c r="R959" s="80" t="s">
        <v>621</v>
      </c>
      <c r="S959" s="81">
        <v>261688352025</v>
      </c>
      <c r="T959" s="46">
        <v>45271</v>
      </c>
      <c r="U959" s="53"/>
      <c r="V959" s="80">
        <v>703</v>
      </c>
      <c r="W959" s="29">
        <v>45271.625</v>
      </c>
      <c r="X959" s="29">
        <v>45271.90625</v>
      </c>
      <c r="Y959" s="30">
        <f t="shared" si="862"/>
        <v>0.28125</v>
      </c>
      <c r="Z959" s="29">
        <v>45271.784722222219</v>
      </c>
      <c r="AA959" s="29">
        <v>45271.902777777781</v>
      </c>
      <c r="AB959" s="30">
        <f t="shared" si="863"/>
        <v>0.11805555556202307</v>
      </c>
    </row>
    <row r="960" spans="1:28" x14ac:dyDescent="0.25">
      <c r="A960" s="12">
        <v>45271</v>
      </c>
      <c r="B960" s="13" t="s">
        <v>1811</v>
      </c>
      <c r="C960" s="46">
        <v>45271</v>
      </c>
      <c r="D960" s="51">
        <v>8373156</v>
      </c>
      <c r="E960" s="80" t="s">
        <v>191</v>
      </c>
      <c r="F960" s="80" t="s">
        <v>135</v>
      </c>
      <c r="G960" s="80" t="s">
        <v>192</v>
      </c>
      <c r="H960" s="17">
        <v>5211013</v>
      </c>
      <c r="I960" s="17" t="s">
        <v>27</v>
      </c>
      <c r="J960" s="62" t="s">
        <v>1417</v>
      </c>
      <c r="K960" s="80">
        <v>25</v>
      </c>
      <c r="L960" s="80">
        <v>20</v>
      </c>
      <c r="M960" s="80">
        <f t="shared" ref="M960:M970" si="867">K960*L960</f>
        <v>500</v>
      </c>
      <c r="N960" s="46">
        <v>45271</v>
      </c>
      <c r="O960" s="80" t="s">
        <v>399</v>
      </c>
      <c r="P960" s="80" t="s">
        <v>144</v>
      </c>
      <c r="Q960" s="80" t="s">
        <v>30</v>
      </c>
      <c r="R960" s="80" t="s">
        <v>621</v>
      </c>
      <c r="S960" s="81">
        <v>261688352025</v>
      </c>
      <c r="T960" s="46">
        <v>45271</v>
      </c>
      <c r="U960" s="53"/>
      <c r="V960" s="80">
        <v>703</v>
      </c>
      <c r="W960" s="29">
        <v>45271.625</v>
      </c>
      <c r="X960" s="29">
        <v>45271.90625</v>
      </c>
      <c r="Y960" s="30">
        <f t="shared" ref="Y960:Y961" si="868">+X960-W960</f>
        <v>0.28125</v>
      </c>
      <c r="Z960" s="29">
        <v>45271.784722222219</v>
      </c>
      <c r="AA960" s="29">
        <v>45271.902777777781</v>
      </c>
      <c r="AB960" s="30">
        <f t="shared" ref="AB960:AB961" si="869">+AA960-Z960</f>
        <v>0.11805555556202307</v>
      </c>
    </row>
    <row r="961" spans="1:28" x14ac:dyDescent="0.25">
      <c r="A961" s="12">
        <v>45272</v>
      </c>
      <c r="B961" s="13" t="s">
        <v>1814</v>
      </c>
      <c r="C961" s="46">
        <v>45271</v>
      </c>
      <c r="D961" s="80">
        <v>8657969</v>
      </c>
      <c r="E961" s="80" t="s">
        <v>859</v>
      </c>
      <c r="F961" s="80" t="s">
        <v>289</v>
      </c>
      <c r="G961" s="80" t="s">
        <v>192</v>
      </c>
      <c r="H961" s="17">
        <v>5212252</v>
      </c>
      <c r="I961" s="17" t="s">
        <v>23</v>
      </c>
      <c r="J961" s="90" t="s">
        <v>1545</v>
      </c>
      <c r="K961" s="80">
        <v>25</v>
      </c>
      <c r="L961" s="80">
        <v>37</v>
      </c>
      <c r="M961" s="80">
        <f t="shared" si="867"/>
        <v>925</v>
      </c>
      <c r="N961" s="46">
        <v>45272</v>
      </c>
      <c r="O961" s="80" t="s">
        <v>136</v>
      </c>
      <c r="P961" s="80" t="s">
        <v>144</v>
      </c>
      <c r="Q961" s="80" t="s">
        <v>30</v>
      </c>
      <c r="R961" s="80" t="s">
        <v>1815</v>
      </c>
      <c r="S961" s="81">
        <v>211688666921</v>
      </c>
      <c r="T961" s="46">
        <v>45272</v>
      </c>
      <c r="U961" s="50"/>
      <c r="V961" s="80">
        <v>704</v>
      </c>
      <c r="W961" s="29">
        <v>45272.416666666664</v>
      </c>
      <c r="X961" s="29">
        <v>45272.625</v>
      </c>
      <c r="Y961" s="30">
        <f t="shared" si="868"/>
        <v>0.20833333333575865</v>
      </c>
      <c r="Z961" s="29">
        <v>45272.583333333336</v>
      </c>
      <c r="AA961" s="29">
        <v>45272.625</v>
      </c>
      <c r="AB961" s="30">
        <f t="shared" si="869"/>
        <v>4.1666666664241347E-2</v>
      </c>
    </row>
    <row r="962" spans="1:28" x14ac:dyDescent="0.25">
      <c r="A962" s="12">
        <v>45272</v>
      </c>
      <c r="B962" s="13" t="s">
        <v>1814</v>
      </c>
      <c r="C962" s="46">
        <v>45271</v>
      </c>
      <c r="D962" s="80">
        <v>8657969</v>
      </c>
      <c r="E962" s="80" t="s">
        <v>859</v>
      </c>
      <c r="F962" s="80" t="s">
        <v>289</v>
      </c>
      <c r="G962" s="80" t="s">
        <v>192</v>
      </c>
      <c r="H962" s="17">
        <v>5212252</v>
      </c>
      <c r="I962" s="17" t="s">
        <v>23</v>
      </c>
      <c r="J962" s="90" t="s">
        <v>1603</v>
      </c>
      <c r="K962" s="80">
        <v>25</v>
      </c>
      <c r="L962" s="80">
        <v>363</v>
      </c>
      <c r="M962" s="80">
        <f t="shared" si="867"/>
        <v>9075</v>
      </c>
      <c r="N962" s="46">
        <v>45272</v>
      </c>
      <c r="O962" s="80" t="s">
        <v>136</v>
      </c>
      <c r="P962" s="80" t="s">
        <v>144</v>
      </c>
      <c r="Q962" s="80" t="s">
        <v>30</v>
      </c>
      <c r="R962" s="80" t="s">
        <v>1815</v>
      </c>
      <c r="S962" s="81">
        <v>211688666921</v>
      </c>
      <c r="T962" s="46">
        <v>45272</v>
      </c>
      <c r="U962" s="50"/>
      <c r="V962" s="80">
        <v>704</v>
      </c>
      <c r="W962" s="29">
        <v>45272.416666666664</v>
      </c>
      <c r="X962" s="29">
        <v>45272.625</v>
      </c>
      <c r="Y962" s="30">
        <f t="shared" ref="Y962:Y965" si="870">+X962-W962</f>
        <v>0.20833333333575865</v>
      </c>
      <c r="Z962" s="29">
        <v>45272.583333333336</v>
      </c>
      <c r="AA962" s="29">
        <v>45272.625</v>
      </c>
      <c r="AB962" s="30">
        <f t="shared" ref="AB962:AB965" si="871">+AA962-Z962</f>
        <v>4.1666666664241347E-2</v>
      </c>
    </row>
    <row r="963" spans="1:28" x14ac:dyDescent="0.25">
      <c r="A963" s="12">
        <v>45272</v>
      </c>
      <c r="B963" s="13" t="s">
        <v>1816</v>
      </c>
      <c r="C963" s="46">
        <v>45272</v>
      </c>
      <c r="D963" s="80">
        <v>8657969</v>
      </c>
      <c r="E963" s="80" t="s">
        <v>191</v>
      </c>
      <c r="F963" s="80" t="s">
        <v>135</v>
      </c>
      <c r="G963" s="80" t="s">
        <v>192</v>
      </c>
      <c r="H963" s="17">
        <v>5212252</v>
      </c>
      <c r="I963" s="17" t="s">
        <v>23</v>
      </c>
      <c r="J963" s="90" t="s">
        <v>1603</v>
      </c>
      <c r="K963" s="80">
        <v>25</v>
      </c>
      <c r="L963" s="50">
        <f>12000/25</f>
        <v>480</v>
      </c>
      <c r="M963" s="80">
        <f t="shared" si="867"/>
        <v>12000</v>
      </c>
      <c r="N963" s="46">
        <v>45272</v>
      </c>
      <c r="O963" s="80" t="s">
        <v>739</v>
      </c>
      <c r="P963" s="80" t="s">
        <v>144</v>
      </c>
      <c r="Q963" s="80" t="s">
        <v>30</v>
      </c>
      <c r="R963" s="80" t="s">
        <v>936</v>
      </c>
      <c r="S963" s="81">
        <v>281688737509</v>
      </c>
      <c r="T963" s="46">
        <v>45272</v>
      </c>
      <c r="U963" s="50"/>
      <c r="V963" s="80">
        <v>705</v>
      </c>
      <c r="W963" s="29">
        <v>45272.458333333336</v>
      </c>
      <c r="X963" s="29">
        <v>45272.625</v>
      </c>
      <c r="Y963" s="30">
        <f t="shared" si="870"/>
        <v>0.16666666666424135</v>
      </c>
      <c r="Z963" s="29">
        <v>45272.583333333336</v>
      </c>
      <c r="AA963" s="29">
        <v>45272.625</v>
      </c>
      <c r="AB963" s="30">
        <f t="shared" si="871"/>
        <v>4.1666666664241347E-2</v>
      </c>
    </row>
    <row r="964" spans="1:28" x14ac:dyDescent="0.25">
      <c r="A964" s="12">
        <v>45272</v>
      </c>
      <c r="B964" s="13" t="s">
        <v>1821</v>
      </c>
      <c r="C964" s="46">
        <v>45272</v>
      </c>
      <c r="D964" s="80">
        <v>8734231</v>
      </c>
      <c r="E964" s="80" t="s">
        <v>1131</v>
      </c>
      <c r="F964" s="80" t="s">
        <v>215</v>
      </c>
      <c r="G964" s="80" t="s">
        <v>132</v>
      </c>
      <c r="H964" s="17">
        <v>5230831</v>
      </c>
      <c r="I964" s="17" t="s">
        <v>35</v>
      </c>
      <c r="J964" s="92" t="s">
        <v>1574</v>
      </c>
      <c r="K964" s="80">
        <v>240</v>
      </c>
      <c r="L964" s="80">
        <v>40</v>
      </c>
      <c r="M964" s="80">
        <f t="shared" si="867"/>
        <v>9600</v>
      </c>
      <c r="N964" s="46">
        <v>45272</v>
      </c>
      <c r="O964" s="80" t="s">
        <v>136</v>
      </c>
      <c r="P964" s="80" t="s">
        <v>144</v>
      </c>
      <c r="Q964" s="80" t="s">
        <v>30</v>
      </c>
      <c r="R964" s="80" t="s">
        <v>1822</v>
      </c>
      <c r="S964" s="81">
        <v>261688894642</v>
      </c>
      <c r="T964" s="46">
        <v>45272</v>
      </c>
      <c r="U964" s="50"/>
      <c r="V964" s="80">
        <v>706</v>
      </c>
      <c r="W964" s="29">
        <v>45272.5</v>
      </c>
      <c r="X964" s="29">
        <v>45272.625</v>
      </c>
      <c r="Y964" s="30">
        <f t="shared" si="870"/>
        <v>0.125</v>
      </c>
      <c r="Z964" s="29">
        <v>45272.583333333336</v>
      </c>
      <c r="AA964" s="29">
        <v>45272.625</v>
      </c>
      <c r="AB964" s="30">
        <f t="shared" si="871"/>
        <v>4.1666666664241347E-2</v>
      </c>
    </row>
    <row r="965" spans="1:28" x14ac:dyDescent="0.25">
      <c r="A965" s="12">
        <v>45272</v>
      </c>
      <c r="B965" s="13" t="s">
        <v>1823</v>
      </c>
      <c r="C965" s="46">
        <v>45272</v>
      </c>
      <c r="D965" s="80">
        <v>8846571</v>
      </c>
      <c r="E965" s="80" t="s">
        <v>523</v>
      </c>
      <c r="F965" s="80" t="s">
        <v>524</v>
      </c>
      <c r="G965" s="80" t="s">
        <v>192</v>
      </c>
      <c r="H965" s="17">
        <v>5212256</v>
      </c>
      <c r="I965" s="17" t="s">
        <v>22</v>
      </c>
      <c r="J965" s="90" t="s">
        <v>1723</v>
      </c>
      <c r="K965" s="80">
        <v>25</v>
      </c>
      <c r="L965" s="80">
        <f>16225/25</f>
        <v>649</v>
      </c>
      <c r="M965" s="80">
        <f t="shared" si="867"/>
        <v>16225</v>
      </c>
      <c r="N965" s="46">
        <v>45272</v>
      </c>
      <c r="O965" s="80" t="s">
        <v>425</v>
      </c>
      <c r="P965" s="80" t="s">
        <v>134</v>
      </c>
      <c r="Q965" s="50">
        <v>4057</v>
      </c>
      <c r="R965" s="80" t="s">
        <v>1824</v>
      </c>
      <c r="S965" s="81">
        <v>211688896119</v>
      </c>
      <c r="T965" s="46">
        <v>45272</v>
      </c>
      <c r="U965" s="50"/>
      <c r="V965" s="80">
        <v>707</v>
      </c>
      <c r="W965" s="29">
        <v>45272.541666666664</v>
      </c>
      <c r="X965" s="29">
        <v>45272.625</v>
      </c>
      <c r="Y965" s="30">
        <f t="shared" si="870"/>
        <v>8.3333333335758653E-2</v>
      </c>
      <c r="Z965" s="29">
        <v>45272.548611111109</v>
      </c>
      <c r="AA965" s="29">
        <v>45272.625</v>
      </c>
      <c r="AB965" s="30">
        <f t="shared" si="871"/>
        <v>7.6388888890505768E-2</v>
      </c>
    </row>
    <row r="966" spans="1:28" x14ac:dyDescent="0.25">
      <c r="A966" s="12">
        <v>45272</v>
      </c>
      <c r="B966" s="13" t="s">
        <v>1823</v>
      </c>
      <c r="C966" s="46">
        <v>45272</v>
      </c>
      <c r="D966" s="80">
        <v>8833204</v>
      </c>
      <c r="E966" s="80" t="s">
        <v>523</v>
      </c>
      <c r="F966" s="80" t="s">
        <v>524</v>
      </c>
      <c r="G966" s="80" t="s">
        <v>192</v>
      </c>
      <c r="H966" s="17">
        <v>5212256</v>
      </c>
      <c r="I966" s="17" t="s">
        <v>22</v>
      </c>
      <c r="J966" s="90" t="s">
        <v>1690</v>
      </c>
      <c r="K966" s="80">
        <v>25</v>
      </c>
      <c r="L966" s="50">
        <f>3775/25</f>
        <v>151</v>
      </c>
      <c r="M966" s="80">
        <f t="shared" si="867"/>
        <v>3775</v>
      </c>
      <c r="N966" s="46">
        <v>45272</v>
      </c>
      <c r="O966" s="80" t="s">
        <v>425</v>
      </c>
      <c r="P966" s="80" t="s">
        <v>134</v>
      </c>
      <c r="Q966" s="50">
        <v>4057</v>
      </c>
      <c r="R966" s="80" t="s">
        <v>1824</v>
      </c>
      <c r="S966" s="81">
        <v>211688896119</v>
      </c>
      <c r="T966" s="46">
        <v>45272</v>
      </c>
      <c r="U966" s="50"/>
      <c r="V966" s="80">
        <v>707</v>
      </c>
      <c r="W966" s="29">
        <v>45272.541666666664</v>
      </c>
      <c r="X966" s="29">
        <v>45272.625</v>
      </c>
      <c r="Y966" s="30">
        <f t="shared" ref="Y966:Y968" si="872">+X966-W966</f>
        <v>8.3333333335758653E-2</v>
      </c>
      <c r="Z966" s="29">
        <v>45272.548611111109</v>
      </c>
      <c r="AA966" s="29">
        <v>45272.625</v>
      </c>
      <c r="AB966" s="30">
        <f t="shared" ref="AB966:AB968" si="873">+AA966-Z966</f>
        <v>7.6388888890505768E-2</v>
      </c>
    </row>
    <row r="967" spans="1:28" x14ac:dyDescent="0.25">
      <c r="A967" s="12">
        <v>45272</v>
      </c>
      <c r="B967" s="13" t="s">
        <v>1825</v>
      </c>
      <c r="C967" s="46">
        <v>45272</v>
      </c>
      <c r="D967" s="80">
        <v>8516527</v>
      </c>
      <c r="E967" s="80" t="s">
        <v>1410</v>
      </c>
      <c r="F967" s="80" t="s">
        <v>268</v>
      </c>
      <c r="G967" s="80" t="s">
        <v>132</v>
      </c>
      <c r="H967" s="17">
        <v>5230874</v>
      </c>
      <c r="I967" s="17" t="s">
        <v>1316</v>
      </c>
      <c r="J967" s="92" t="s">
        <v>1513</v>
      </c>
      <c r="K967" s="80">
        <v>250</v>
      </c>
      <c r="L967" s="50">
        <v>40</v>
      </c>
      <c r="M967" s="80">
        <f t="shared" si="867"/>
        <v>10000</v>
      </c>
      <c r="N967" s="46">
        <v>45272</v>
      </c>
      <c r="O967" s="80" t="s">
        <v>136</v>
      </c>
      <c r="P967" s="80" t="s">
        <v>134</v>
      </c>
      <c r="Q967" s="50">
        <v>4056</v>
      </c>
      <c r="R967" s="80" t="s">
        <v>1826</v>
      </c>
      <c r="S967" s="81">
        <v>211688892753</v>
      </c>
      <c r="T967" s="46">
        <v>45272</v>
      </c>
      <c r="U967" s="50"/>
      <c r="V967" s="80">
        <v>708</v>
      </c>
      <c r="W967" s="29">
        <v>45272.541666666664</v>
      </c>
      <c r="X967" s="29">
        <v>45272.625</v>
      </c>
      <c r="Y967" s="30">
        <f t="shared" si="872"/>
        <v>8.3333333335758653E-2</v>
      </c>
      <c r="Z967" s="29">
        <v>45272.548611111109</v>
      </c>
      <c r="AA967" s="29">
        <v>45272.625</v>
      </c>
      <c r="AB967" s="30">
        <f t="shared" si="873"/>
        <v>7.6388888890505768E-2</v>
      </c>
    </row>
    <row r="968" spans="1:28" x14ac:dyDescent="0.25">
      <c r="A968" s="12">
        <v>45273</v>
      </c>
      <c r="B968" s="13" t="s">
        <v>1828</v>
      </c>
      <c r="C968" s="46">
        <v>45272</v>
      </c>
      <c r="D968" s="80">
        <v>9022982</v>
      </c>
      <c r="E968" s="80" t="s">
        <v>385</v>
      </c>
      <c r="F968" s="80" t="s">
        <v>386</v>
      </c>
      <c r="G968" s="80" t="s">
        <v>192</v>
      </c>
      <c r="H968" s="17">
        <v>5210162</v>
      </c>
      <c r="I968" s="17" t="s">
        <v>24</v>
      </c>
      <c r="J968" s="90" t="s">
        <v>770</v>
      </c>
      <c r="K968" s="80">
        <v>25</v>
      </c>
      <c r="L968" s="50">
        <v>280</v>
      </c>
      <c r="M968" s="80">
        <f t="shared" si="867"/>
        <v>7000</v>
      </c>
      <c r="N968" s="46">
        <v>45273</v>
      </c>
      <c r="O968" s="80" t="s">
        <v>136</v>
      </c>
      <c r="P968" s="80" t="s">
        <v>144</v>
      </c>
      <c r="Q968" s="80" t="s">
        <v>30</v>
      </c>
      <c r="R968" s="80" t="s">
        <v>1808</v>
      </c>
      <c r="S968" s="81">
        <v>221689224028</v>
      </c>
      <c r="T968" s="46">
        <v>45273</v>
      </c>
      <c r="U968" s="50"/>
      <c r="V968" s="80">
        <v>709</v>
      </c>
      <c r="W968" s="29">
        <v>45273.479166666664</v>
      </c>
      <c r="X968" s="29">
        <v>45273.541666666664</v>
      </c>
      <c r="Y968" s="30">
        <f t="shared" si="872"/>
        <v>6.25E-2</v>
      </c>
      <c r="Z968" s="29">
        <v>45273.520833333336</v>
      </c>
      <c r="AA968" s="29">
        <v>45273.541666666664</v>
      </c>
      <c r="AB968" s="30">
        <f t="shared" si="873"/>
        <v>2.0833333328482695E-2</v>
      </c>
    </row>
    <row r="969" spans="1:28" x14ac:dyDescent="0.25">
      <c r="A969" s="12">
        <v>45273</v>
      </c>
      <c r="B969" s="13" t="s">
        <v>1828</v>
      </c>
      <c r="C969" s="46">
        <v>45272</v>
      </c>
      <c r="D969" s="80">
        <v>9022982</v>
      </c>
      <c r="E969" s="80" t="s">
        <v>385</v>
      </c>
      <c r="F969" s="80" t="s">
        <v>386</v>
      </c>
      <c r="G969" s="80" t="s">
        <v>192</v>
      </c>
      <c r="H969" s="17">
        <v>5210162</v>
      </c>
      <c r="I969" s="17" t="s">
        <v>24</v>
      </c>
      <c r="J969" s="90" t="s">
        <v>575</v>
      </c>
      <c r="K969" s="80">
        <v>25</v>
      </c>
      <c r="L969" s="50">
        <v>120</v>
      </c>
      <c r="M969" s="80">
        <f t="shared" si="867"/>
        <v>3000</v>
      </c>
      <c r="N969" s="46">
        <v>45273</v>
      </c>
      <c r="O969" s="80" t="s">
        <v>136</v>
      </c>
      <c r="P969" s="80" t="s">
        <v>144</v>
      </c>
      <c r="Q969" s="80" t="s">
        <v>30</v>
      </c>
      <c r="R969" s="80" t="s">
        <v>1808</v>
      </c>
      <c r="S969" s="81">
        <v>221689224028</v>
      </c>
      <c r="T969" s="46">
        <v>45273</v>
      </c>
      <c r="U969" s="50"/>
      <c r="V969" s="80">
        <v>709</v>
      </c>
      <c r="W969" s="29">
        <v>45273.479166666664</v>
      </c>
      <c r="X969" s="29">
        <v>45273.541666666664</v>
      </c>
      <c r="Y969" s="30">
        <f t="shared" ref="Y969:Y970" si="874">+X969-W969</f>
        <v>6.25E-2</v>
      </c>
      <c r="Z969" s="29">
        <v>45273.520833333336</v>
      </c>
      <c r="AA969" s="29">
        <v>45273.541666666664</v>
      </c>
      <c r="AB969" s="30">
        <f t="shared" ref="AB969:AB970" si="875">+AA969-Z969</f>
        <v>2.0833333328482695E-2</v>
      </c>
    </row>
    <row r="970" spans="1:28" x14ac:dyDescent="0.25">
      <c r="A970" s="12">
        <v>45273</v>
      </c>
      <c r="B970" s="13" t="s">
        <v>1829</v>
      </c>
      <c r="C970" s="46">
        <v>45273</v>
      </c>
      <c r="D970" s="80">
        <v>9022982</v>
      </c>
      <c r="E970" s="126" t="s">
        <v>1460</v>
      </c>
      <c r="F970" s="126" t="s">
        <v>240</v>
      </c>
      <c r="G970" s="80" t="s">
        <v>192</v>
      </c>
      <c r="H970" s="17">
        <v>5210162</v>
      </c>
      <c r="I970" s="17" t="s">
        <v>24</v>
      </c>
      <c r="J970" s="127" t="s">
        <v>711</v>
      </c>
      <c r="K970" s="126">
        <v>25</v>
      </c>
      <c r="L970" s="18">
        <f>5000/25</f>
        <v>200</v>
      </c>
      <c r="M970" s="80">
        <f t="shared" si="867"/>
        <v>5000</v>
      </c>
      <c r="N970" s="46">
        <v>45273</v>
      </c>
      <c r="O970" s="80" t="s">
        <v>136</v>
      </c>
      <c r="P970" s="80" t="s">
        <v>134</v>
      </c>
      <c r="Q970" s="127">
        <v>4058</v>
      </c>
      <c r="R970" s="126" t="s">
        <v>1830</v>
      </c>
      <c r="S970" s="128">
        <v>251689340237</v>
      </c>
      <c r="T970" s="46">
        <v>45273</v>
      </c>
      <c r="V970" s="126">
        <v>710</v>
      </c>
      <c r="W970" s="29">
        <v>45273.520833333336</v>
      </c>
      <c r="X970" s="29">
        <v>45273.625</v>
      </c>
      <c r="Y970" s="30">
        <f t="shared" si="874"/>
        <v>0.10416666666424135</v>
      </c>
      <c r="Z970" s="29">
        <v>45273.590277777781</v>
      </c>
      <c r="AA970" s="29">
        <v>45273.625</v>
      </c>
      <c r="AB970" s="30">
        <f t="shared" si="875"/>
        <v>3.4722222218988463E-2</v>
      </c>
    </row>
  </sheetData>
  <mergeCells count="1">
    <mergeCell ref="U283:U285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opLeftCell="S7" workbookViewId="0">
      <selection activeCell="W13" sqref="W13"/>
    </sheetView>
  </sheetViews>
  <sheetFormatPr defaultColWidth="20.7109375" defaultRowHeight="15" x14ac:dyDescent="0.25"/>
  <cols>
    <col min="1" max="8" width="15.5703125" style="18" customWidth="1"/>
    <col min="9" max="9" width="5.85546875" style="18" customWidth="1"/>
    <col min="10" max="16384" width="20.7109375" style="18"/>
  </cols>
  <sheetData>
    <row r="1" spans="1:28" ht="30" x14ac:dyDescent="0.25">
      <c r="A1" s="44" t="s">
        <v>603</v>
      </c>
      <c r="B1" s="44" t="s">
        <v>604</v>
      </c>
      <c r="C1" s="44" t="s">
        <v>605</v>
      </c>
      <c r="D1" s="44" t="s">
        <v>606</v>
      </c>
      <c r="E1" s="44" t="s">
        <v>607</v>
      </c>
      <c r="F1" s="45" t="s">
        <v>608</v>
      </c>
      <c r="G1" s="45" t="s">
        <v>609</v>
      </c>
      <c r="H1" s="45" t="s">
        <v>610</v>
      </c>
      <c r="J1" s="44" t="s">
        <v>603</v>
      </c>
      <c r="K1" s="44" t="s">
        <v>604</v>
      </c>
      <c r="L1" s="44" t="s">
        <v>605</v>
      </c>
      <c r="M1" s="44" t="s">
        <v>606</v>
      </c>
      <c r="N1" s="44" t="s">
        <v>607</v>
      </c>
      <c r="O1" s="45" t="s">
        <v>608</v>
      </c>
      <c r="P1" s="45" t="s">
        <v>609</v>
      </c>
      <c r="Q1" s="45" t="s">
        <v>610</v>
      </c>
      <c r="S1" s="44" t="s">
        <v>603</v>
      </c>
      <c r="T1" s="44" t="s">
        <v>604</v>
      </c>
      <c r="U1" s="44" t="s">
        <v>605</v>
      </c>
      <c r="V1" s="44" t="s">
        <v>606</v>
      </c>
      <c r="W1" s="44" t="s">
        <v>607</v>
      </c>
      <c r="X1" s="45" t="s">
        <v>608</v>
      </c>
      <c r="Y1" s="45" t="s">
        <v>609</v>
      </c>
      <c r="Z1" s="45" t="s">
        <v>610</v>
      </c>
    </row>
    <row r="2" spans="1:28" x14ac:dyDescent="0.25">
      <c r="A2" s="46">
        <v>45200</v>
      </c>
      <c r="B2" s="27" t="s">
        <v>611</v>
      </c>
      <c r="C2" s="47" t="s">
        <v>613</v>
      </c>
      <c r="D2" s="27">
        <v>436729</v>
      </c>
      <c r="E2" s="26">
        <f t="shared" ref="E2:E32" si="0">D2/1000</f>
        <v>436.72899999999998</v>
      </c>
      <c r="F2" s="26">
        <v>1500</v>
      </c>
      <c r="G2" s="26">
        <v>612</v>
      </c>
      <c r="H2" s="26">
        <f t="shared" ref="H2:H32" si="1">G2-F2</f>
        <v>-888</v>
      </c>
      <c r="J2" s="46">
        <v>45231</v>
      </c>
      <c r="K2" s="27" t="s">
        <v>611</v>
      </c>
      <c r="L2" s="27" t="s">
        <v>612</v>
      </c>
      <c r="M2" s="27">
        <v>1388210</v>
      </c>
      <c r="N2" s="26">
        <f t="shared" ref="N2:N14" si="2">M2/1000</f>
        <v>1388.21</v>
      </c>
      <c r="O2" s="26">
        <v>1500</v>
      </c>
      <c r="P2" s="26">
        <v>1778</v>
      </c>
      <c r="Q2" s="26">
        <f t="shared" ref="Q2:Q14" si="3">P2-O2</f>
        <v>278</v>
      </c>
      <c r="S2" s="46">
        <v>45261</v>
      </c>
      <c r="T2" s="27" t="s">
        <v>611</v>
      </c>
      <c r="U2" s="27" t="s">
        <v>612</v>
      </c>
      <c r="V2" s="27">
        <v>1689685</v>
      </c>
      <c r="W2" s="26">
        <f t="shared" ref="W2:W13" si="4">V2/1000</f>
        <v>1689.6849999999999</v>
      </c>
      <c r="X2" s="26">
        <v>1500</v>
      </c>
      <c r="Y2" s="26">
        <v>2162</v>
      </c>
      <c r="Z2" s="26">
        <f t="shared" ref="Z2:Z13" si="5">Y2-X2</f>
        <v>662</v>
      </c>
    </row>
    <row r="3" spans="1:28" x14ac:dyDescent="0.25">
      <c r="A3" s="46">
        <v>45201</v>
      </c>
      <c r="B3" s="27" t="s">
        <v>611</v>
      </c>
      <c r="C3" s="48" t="s">
        <v>1095</v>
      </c>
      <c r="D3" s="27">
        <v>436729</v>
      </c>
      <c r="E3" s="26">
        <f t="shared" si="0"/>
        <v>436.72899999999998</v>
      </c>
      <c r="F3" s="26">
        <v>1500</v>
      </c>
      <c r="G3" s="26">
        <v>612</v>
      </c>
      <c r="H3" s="26">
        <f t="shared" si="1"/>
        <v>-888</v>
      </c>
      <c r="J3" s="46">
        <v>45232</v>
      </c>
      <c r="K3" s="27" t="s">
        <v>611</v>
      </c>
      <c r="L3" s="27" t="s">
        <v>612</v>
      </c>
      <c r="M3" s="27">
        <v>1297300</v>
      </c>
      <c r="N3" s="26">
        <f t="shared" si="2"/>
        <v>1297.3</v>
      </c>
      <c r="O3" s="26">
        <v>1500</v>
      </c>
      <c r="P3" s="26">
        <v>1735</v>
      </c>
      <c r="Q3" s="26">
        <f t="shared" si="3"/>
        <v>235</v>
      </c>
      <c r="S3" s="46">
        <v>45262</v>
      </c>
      <c r="T3" s="27" t="s">
        <v>611</v>
      </c>
      <c r="U3" s="27" t="s">
        <v>612</v>
      </c>
      <c r="V3" s="27">
        <v>1715685</v>
      </c>
      <c r="W3" s="26">
        <f t="shared" si="4"/>
        <v>1715.6849999999999</v>
      </c>
      <c r="X3" s="26">
        <v>1500</v>
      </c>
      <c r="Y3" s="26">
        <v>2192</v>
      </c>
      <c r="Z3" s="26">
        <f t="shared" si="5"/>
        <v>692</v>
      </c>
    </row>
    <row r="4" spans="1:28" x14ac:dyDescent="0.25">
      <c r="A4" s="46">
        <v>45202</v>
      </c>
      <c r="B4" s="27" t="s">
        <v>611</v>
      </c>
      <c r="C4" s="27" t="s">
        <v>612</v>
      </c>
      <c r="D4" s="26">
        <v>429529</v>
      </c>
      <c r="E4" s="26">
        <f t="shared" si="0"/>
        <v>429.529</v>
      </c>
      <c r="F4" s="26">
        <v>1500</v>
      </c>
      <c r="G4" s="26">
        <v>605</v>
      </c>
      <c r="H4" s="26">
        <f t="shared" si="1"/>
        <v>-895</v>
      </c>
      <c r="J4" s="46">
        <v>45233</v>
      </c>
      <c r="K4" s="27" t="s">
        <v>611</v>
      </c>
      <c r="L4" s="27" t="s">
        <v>612</v>
      </c>
      <c r="M4" s="26">
        <v>1245300</v>
      </c>
      <c r="N4" s="26">
        <f t="shared" si="2"/>
        <v>1245.3</v>
      </c>
      <c r="O4" s="26">
        <v>1500</v>
      </c>
      <c r="P4" s="26">
        <v>1649</v>
      </c>
      <c r="Q4" s="26">
        <f t="shared" si="3"/>
        <v>149</v>
      </c>
      <c r="S4" s="46">
        <v>45263</v>
      </c>
      <c r="T4" s="27" t="s">
        <v>611</v>
      </c>
      <c r="U4" s="47" t="s">
        <v>613</v>
      </c>
      <c r="V4" s="27">
        <v>1715685</v>
      </c>
      <c r="W4" s="26">
        <f t="shared" si="4"/>
        <v>1715.6849999999999</v>
      </c>
      <c r="X4" s="26">
        <v>1500</v>
      </c>
      <c r="Y4" s="26">
        <v>2192</v>
      </c>
      <c r="Z4" s="26">
        <f t="shared" si="5"/>
        <v>692</v>
      </c>
    </row>
    <row r="5" spans="1:28" x14ac:dyDescent="0.25">
      <c r="A5" s="46">
        <v>45203</v>
      </c>
      <c r="B5" s="27" t="s">
        <v>611</v>
      </c>
      <c r="C5" s="27" t="s">
        <v>612</v>
      </c>
      <c r="D5" s="27">
        <v>521730</v>
      </c>
      <c r="E5" s="26">
        <f t="shared" si="0"/>
        <v>521.73</v>
      </c>
      <c r="F5" s="26">
        <v>1500</v>
      </c>
      <c r="G5" s="27">
        <v>761</v>
      </c>
      <c r="H5" s="26">
        <f t="shared" si="1"/>
        <v>-739</v>
      </c>
      <c r="J5" s="46">
        <v>45234</v>
      </c>
      <c r="K5" s="27" t="s">
        <v>611</v>
      </c>
      <c r="L5" s="27" t="s">
        <v>612</v>
      </c>
      <c r="M5" s="26">
        <v>1245300</v>
      </c>
      <c r="N5" s="26">
        <f t="shared" si="2"/>
        <v>1245.3</v>
      </c>
      <c r="O5" s="26">
        <v>1500</v>
      </c>
      <c r="P5" s="26">
        <v>1649</v>
      </c>
      <c r="Q5" s="26">
        <f t="shared" si="3"/>
        <v>149</v>
      </c>
      <c r="S5" s="46">
        <v>45264</v>
      </c>
      <c r="T5" s="27" t="s">
        <v>611</v>
      </c>
      <c r="U5" s="27" t="s">
        <v>612</v>
      </c>
      <c r="V5" s="80">
        <v>1608685</v>
      </c>
      <c r="W5" s="26">
        <f t="shared" si="4"/>
        <v>1608.6849999999999</v>
      </c>
      <c r="X5" s="26">
        <v>1500</v>
      </c>
      <c r="Y5" s="26">
        <v>2054</v>
      </c>
      <c r="Z5" s="26">
        <f t="shared" si="5"/>
        <v>554</v>
      </c>
    </row>
    <row r="6" spans="1:28" x14ac:dyDescent="0.25">
      <c r="A6" s="46">
        <v>45204</v>
      </c>
      <c r="B6" s="27" t="s">
        <v>611</v>
      </c>
      <c r="C6" s="27" t="s">
        <v>612</v>
      </c>
      <c r="D6" s="27">
        <v>494580</v>
      </c>
      <c r="E6" s="26">
        <f t="shared" si="0"/>
        <v>494.58</v>
      </c>
      <c r="F6" s="26">
        <v>1500</v>
      </c>
      <c r="G6" s="27">
        <v>740</v>
      </c>
      <c r="H6" s="26">
        <f t="shared" si="1"/>
        <v>-760</v>
      </c>
      <c r="J6" s="46">
        <v>45235</v>
      </c>
      <c r="K6" s="27" t="s">
        <v>611</v>
      </c>
      <c r="L6" s="47" t="s">
        <v>613</v>
      </c>
      <c r="M6" s="26">
        <v>1245300</v>
      </c>
      <c r="N6" s="26">
        <f t="shared" si="2"/>
        <v>1245.3</v>
      </c>
      <c r="O6" s="26">
        <v>1500</v>
      </c>
      <c r="P6" s="26">
        <v>1649</v>
      </c>
      <c r="Q6" s="26">
        <f t="shared" si="3"/>
        <v>149</v>
      </c>
      <c r="S6" s="46">
        <v>45265</v>
      </c>
      <c r="T6" s="27" t="s">
        <v>611</v>
      </c>
      <c r="U6" s="27" t="s">
        <v>612</v>
      </c>
      <c r="V6" s="26">
        <v>1389665</v>
      </c>
      <c r="W6" s="26">
        <f t="shared" si="4"/>
        <v>1389.665</v>
      </c>
      <c r="X6" s="26">
        <v>1500</v>
      </c>
      <c r="Y6" s="26">
        <v>1781</v>
      </c>
      <c r="Z6" s="26">
        <f t="shared" si="5"/>
        <v>281</v>
      </c>
    </row>
    <row r="7" spans="1:28" x14ac:dyDescent="0.25">
      <c r="A7" s="46">
        <v>45205</v>
      </c>
      <c r="B7" s="27" t="s">
        <v>611</v>
      </c>
      <c r="C7" s="27" t="s">
        <v>612</v>
      </c>
      <c r="D7" s="27">
        <v>581370</v>
      </c>
      <c r="E7" s="26">
        <f t="shared" si="0"/>
        <v>581.37</v>
      </c>
      <c r="F7" s="26">
        <v>1500</v>
      </c>
      <c r="G7" s="27">
        <v>798</v>
      </c>
      <c r="H7" s="26">
        <f t="shared" si="1"/>
        <v>-702</v>
      </c>
      <c r="J7" s="46">
        <v>45236</v>
      </c>
      <c r="K7" s="27" t="s">
        <v>611</v>
      </c>
      <c r="L7" s="27" t="s">
        <v>612</v>
      </c>
      <c r="M7" s="27">
        <v>1172820</v>
      </c>
      <c r="N7" s="26">
        <f t="shared" si="2"/>
        <v>1172.82</v>
      </c>
      <c r="O7" s="26">
        <v>1500</v>
      </c>
      <c r="P7" s="27">
        <v>1553</v>
      </c>
      <c r="Q7" s="26">
        <f t="shared" si="3"/>
        <v>53</v>
      </c>
      <c r="S7" s="46">
        <v>45266</v>
      </c>
      <c r="T7" s="27" t="s">
        <v>611</v>
      </c>
      <c r="U7" s="27" t="s">
        <v>612</v>
      </c>
      <c r="V7" s="27">
        <v>1286615</v>
      </c>
      <c r="W7" s="26">
        <f t="shared" si="4"/>
        <v>1286.615</v>
      </c>
      <c r="X7" s="26">
        <v>1500</v>
      </c>
      <c r="Y7" s="27">
        <v>1659</v>
      </c>
      <c r="Z7" s="26">
        <f t="shared" si="5"/>
        <v>159</v>
      </c>
    </row>
    <row r="8" spans="1:28" x14ac:dyDescent="0.25">
      <c r="A8" s="46">
        <v>45206</v>
      </c>
      <c r="B8" s="27" t="s">
        <v>611</v>
      </c>
      <c r="C8" s="27" t="s">
        <v>612</v>
      </c>
      <c r="D8" s="27">
        <v>824970</v>
      </c>
      <c r="E8" s="26">
        <f t="shared" si="0"/>
        <v>824.97</v>
      </c>
      <c r="F8" s="26">
        <v>1500</v>
      </c>
      <c r="G8" s="27">
        <v>1061</v>
      </c>
      <c r="H8" s="26">
        <f t="shared" si="1"/>
        <v>-439</v>
      </c>
      <c r="J8" s="46">
        <v>45237</v>
      </c>
      <c r="K8" s="27" t="s">
        <v>611</v>
      </c>
      <c r="L8" s="27" t="s">
        <v>612</v>
      </c>
      <c r="M8" s="27">
        <v>1097540</v>
      </c>
      <c r="N8" s="26">
        <f t="shared" si="2"/>
        <v>1097.54</v>
      </c>
      <c r="O8" s="26">
        <v>1500</v>
      </c>
      <c r="P8" s="27">
        <v>1507</v>
      </c>
      <c r="Q8" s="26">
        <f t="shared" si="3"/>
        <v>7</v>
      </c>
      <c r="S8" s="46">
        <v>45267</v>
      </c>
      <c r="T8" s="27" t="s">
        <v>611</v>
      </c>
      <c r="U8" s="27" t="s">
        <v>612</v>
      </c>
      <c r="V8" s="27">
        <v>1345175</v>
      </c>
      <c r="W8" s="26">
        <f t="shared" si="4"/>
        <v>1345.175</v>
      </c>
      <c r="X8" s="26">
        <v>1500</v>
      </c>
      <c r="Y8" s="27">
        <v>1739</v>
      </c>
      <c r="Z8" s="26">
        <f t="shared" si="5"/>
        <v>239</v>
      </c>
    </row>
    <row r="9" spans="1:28" x14ac:dyDescent="0.25">
      <c r="A9" s="46">
        <v>45207</v>
      </c>
      <c r="B9" s="27" t="s">
        <v>611</v>
      </c>
      <c r="C9" s="47" t="s">
        <v>613</v>
      </c>
      <c r="D9" s="27">
        <v>824970</v>
      </c>
      <c r="E9" s="26">
        <f t="shared" si="0"/>
        <v>824.97</v>
      </c>
      <c r="F9" s="26">
        <v>1500</v>
      </c>
      <c r="G9" s="27">
        <v>1061</v>
      </c>
      <c r="H9" s="26">
        <f t="shared" si="1"/>
        <v>-439</v>
      </c>
      <c r="J9" s="46">
        <v>45238</v>
      </c>
      <c r="K9" s="27" t="s">
        <v>611</v>
      </c>
      <c r="L9" s="27" t="s">
        <v>612</v>
      </c>
      <c r="M9" s="27">
        <v>1122740</v>
      </c>
      <c r="N9" s="26">
        <f t="shared" si="2"/>
        <v>1122.74</v>
      </c>
      <c r="O9" s="26">
        <v>1500</v>
      </c>
      <c r="P9" s="27">
        <v>1533</v>
      </c>
      <c r="Q9" s="26">
        <f t="shared" si="3"/>
        <v>33</v>
      </c>
      <c r="S9" s="46">
        <v>45268</v>
      </c>
      <c r="T9" s="27" t="s">
        <v>611</v>
      </c>
      <c r="U9" s="27" t="s">
        <v>612</v>
      </c>
      <c r="V9" s="27">
        <v>1398575</v>
      </c>
      <c r="W9" s="26">
        <f t="shared" si="4"/>
        <v>1398.575</v>
      </c>
      <c r="X9" s="26">
        <v>1500</v>
      </c>
      <c r="Y9" s="27">
        <v>1794</v>
      </c>
      <c r="Z9" s="26">
        <f t="shared" si="5"/>
        <v>294</v>
      </c>
    </row>
    <row r="10" spans="1:28" x14ac:dyDescent="0.25">
      <c r="A10" s="46">
        <v>45208</v>
      </c>
      <c r="B10" s="27" t="s">
        <v>611</v>
      </c>
      <c r="C10" s="27" t="s">
        <v>612</v>
      </c>
      <c r="D10" s="27">
        <v>864570</v>
      </c>
      <c r="E10" s="26">
        <f t="shared" si="0"/>
        <v>864.57</v>
      </c>
      <c r="F10" s="26">
        <v>1500</v>
      </c>
      <c r="G10" s="27">
        <v>1281</v>
      </c>
      <c r="H10" s="26">
        <f t="shared" si="1"/>
        <v>-219</v>
      </c>
      <c r="J10" s="46">
        <v>45239</v>
      </c>
      <c r="K10" s="27" t="s">
        <v>611</v>
      </c>
      <c r="L10" s="27" t="s">
        <v>612</v>
      </c>
      <c r="M10" s="27">
        <v>1176285</v>
      </c>
      <c r="N10" s="26">
        <f t="shared" si="2"/>
        <v>1176.2850000000001</v>
      </c>
      <c r="O10" s="26">
        <v>1500</v>
      </c>
      <c r="P10" s="27">
        <v>1548</v>
      </c>
      <c r="Q10" s="26">
        <f t="shared" si="3"/>
        <v>48</v>
      </c>
      <c r="S10" s="46">
        <v>45269</v>
      </c>
      <c r="T10" s="27" t="s">
        <v>611</v>
      </c>
      <c r="U10" s="27" t="s">
        <v>612</v>
      </c>
      <c r="V10" s="27">
        <v>1544575</v>
      </c>
      <c r="W10" s="26">
        <f t="shared" si="4"/>
        <v>1544.575</v>
      </c>
      <c r="X10" s="26">
        <v>1500</v>
      </c>
      <c r="Y10" s="27">
        <v>1964</v>
      </c>
      <c r="Z10" s="26">
        <f t="shared" si="5"/>
        <v>464</v>
      </c>
    </row>
    <row r="11" spans="1:28" x14ac:dyDescent="0.25">
      <c r="A11" s="46">
        <v>45209</v>
      </c>
      <c r="B11" s="27" t="s">
        <v>611</v>
      </c>
      <c r="C11" s="27" t="s">
        <v>612</v>
      </c>
      <c r="D11" s="27">
        <v>982270</v>
      </c>
      <c r="E11" s="26">
        <f t="shared" si="0"/>
        <v>982.27</v>
      </c>
      <c r="F11" s="26">
        <v>1500</v>
      </c>
      <c r="G11" s="27">
        <v>1401</v>
      </c>
      <c r="H11" s="26">
        <f t="shared" si="1"/>
        <v>-99</v>
      </c>
      <c r="J11" s="46">
        <v>45240</v>
      </c>
      <c r="K11" s="27" t="s">
        <v>611</v>
      </c>
      <c r="L11" s="27" t="s">
        <v>612</v>
      </c>
      <c r="M11" s="27">
        <v>1256285</v>
      </c>
      <c r="N11" s="26">
        <f t="shared" si="2"/>
        <v>1256.2850000000001</v>
      </c>
      <c r="O11" s="26">
        <v>1500</v>
      </c>
      <c r="P11" s="27">
        <v>1628</v>
      </c>
      <c r="Q11" s="26">
        <f t="shared" si="3"/>
        <v>128</v>
      </c>
      <c r="S11" s="46">
        <v>45270</v>
      </c>
      <c r="T11" s="27" t="s">
        <v>611</v>
      </c>
      <c r="U11" s="47" t="s">
        <v>613</v>
      </c>
      <c r="V11" s="27">
        <v>1544575</v>
      </c>
      <c r="W11" s="26">
        <f t="shared" si="4"/>
        <v>1544.575</v>
      </c>
      <c r="X11" s="26">
        <v>1500</v>
      </c>
      <c r="Y11" s="27">
        <v>1964</v>
      </c>
      <c r="Z11" s="26">
        <f t="shared" si="5"/>
        <v>464</v>
      </c>
      <c r="AA11" s="117"/>
      <c r="AB11" s="117"/>
    </row>
    <row r="12" spans="1:28" x14ac:dyDescent="0.25">
      <c r="A12" s="46">
        <v>45210</v>
      </c>
      <c r="B12" s="27" t="s">
        <v>611</v>
      </c>
      <c r="C12" s="27" t="s">
        <v>612</v>
      </c>
      <c r="D12" s="27">
        <v>954270</v>
      </c>
      <c r="E12" s="26">
        <f t="shared" si="0"/>
        <v>954.27</v>
      </c>
      <c r="F12" s="26">
        <v>1500</v>
      </c>
      <c r="G12" s="27">
        <v>1367</v>
      </c>
      <c r="H12" s="26">
        <f t="shared" si="1"/>
        <v>-133</v>
      </c>
      <c r="J12" s="46">
        <v>45241</v>
      </c>
      <c r="K12" s="27" t="s">
        <v>611</v>
      </c>
      <c r="L12" s="27" t="s">
        <v>612</v>
      </c>
      <c r="M12" s="27">
        <v>1256285</v>
      </c>
      <c r="N12" s="26">
        <f t="shared" si="2"/>
        <v>1256.2850000000001</v>
      </c>
      <c r="O12" s="26">
        <v>1500</v>
      </c>
      <c r="P12" s="27">
        <v>1628</v>
      </c>
      <c r="Q12" s="26">
        <f t="shared" si="3"/>
        <v>128</v>
      </c>
      <c r="S12" s="46">
        <v>45271</v>
      </c>
      <c r="T12" s="27" t="s">
        <v>611</v>
      </c>
      <c r="U12" s="27" t="s">
        <v>612</v>
      </c>
      <c r="V12" s="27">
        <v>1556375</v>
      </c>
      <c r="W12" s="26">
        <f t="shared" si="4"/>
        <v>1556.375</v>
      </c>
      <c r="X12" s="26">
        <v>1500</v>
      </c>
      <c r="Y12" s="27">
        <v>1962</v>
      </c>
      <c r="Z12" s="26">
        <f t="shared" si="5"/>
        <v>462</v>
      </c>
    </row>
    <row r="13" spans="1:28" x14ac:dyDescent="0.25">
      <c r="A13" s="46">
        <v>45211</v>
      </c>
      <c r="B13" s="27" t="s">
        <v>611</v>
      </c>
      <c r="C13" s="27" t="s">
        <v>612</v>
      </c>
      <c r="D13" s="27">
        <v>914270</v>
      </c>
      <c r="E13" s="26">
        <f t="shared" si="0"/>
        <v>914.27</v>
      </c>
      <c r="F13" s="26">
        <v>1500</v>
      </c>
      <c r="G13" s="27">
        <v>1311</v>
      </c>
      <c r="H13" s="26">
        <f t="shared" si="1"/>
        <v>-189</v>
      </c>
      <c r="J13" s="46">
        <v>45242</v>
      </c>
      <c r="K13" s="27" t="s">
        <v>611</v>
      </c>
      <c r="L13" s="47" t="s">
        <v>613</v>
      </c>
      <c r="M13" s="27">
        <v>1256285</v>
      </c>
      <c r="N13" s="26">
        <f t="shared" si="2"/>
        <v>1256.2850000000001</v>
      </c>
      <c r="O13" s="26">
        <v>1500</v>
      </c>
      <c r="P13" s="27">
        <v>1628</v>
      </c>
      <c r="Q13" s="26">
        <f t="shared" si="3"/>
        <v>128</v>
      </c>
      <c r="S13" s="46">
        <v>45272</v>
      </c>
      <c r="T13" s="27" t="s">
        <v>611</v>
      </c>
      <c r="U13" s="27" t="s">
        <v>612</v>
      </c>
      <c r="V13" s="27">
        <v>1585175</v>
      </c>
      <c r="W13" s="26">
        <f t="shared" si="4"/>
        <v>1585.175</v>
      </c>
      <c r="X13" s="26">
        <v>1500</v>
      </c>
      <c r="Y13" s="27">
        <v>1997</v>
      </c>
      <c r="Z13" s="26">
        <f t="shared" si="5"/>
        <v>497</v>
      </c>
    </row>
    <row r="14" spans="1:28" x14ac:dyDescent="0.25">
      <c r="A14" s="46">
        <v>45212</v>
      </c>
      <c r="B14" s="27" t="s">
        <v>611</v>
      </c>
      <c r="C14" s="27" t="s">
        <v>612</v>
      </c>
      <c r="D14" s="27">
        <v>989270</v>
      </c>
      <c r="E14" s="26">
        <f t="shared" si="0"/>
        <v>989.27</v>
      </c>
      <c r="F14" s="26">
        <v>1500</v>
      </c>
      <c r="G14" s="27">
        <v>1382</v>
      </c>
      <c r="H14" s="26">
        <f t="shared" si="1"/>
        <v>-118</v>
      </c>
      <c r="J14" s="46">
        <v>45243</v>
      </c>
      <c r="K14" s="27" t="s">
        <v>611</v>
      </c>
      <c r="L14" s="27" t="s">
        <v>612</v>
      </c>
      <c r="M14" s="27">
        <v>1334285</v>
      </c>
      <c r="N14" s="26">
        <f t="shared" si="2"/>
        <v>1334.2850000000001</v>
      </c>
      <c r="O14" s="26">
        <v>1500</v>
      </c>
      <c r="P14" s="27">
        <v>1718</v>
      </c>
      <c r="Q14" s="26">
        <f t="shared" si="3"/>
        <v>218</v>
      </c>
      <c r="S14" s="46">
        <v>45273</v>
      </c>
      <c r="T14" s="27" t="s">
        <v>611</v>
      </c>
      <c r="U14" s="27" t="s">
        <v>612</v>
      </c>
      <c r="V14" s="27"/>
      <c r="W14" s="26"/>
      <c r="X14" s="26"/>
      <c r="Y14" s="27"/>
      <c r="Z14" s="26"/>
    </row>
    <row r="15" spans="1:28" x14ac:dyDescent="0.25">
      <c r="A15" s="46">
        <v>45213</v>
      </c>
      <c r="B15" s="27" t="s">
        <v>611</v>
      </c>
      <c r="C15" s="27" t="s">
        <v>612</v>
      </c>
      <c r="D15" s="27">
        <v>1041270</v>
      </c>
      <c r="E15" s="26">
        <f t="shared" si="0"/>
        <v>1041.27</v>
      </c>
      <c r="F15" s="26">
        <v>1500</v>
      </c>
      <c r="G15" s="27">
        <v>1435</v>
      </c>
      <c r="H15" s="26">
        <f t="shared" si="1"/>
        <v>-65</v>
      </c>
      <c r="J15" s="46">
        <v>45244</v>
      </c>
      <c r="K15" s="27" t="s">
        <v>611</v>
      </c>
      <c r="L15" s="27" t="s">
        <v>612</v>
      </c>
      <c r="M15" s="27">
        <v>1334285</v>
      </c>
      <c r="N15" s="26">
        <f t="shared" ref="N15:N31" si="6">M15/1000</f>
        <v>1334.2850000000001</v>
      </c>
      <c r="O15" s="26">
        <v>1500</v>
      </c>
      <c r="P15" s="27">
        <v>1718</v>
      </c>
      <c r="Q15" s="26">
        <f t="shared" ref="Q15:Q31" si="7">P15-O15</f>
        <v>218</v>
      </c>
      <c r="S15" s="46">
        <v>45274</v>
      </c>
      <c r="T15" s="27" t="s">
        <v>611</v>
      </c>
      <c r="U15" s="27" t="s">
        <v>612</v>
      </c>
      <c r="V15" s="27"/>
      <c r="W15" s="26"/>
      <c r="X15" s="26"/>
      <c r="Y15" s="27"/>
      <c r="Z15" s="26"/>
    </row>
    <row r="16" spans="1:28" x14ac:dyDescent="0.25">
      <c r="A16" s="46">
        <v>45214</v>
      </c>
      <c r="B16" s="27" t="s">
        <v>611</v>
      </c>
      <c r="C16" s="47" t="s">
        <v>613</v>
      </c>
      <c r="D16" s="27">
        <v>1041270</v>
      </c>
      <c r="E16" s="26">
        <f t="shared" si="0"/>
        <v>1041.27</v>
      </c>
      <c r="F16" s="26">
        <v>1500</v>
      </c>
      <c r="G16" s="27">
        <v>1435</v>
      </c>
      <c r="H16" s="26">
        <f t="shared" si="1"/>
        <v>-65</v>
      </c>
      <c r="J16" s="46">
        <v>45245</v>
      </c>
      <c r="K16" s="27" t="s">
        <v>611</v>
      </c>
      <c r="L16" s="27" t="s">
        <v>612</v>
      </c>
      <c r="M16" s="27">
        <v>1334285</v>
      </c>
      <c r="N16" s="26">
        <f t="shared" si="6"/>
        <v>1334.2850000000001</v>
      </c>
      <c r="O16" s="26">
        <v>1500</v>
      </c>
      <c r="P16" s="27">
        <v>1718</v>
      </c>
      <c r="Q16" s="26">
        <f t="shared" si="7"/>
        <v>218</v>
      </c>
      <c r="S16" s="46">
        <v>45275</v>
      </c>
      <c r="T16" s="27" t="s">
        <v>611</v>
      </c>
      <c r="U16" s="27" t="s">
        <v>612</v>
      </c>
      <c r="V16" s="27"/>
      <c r="W16" s="26"/>
      <c r="X16" s="26"/>
      <c r="Y16" s="27"/>
      <c r="Z16" s="26"/>
    </row>
    <row r="17" spans="1:26" x14ac:dyDescent="0.25">
      <c r="A17" s="46">
        <v>45215</v>
      </c>
      <c r="B17" s="27" t="s">
        <v>611</v>
      </c>
      <c r="C17" s="27" t="s">
        <v>612</v>
      </c>
      <c r="D17" s="27">
        <v>971670</v>
      </c>
      <c r="E17" s="26">
        <f t="shared" si="0"/>
        <v>971.67</v>
      </c>
      <c r="F17" s="26">
        <v>1500</v>
      </c>
      <c r="G17" s="27">
        <v>1343</v>
      </c>
      <c r="H17" s="26">
        <f t="shared" si="1"/>
        <v>-157</v>
      </c>
      <c r="J17" s="46">
        <v>45246</v>
      </c>
      <c r="K17" s="27" t="s">
        <v>611</v>
      </c>
      <c r="L17" s="27" t="s">
        <v>612</v>
      </c>
      <c r="M17" s="27">
        <v>1317285</v>
      </c>
      <c r="N17" s="26">
        <f t="shared" si="6"/>
        <v>1317.2850000000001</v>
      </c>
      <c r="O17" s="26">
        <v>1500</v>
      </c>
      <c r="P17" s="27">
        <v>1701</v>
      </c>
      <c r="Q17" s="26">
        <f t="shared" si="7"/>
        <v>201</v>
      </c>
      <c r="S17" s="46">
        <v>45276</v>
      </c>
      <c r="T17" s="27" t="s">
        <v>611</v>
      </c>
      <c r="U17" s="27" t="s">
        <v>612</v>
      </c>
      <c r="V17" s="27"/>
      <c r="W17" s="26"/>
      <c r="X17" s="26"/>
      <c r="Y17" s="27"/>
      <c r="Z17" s="26"/>
    </row>
    <row r="18" spans="1:26" x14ac:dyDescent="0.25">
      <c r="A18" s="46">
        <v>45216</v>
      </c>
      <c r="B18" s="27" t="s">
        <v>611</v>
      </c>
      <c r="C18" s="27" t="s">
        <v>612</v>
      </c>
      <c r="D18" s="27">
        <v>972990</v>
      </c>
      <c r="E18" s="26">
        <f t="shared" si="0"/>
        <v>972.99</v>
      </c>
      <c r="F18" s="26">
        <v>1500</v>
      </c>
      <c r="G18" s="27">
        <v>1339</v>
      </c>
      <c r="H18" s="26">
        <f t="shared" si="1"/>
        <v>-161</v>
      </c>
      <c r="J18" s="46">
        <v>45247</v>
      </c>
      <c r="K18" s="27" t="s">
        <v>611</v>
      </c>
      <c r="L18" s="27" t="s">
        <v>612</v>
      </c>
      <c r="M18" s="27">
        <v>1481685</v>
      </c>
      <c r="N18" s="26">
        <f t="shared" si="6"/>
        <v>1481.6849999999999</v>
      </c>
      <c r="O18" s="26">
        <v>1500</v>
      </c>
      <c r="P18" s="27">
        <v>1878</v>
      </c>
      <c r="Q18" s="26">
        <f t="shared" si="7"/>
        <v>378</v>
      </c>
      <c r="S18" s="46">
        <v>45277</v>
      </c>
      <c r="T18" s="27" t="s">
        <v>611</v>
      </c>
      <c r="U18" s="47" t="s">
        <v>613</v>
      </c>
      <c r="V18" s="27"/>
      <c r="W18" s="26"/>
      <c r="X18" s="26"/>
      <c r="Y18" s="27"/>
      <c r="Z18" s="26"/>
    </row>
    <row r="19" spans="1:26" x14ac:dyDescent="0.25">
      <c r="A19" s="46">
        <v>45217</v>
      </c>
      <c r="B19" s="27" t="s">
        <v>611</v>
      </c>
      <c r="C19" s="27" t="s">
        <v>612</v>
      </c>
      <c r="D19" s="27">
        <v>936490</v>
      </c>
      <c r="E19" s="26">
        <f t="shared" si="0"/>
        <v>936.49</v>
      </c>
      <c r="F19" s="26">
        <v>1500</v>
      </c>
      <c r="G19" s="27">
        <v>1288</v>
      </c>
      <c r="H19" s="26">
        <f t="shared" si="1"/>
        <v>-212</v>
      </c>
      <c r="J19" s="46">
        <v>45248</v>
      </c>
      <c r="K19" s="27" t="s">
        <v>611</v>
      </c>
      <c r="L19" s="27" t="s">
        <v>612</v>
      </c>
      <c r="M19" s="27">
        <v>1672885</v>
      </c>
      <c r="N19" s="26">
        <f t="shared" si="6"/>
        <v>1672.885</v>
      </c>
      <c r="O19" s="26">
        <v>1500</v>
      </c>
      <c r="P19" s="27">
        <v>2088</v>
      </c>
      <c r="Q19" s="26">
        <f t="shared" si="7"/>
        <v>588</v>
      </c>
      <c r="S19" s="46">
        <v>45278</v>
      </c>
      <c r="T19" s="27" t="s">
        <v>611</v>
      </c>
      <c r="U19" s="27" t="s">
        <v>612</v>
      </c>
      <c r="V19" s="27"/>
      <c r="W19" s="26"/>
      <c r="X19" s="26"/>
      <c r="Y19" s="27"/>
      <c r="Z19" s="26"/>
    </row>
    <row r="20" spans="1:26" x14ac:dyDescent="0.25">
      <c r="A20" s="46">
        <v>45218</v>
      </c>
      <c r="B20" s="27" t="s">
        <v>611</v>
      </c>
      <c r="C20" s="27" t="s">
        <v>612</v>
      </c>
      <c r="D20" s="27">
        <v>981690</v>
      </c>
      <c r="E20" s="26">
        <f t="shared" si="0"/>
        <v>981.69</v>
      </c>
      <c r="F20" s="26">
        <v>1500</v>
      </c>
      <c r="G20" s="27">
        <v>1314</v>
      </c>
      <c r="H20" s="26">
        <f t="shared" si="1"/>
        <v>-186</v>
      </c>
      <c r="J20" s="46">
        <v>45249</v>
      </c>
      <c r="K20" s="27" t="s">
        <v>611</v>
      </c>
      <c r="L20" s="47" t="s">
        <v>613</v>
      </c>
      <c r="M20" s="27">
        <v>1692885</v>
      </c>
      <c r="N20" s="26">
        <f t="shared" si="6"/>
        <v>1692.885</v>
      </c>
      <c r="O20" s="26">
        <v>1500</v>
      </c>
      <c r="P20" s="27">
        <v>2108</v>
      </c>
      <c r="Q20" s="26">
        <f t="shared" si="7"/>
        <v>608</v>
      </c>
      <c r="S20" s="46">
        <v>45279</v>
      </c>
      <c r="T20" s="27" t="s">
        <v>611</v>
      </c>
      <c r="U20" s="27" t="s">
        <v>612</v>
      </c>
      <c r="V20" s="27"/>
      <c r="W20" s="26"/>
      <c r="X20" s="26"/>
      <c r="Y20" s="27"/>
      <c r="Z20" s="26"/>
    </row>
    <row r="21" spans="1:26" x14ac:dyDescent="0.25">
      <c r="A21" s="46">
        <v>45219</v>
      </c>
      <c r="B21" s="27" t="s">
        <v>611</v>
      </c>
      <c r="C21" s="27" t="s">
        <v>612</v>
      </c>
      <c r="D21" s="27">
        <v>961690</v>
      </c>
      <c r="E21" s="26">
        <f t="shared" si="0"/>
        <v>961.69</v>
      </c>
      <c r="F21" s="26">
        <v>1500</v>
      </c>
      <c r="G21" s="27">
        <v>1286</v>
      </c>
      <c r="H21" s="26">
        <f t="shared" si="1"/>
        <v>-214</v>
      </c>
      <c r="J21" s="46">
        <v>45250</v>
      </c>
      <c r="K21" s="27" t="s">
        <v>611</v>
      </c>
      <c r="L21" s="27" t="s">
        <v>612</v>
      </c>
      <c r="M21" s="27">
        <v>1638735</v>
      </c>
      <c r="N21" s="26">
        <f t="shared" si="6"/>
        <v>1638.7349999999999</v>
      </c>
      <c r="O21" s="26">
        <v>1500</v>
      </c>
      <c r="P21" s="27">
        <v>2074</v>
      </c>
      <c r="Q21" s="26">
        <f t="shared" si="7"/>
        <v>574</v>
      </c>
      <c r="S21" s="46">
        <v>45280</v>
      </c>
      <c r="T21" s="27" t="s">
        <v>611</v>
      </c>
      <c r="U21" s="27" t="s">
        <v>612</v>
      </c>
      <c r="V21" s="27"/>
      <c r="W21" s="26"/>
      <c r="X21" s="26"/>
      <c r="Y21" s="27"/>
      <c r="Z21" s="26"/>
    </row>
    <row r="22" spans="1:26" x14ac:dyDescent="0.25">
      <c r="A22" s="46">
        <v>45220</v>
      </c>
      <c r="B22" s="27" t="s">
        <v>611</v>
      </c>
      <c r="C22" s="27" t="s">
        <v>612</v>
      </c>
      <c r="D22" s="27">
        <v>1043290</v>
      </c>
      <c r="E22" s="26">
        <f t="shared" si="0"/>
        <v>1043.29</v>
      </c>
      <c r="F22" s="26">
        <v>1500</v>
      </c>
      <c r="G22" s="27">
        <v>1346</v>
      </c>
      <c r="H22" s="26">
        <f t="shared" si="1"/>
        <v>-154</v>
      </c>
      <c r="J22" s="46">
        <v>45251</v>
      </c>
      <c r="K22" s="27" t="s">
        <v>611</v>
      </c>
      <c r="L22" s="27" t="s">
        <v>612</v>
      </c>
      <c r="M22" s="27">
        <v>1700285</v>
      </c>
      <c r="N22" s="26">
        <f t="shared" si="6"/>
        <v>1700.2850000000001</v>
      </c>
      <c r="O22" s="26">
        <v>1500</v>
      </c>
      <c r="P22" s="27">
        <v>2115</v>
      </c>
      <c r="Q22" s="26">
        <f t="shared" si="7"/>
        <v>615</v>
      </c>
      <c r="S22" s="46">
        <v>45281</v>
      </c>
      <c r="T22" s="27" t="s">
        <v>611</v>
      </c>
      <c r="U22" s="27" t="s">
        <v>612</v>
      </c>
      <c r="V22" s="27"/>
      <c r="W22" s="26"/>
      <c r="X22" s="26"/>
      <c r="Y22" s="27"/>
      <c r="Z22" s="26"/>
    </row>
    <row r="23" spans="1:26" x14ac:dyDescent="0.25">
      <c r="A23" s="46">
        <v>45221</v>
      </c>
      <c r="B23" s="27" t="s">
        <v>611</v>
      </c>
      <c r="C23" s="47" t="s">
        <v>613</v>
      </c>
      <c r="D23" s="27">
        <v>1043290</v>
      </c>
      <c r="E23" s="26">
        <f t="shared" si="0"/>
        <v>1043.29</v>
      </c>
      <c r="F23" s="26">
        <v>1500</v>
      </c>
      <c r="G23" s="27">
        <v>1346</v>
      </c>
      <c r="H23" s="26">
        <f t="shared" si="1"/>
        <v>-154</v>
      </c>
      <c r="J23" s="46">
        <v>45252</v>
      </c>
      <c r="K23" s="27" t="s">
        <v>611</v>
      </c>
      <c r="L23" s="27" t="s">
        <v>612</v>
      </c>
      <c r="M23" s="27">
        <v>1682785</v>
      </c>
      <c r="N23" s="26">
        <f t="shared" si="6"/>
        <v>1682.7850000000001</v>
      </c>
      <c r="O23" s="26">
        <v>1500</v>
      </c>
      <c r="P23" s="27">
        <v>2139</v>
      </c>
      <c r="Q23" s="26">
        <f t="shared" si="7"/>
        <v>639</v>
      </c>
      <c r="S23" s="46">
        <v>45282</v>
      </c>
      <c r="T23" s="27" t="s">
        <v>611</v>
      </c>
      <c r="U23" s="27" t="s">
        <v>612</v>
      </c>
      <c r="V23" s="27"/>
      <c r="W23" s="26"/>
      <c r="X23" s="26"/>
      <c r="Y23" s="27"/>
      <c r="Z23" s="26"/>
    </row>
    <row r="24" spans="1:26" x14ac:dyDescent="0.25">
      <c r="A24" s="46">
        <v>45222</v>
      </c>
      <c r="B24" s="27" t="s">
        <v>611</v>
      </c>
      <c r="C24" s="27" t="s">
        <v>612</v>
      </c>
      <c r="D24" s="27">
        <v>1134490</v>
      </c>
      <c r="E24" s="26">
        <f t="shared" si="0"/>
        <v>1134.49</v>
      </c>
      <c r="F24" s="26">
        <v>1500</v>
      </c>
      <c r="G24" s="27">
        <v>1440</v>
      </c>
      <c r="H24" s="26">
        <f t="shared" si="1"/>
        <v>-60</v>
      </c>
      <c r="J24" s="46">
        <v>45253</v>
      </c>
      <c r="K24" s="27" t="s">
        <v>611</v>
      </c>
      <c r="L24" s="27" t="s">
        <v>612</v>
      </c>
      <c r="M24" s="27">
        <v>1715685</v>
      </c>
      <c r="N24" s="26">
        <f t="shared" si="6"/>
        <v>1715.6849999999999</v>
      </c>
      <c r="O24" s="26">
        <v>1500</v>
      </c>
      <c r="P24" s="27">
        <f>2139+90-66</f>
        <v>2163</v>
      </c>
      <c r="Q24" s="26">
        <f t="shared" si="7"/>
        <v>663</v>
      </c>
      <c r="S24" s="46">
        <v>45283</v>
      </c>
      <c r="T24" s="27" t="s">
        <v>611</v>
      </c>
      <c r="U24" s="27" t="s">
        <v>612</v>
      </c>
      <c r="V24" s="27"/>
      <c r="W24" s="26"/>
      <c r="X24" s="26"/>
      <c r="Y24" s="27"/>
      <c r="Z24" s="26"/>
    </row>
    <row r="25" spans="1:26" x14ac:dyDescent="0.25">
      <c r="A25" s="46">
        <v>45223</v>
      </c>
      <c r="B25" s="27" t="s">
        <v>611</v>
      </c>
      <c r="C25" s="27" t="s">
        <v>612</v>
      </c>
      <c r="D25" s="27">
        <v>1134490</v>
      </c>
      <c r="E25" s="26">
        <f t="shared" si="0"/>
        <v>1134.49</v>
      </c>
      <c r="F25" s="26">
        <v>1500</v>
      </c>
      <c r="G25" s="27">
        <v>1440</v>
      </c>
      <c r="H25" s="26">
        <f t="shared" si="1"/>
        <v>-60</v>
      </c>
      <c r="J25" s="46">
        <v>45254</v>
      </c>
      <c r="K25" s="27" t="s">
        <v>611</v>
      </c>
      <c r="L25" s="27" t="s">
        <v>612</v>
      </c>
      <c r="M25" s="80">
        <v>1782085</v>
      </c>
      <c r="N25" s="26">
        <f t="shared" si="6"/>
        <v>1782.085</v>
      </c>
      <c r="O25" s="26">
        <v>1500</v>
      </c>
      <c r="P25" s="27">
        <v>2235</v>
      </c>
      <c r="Q25" s="26">
        <f t="shared" si="7"/>
        <v>735</v>
      </c>
      <c r="S25" s="46">
        <v>45284</v>
      </c>
      <c r="T25" s="27" t="s">
        <v>611</v>
      </c>
      <c r="U25" s="47" t="s">
        <v>613</v>
      </c>
      <c r="V25" s="80"/>
      <c r="W25" s="26"/>
      <c r="X25" s="26"/>
      <c r="Y25" s="27"/>
      <c r="Z25" s="26"/>
    </row>
    <row r="26" spans="1:26" x14ac:dyDescent="0.25">
      <c r="A26" s="46">
        <v>45224</v>
      </c>
      <c r="B26" s="27" t="s">
        <v>611</v>
      </c>
      <c r="C26" s="27" t="s">
        <v>612</v>
      </c>
      <c r="D26" s="27">
        <v>1114890</v>
      </c>
      <c r="E26" s="26">
        <f t="shared" si="0"/>
        <v>1114.8900000000001</v>
      </c>
      <c r="F26" s="26">
        <v>1500</v>
      </c>
      <c r="G26" s="27">
        <v>1427</v>
      </c>
      <c r="H26" s="26">
        <f t="shared" si="1"/>
        <v>-73</v>
      </c>
      <c r="J26" s="46">
        <v>45255</v>
      </c>
      <c r="K26" s="27" t="s">
        <v>611</v>
      </c>
      <c r="L26" s="27" t="s">
        <v>612</v>
      </c>
      <c r="M26" s="80">
        <v>1782085</v>
      </c>
      <c r="N26" s="26">
        <f t="shared" si="6"/>
        <v>1782.085</v>
      </c>
      <c r="O26" s="26">
        <v>1500</v>
      </c>
      <c r="P26" s="27">
        <v>2235</v>
      </c>
      <c r="Q26" s="26">
        <f t="shared" si="7"/>
        <v>735</v>
      </c>
      <c r="S26" s="46">
        <v>45285</v>
      </c>
      <c r="T26" s="27" t="s">
        <v>611</v>
      </c>
      <c r="U26" s="27" t="s">
        <v>612</v>
      </c>
      <c r="V26" s="80"/>
      <c r="W26" s="26"/>
      <c r="X26" s="26"/>
      <c r="Y26" s="27"/>
      <c r="Z26" s="26"/>
    </row>
    <row r="27" spans="1:26" x14ac:dyDescent="0.25">
      <c r="A27" s="46">
        <v>45225</v>
      </c>
      <c r="B27" s="27" t="s">
        <v>611</v>
      </c>
      <c r="C27" s="27" t="s">
        <v>612</v>
      </c>
      <c r="D27" s="27">
        <v>1197690</v>
      </c>
      <c r="E27" s="26">
        <f t="shared" si="0"/>
        <v>1197.69</v>
      </c>
      <c r="F27" s="26">
        <v>1500</v>
      </c>
      <c r="G27" s="27">
        <v>1528</v>
      </c>
      <c r="H27" s="26">
        <f t="shared" si="1"/>
        <v>28</v>
      </c>
      <c r="J27" s="46">
        <v>45256</v>
      </c>
      <c r="K27" s="27" t="s">
        <v>611</v>
      </c>
      <c r="L27" s="47" t="s">
        <v>613</v>
      </c>
      <c r="M27" s="80">
        <v>1925685</v>
      </c>
      <c r="N27" s="26">
        <f t="shared" si="6"/>
        <v>1925.6849999999999</v>
      </c>
      <c r="O27" s="26">
        <v>1500</v>
      </c>
      <c r="P27" s="27">
        <v>2443</v>
      </c>
      <c r="Q27" s="26">
        <f t="shared" si="7"/>
        <v>943</v>
      </c>
      <c r="S27" s="46">
        <v>45286</v>
      </c>
      <c r="T27" s="27" t="s">
        <v>611</v>
      </c>
      <c r="U27" s="27" t="s">
        <v>612</v>
      </c>
      <c r="V27" s="80"/>
      <c r="W27" s="26"/>
      <c r="X27" s="26"/>
      <c r="Y27" s="27"/>
      <c r="Z27" s="26"/>
    </row>
    <row r="28" spans="1:26" x14ac:dyDescent="0.25">
      <c r="A28" s="46">
        <v>45226</v>
      </c>
      <c r="B28" s="27" t="s">
        <v>611</v>
      </c>
      <c r="C28" s="27" t="s">
        <v>612</v>
      </c>
      <c r="D28" s="27">
        <v>1210010</v>
      </c>
      <c r="E28" s="26">
        <f t="shared" si="0"/>
        <v>1210.01</v>
      </c>
      <c r="F28" s="26">
        <v>1500</v>
      </c>
      <c r="G28" s="27">
        <v>1516</v>
      </c>
      <c r="H28" s="26">
        <f t="shared" si="1"/>
        <v>16</v>
      </c>
      <c r="J28" s="46">
        <v>45257</v>
      </c>
      <c r="K28" s="27" t="s">
        <v>611</v>
      </c>
      <c r="L28" s="27" t="s">
        <v>612</v>
      </c>
      <c r="M28" s="27">
        <v>1857685</v>
      </c>
      <c r="N28" s="26">
        <f t="shared" si="6"/>
        <v>1857.6849999999999</v>
      </c>
      <c r="O28" s="26">
        <v>1500</v>
      </c>
      <c r="P28" s="27">
        <v>2358</v>
      </c>
      <c r="Q28" s="26">
        <f t="shared" si="7"/>
        <v>858</v>
      </c>
      <c r="S28" s="46">
        <v>45287</v>
      </c>
      <c r="T28" s="27" t="s">
        <v>611</v>
      </c>
      <c r="U28" s="27" t="s">
        <v>612</v>
      </c>
      <c r="V28" s="27"/>
      <c r="W28" s="26"/>
      <c r="X28" s="26"/>
      <c r="Y28" s="27"/>
      <c r="Z28" s="26"/>
    </row>
    <row r="29" spans="1:26" x14ac:dyDescent="0.25">
      <c r="A29" s="46">
        <v>45227</v>
      </c>
      <c r="B29" s="27" t="s">
        <v>611</v>
      </c>
      <c r="C29" s="27" t="s">
        <v>612</v>
      </c>
      <c r="D29" s="27">
        <v>1203010</v>
      </c>
      <c r="E29" s="26">
        <f t="shared" si="0"/>
        <v>1203.01</v>
      </c>
      <c r="F29" s="26">
        <v>1500</v>
      </c>
      <c r="G29" s="27">
        <v>1506</v>
      </c>
      <c r="H29" s="26">
        <f t="shared" si="1"/>
        <v>6</v>
      </c>
      <c r="J29" s="46">
        <v>45258</v>
      </c>
      <c r="K29" s="27" t="s">
        <v>611</v>
      </c>
      <c r="L29" s="27" t="s">
        <v>612</v>
      </c>
      <c r="M29" s="27">
        <v>1782685</v>
      </c>
      <c r="N29" s="26">
        <f t="shared" si="6"/>
        <v>1782.6849999999999</v>
      </c>
      <c r="O29" s="26">
        <v>1500</v>
      </c>
      <c r="P29" s="27">
        <v>2264</v>
      </c>
      <c r="Q29" s="26">
        <f t="shared" si="7"/>
        <v>764</v>
      </c>
      <c r="S29" s="46">
        <v>45288</v>
      </c>
      <c r="T29" s="27" t="s">
        <v>611</v>
      </c>
      <c r="U29" s="27" t="s">
        <v>612</v>
      </c>
      <c r="V29" s="27"/>
      <c r="W29" s="26"/>
      <c r="X29" s="26"/>
      <c r="Y29" s="27"/>
      <c r="Z29" s="26"/>
    </row>
    <row r="30" spans="1:26" x14ac:dyDescent="0.25">
      <c r="A30" s="46">
        <v>45228</v>
      </c>
      <c r="B30" s="27" t="s">
        <v>611</v>
      </c>
      <c r="C30" s="47" t="s">
        <v>613</v>
      </c>
      <c r="D30" s="27">
        <v>1303410</v>
      </c>
      <c r="E30" s="26">
        <f t="shared" si="0"/>
        <v>1303.4100000000001</v>
      </c>
      <c r="F30" s="26">
        <v>1500</v>
      </c>
      <c r="G30" s="27">
        <v>1616</v>
      </c>
      <c r="H30" s="26">
        <f t="shared" si="1"/>
        <v>116</v>
      </c>
      <c r="J30" s="46">
        <v>45259</v>
      </c>
      <c r="K30" s="27" t="s">
        <v>611</v>
      </c>
      <c r="L30" s="27" t="s">
        <v>612</v>
      </c>
      <c r="M30" s="27">
        <v>1732085</v>
      </c>
      <c r="N30" s="26">
        <f t="shared" si="6"/>
        <v>1732.085</v>
      </c>
      <c r="O30" s="26">
        <v>1500</v>
      </c>
      <c r="P30" s="27">
        <v>2213</v>
      </c>
      <c r="Q30" s="26">
        <f t="shared" si="7"/>
        <v>713</v>
      </c>
      <c r="S30" s="46">
        <v>45289</v>
      </c>
      <c r="T30" s="27" t="s">
        <v>611</v>
      </c>
      <c r="U30" s="27" t="s">
        <v>612</v>
      </c>
      <c r="V30" s="27"/>
      <c r="W30" s="26"/>
      <c r="X30" s="26"/>
      <c r="Y30" s="27"/>
      <c r="Z30" s="26"/>
    </row>
    <row r="31" spans="1:26" x14ac:dyDescent="0.25">
      <c r="A31" s="46">
        <v>45229</v>
      </c>
      <c r="B31" s="27" t="s">
        <v>611</v>
      </c>
      <c r="C31" s="27" t="s">
        <v>612</v>
      </c>
      <c r="D31" s="27">
        <v>1307010</v>
      </c>
      <c r="E31" s="26">
        <f t="shared" si="0"/>
        <v>1307.01</v>
      </c>
      <c r="F31" s="26">
        <v>1500</v>
      </c>
      <c r="G31" s="27">
        <v>1714</v>
      </c>
      <c r="H31" s="26">
        <f t="shared" si="1"/>
        <v>214</v>
      </c>
      <c r="J31" s="46">
        <v>45260</v>
      </c>
      <c r="K31" s="27" t="s">
        <v>611</v>
      </c>
      <c r="L31" s="27" t="s">
        <v>612</v>
      </c>
      <c r="M31" s="27">
        <v>1699685</v>
      </c>
      <c r="N31" s="26">
        <f t="shared" si="6"/>
        <v>1699.6849999999999</v>
      </c>
      <c r="O31" s="26">
        <v>1500</v>
      </c>
      <c r="P31" s="27">
        <v>2175</v>
      </c>
      <c r="Q31" s="26">
        <f t="shared" si="7"/>
        <v>675</v>
      </c>
      <c r="S31" s="46">
        <v>45290</v>
      </c>
      <c r="T31" s="27" t="s">
        <v>611</v>
      </c>
      <c r="U31" s="27" t="s">
        <v>612</v>
      </c>
      <c r="V31" s="27"/>
      <c r="W31" s="26"/>
      <c r="X31" s="26"/>
      <c r="Y31" s="27"/>
      <c r="Z31" s="26"/>
    </row>
    <row r="32" spans="1:26" x14ac:dyDescent="0.25">
      <c r="A32" s="46">
        <v>45230</v>
      </c>
      <c r="B32" s="27" t="s">
        <v>611</v>
      </c>
      <c r="C32" s="27" t="s">
        <v>612</v>
      </c>
      <c r="D32" s="27">
        <v>1402610</v>
      </c>
      <c r="E32" s="26">
        <f t="shared" si="0"/>
        <v>1402.61</v>
      </c>
      <c r="F32" s="26">
        <v>1500</v>
      </c>
      <c r="G32" s="27">
        <v>1798</v>
      </c>
      <c r="H32" s="26">
        <f t="shared" si="1"/>
        <v>298</v>
      </c>
      <c r="J32" s="46"/>
      <c r="K32" s="27"/>
      <c r="L32" s="27"/>
      <c r="M32" s="27"/>
      <c r="N32" s="26"/>
      <c r="O32" s="26"/>
      <c r="P32" s="27"/>
      <c r="Q32" s="26"/>
      <c r="S32" s="46">
        <v>45291</v>
      </c>
      <c r="T32" s="27" t="s">
        <v>611</v>
      </c>
      <c r="U32" s="47" t="s">
        <v>613</v>
      </c>
      <c r="V32" s="27"/>
      <c r="W32" s="26"/>
      <c r="X32" s="26"/>
      <c r="Y32" s="27"/>
      <c r="Z32" s="26"/>
    </row>
    <row r="33" spans="1:26" ht="15.75" thickBot="1" x14ac:dyDescent="0.3">
      <c r="A33" s="40"/>
      <c r="B33" s="40"/>
      <c r="C33" s="41"/>
      <c r="D33" s="42"/>
      <c r="E33" s="42"/>
      <c r="F33" s="43"/>
      <c r="G33" s="43"/>
      <c r="H33" s="43"/>
      <c r="J33" s="86"/>
      <c r="K33" s="40"/>
      <c r="L33" s="41"/>
      <c r="M33" s="42"/>
      <c r="N33" s="42"/>
      <c r="O33" s="43"/>
      <c r="P33" s="43"/>
      <c r="Q33" s="43"/>
      <c r="S33" s="86"/>
      <c r="T33" s="40"/>
      <c r="U33" s="41"/>
      <c r="V33" s="42"/>
      <c r="W33" s="42"/>
      <c r="X33" s="43"/>
      <c r="Y33" s="43"/>
      <c r="Z33" s="43"/>
    </row>
    <row r="34" spans="1:26" x14ac:dyDescent="0.25">
      <c r="F34" s="28"/>
    </row>
    <row r="35" spans="1:26" x14ac:dyDescent="0.25">
      <c r="D35" s="87">
        <v>1337330</v>
      </c>
    </row>
    <row r="36" spans="1:26" x14ac:dyDescent="0.25">
      <c r="D36" s="28">
        <f>+D32-D35</f>
        <v>65280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opLeftCell="B4" workbookViewId="0">
      <selection sqref="A1:L9"/>
    </sheetView>
  </sheetViews>
  <sheetFormatPr defaultColWidth="32" defaultRowHeight="22.5" customHeight="1" x14ac:dyDescent="0.2"/>
  <cols>
    <col min="1" max="1" width="16.28515625" style="61" bestFit="1" customWidth="1"/>
    <col min="2" max="2" width="24.85546875" style="61" bestFit="1" customWidth="1"/>
    <col min="3" max="3" width="35.7109375" style="61" bestFit="1" customWidth="1"/>
    <col min="4" max="4" width="8.42578125" style="61" bestFit="1" customWidth="1"/>
    <col min="5" max="5" width="13.5703125" style="61" customWidth="1"/>
    <col min="6" max="6" width="11.7109375" style="61" customWidth="1"/>
    <col min="7" max="7" width="14.42578125" style="61" customWidth="1"/>
    <col min="8" max="8" width="8.5703125" style="61" customWidth="1"/>
    <col min="9" max="9" width="23.85546875" style="61" bestFit="1" customWidth="1"/>
    <col min="10" max="10" width="15.28515625" style="61" bestFit="1" customWidth="1"/>
    <col min="11" max="11" width="17.7109375" style="61" bestFit="1" customWidth="1"/>
    <col min="12" max="12" width="10.42578125" style="61" customWidth="1"/>
    <col min="13" max="16384" width="32" style="61"/>
  </cols>
  <sheetData>
    <row r="1" spans="1:12" ht="22.5" customHeight="1" x14ac:dyDescent="0.2">
      <c r="A1" s="91" t="s">
        <v>1819</v>
      </c>
      <c r="B1" s="91" t="s">
        <v>1820</v>
      </c>
      <c r="C1" s="99" t="s">
        <v>1424</v>
      </c>
      <c r="D1" s="91"/>
      <c r="E1" s="91"/>
      <c r="F1" s="91"/>
      <c r="G1" s="91"/>
      <c r="H1" s="91"/>
      <c r="I1" s="91"/>
      <c r="J1" s="91"/>
      <c r="K1" s="91"/>
      <c r="L1" s="91"/>
    </row>
    <row r="2" spans="1:12" ht="22.5" customHeight="1" x14ac:dyDescent="0.2">
      <c r="A2" s="91" t="s">
        <v>1425</v>
      </c>
      <c r="B2" s="91" t="s">
        <v>1426</v>
      </c>
      <c r="C2" s="91" t="s">
        <v>1427</v>
      </c>
      <c r="D2" s="91" t="s">
        <v>1428</v>
      </c>
      <c r="E2" s="91" t="s">
        <v>1429</v>
      </c>
      <c r="F2" s="91" t="s">
        <v>1430</v>
      </c>
      <c r="G2" s="91" t="s">
        <v>13</v>
      </c>
      <c r="H2" s="91" t="s">
        <v>1431</v>
      </c>
      <c r="I2" s="91" t="s">
        <v>1432</v>
      </c>
      <c r="J2" s="91" t="s">
        <v>1433</v>
      </c>
      <c r="K2" s="91" t="s">
        <v>1434</v>
      </c>
      <c r="L2" s="91" t="s">
        <v>1435</v>
      </c>
    </row>
    <row r="3" spans="1:12" ht="22.5" customHeight="1" x14ac:dyDescent="0.25">
      <c r="A3" s="80">
        <v>379</v>
      </c>
      <c r="B3" s="17">
        <v>5230831</v>
      </c>
      <c r="C3" s="17" t="s">
        <v>35</v>
      </c>
      <c r="D3" s="80">
        <v>9020260</v>
      </c>
      <c r="E3" s="93" t="s">
        <v>1813</v>
      </c>
      <c r="F3" s="59">
        <v>45234</v>
      </c>
      <c r="G3" s="15">
        <v>45081</v>
      </c>
      <c r="H3" s="80">
        <v>80</v>
      </c>
      <c r="I3" s="63" t="s">
        <v>1547</v>
      </c>
      <c r="J3" s="13">
        <v>25</v>
      </c>
      <c r="K3" s="80">
        <v>19200</v>
      </c>
      <c r="L3" s="63"/>
    </row>
    <row r="4" spans="1:12" ht="22.5" customHeight="1" x14ac:dyDescent="0.25">
      <c r="A4" s="80">
        <v>380</v>
      </c>
      <c r="B4" s="17">
        <v>5230831</v>
      </c>
      <c r="C4" s="17" t="s">
        <v>35</v>
      </c>
      <c r="D4" s="80">
        <v>9020260</v>
      </c>
      <c r="E4" s="93" t="s">
        <v>1813</v>
      </c>
      <c r="F4" s="59">
        <v>45234</v>
      </c>
      <c r="G4" s="15">
        <v>45081</v>
      </c>
      <c r="H4" s="80">
        <v>80</v>
      </c>
      <c r="I4" s="63" t="s">
        <v>1547</v>
      </c>
      <c r="J4" s="13">
        <v>25</v>
      </c>
      <c r="K4" s="80">
        <v>19200</v>
      </c>
      <c r="L4" s="63"/>
    </row>
    <row r="5" spans="1:12" ht="22.5" customHeight="1" x14ac:dyDescent="0.25">
      <c r="A5" s="80">
        <v>381</v>
      </c>
      <c r="B5" s="17">
        <v>5212252</v>
      </c>
      <c r="C5" s="17" t="s">
        <v>23</v>
      </c>
      <c r="D5" s="80">
        <v>9017766</v>
      </c>
      <c r="E5" s="80" t="s">
        <v>1799</v>
      </c>
      <c r="F5" s="59">
        <v>45230</v>
      </c>
      <c r="G5" s="15">
        <v>45961</v>
      </c>
      <c r="H5" s="80">
        <v>80</v>
      </c>
      <c r="I5" s="63" t="s">
        <v>1418</v>
      </c>
      <c r="J5" s="13">
        <v>25</v>
      </c>
      <c r="K5" s="80">
        <v>2000</v>
      </c>
      <c r="L5" s="63"/>
    </row>
    <row r="6" spans="1:12" ht="22.5" customHeight="1" x14ac:dyDescent="0.25">
      <c r="A6" s="80">
        <v>381</v>
      </c>
      <c r="B6" s="17">
        <v>5212252</v>
      </c>
      <c r="C6" s="17" t="s">
        <v>23</v>
      </c>
      <c r="D6" s="80">
        <v>9017766</v>
      </c>
      <c r="E6" s="80" t="s">
        <v>1786</v>
      </c>
      <c r="F6" s="59">
        <v>45229</v>
      </c>
      <c r="G6" s="15">
        <v>45960</v>
      </c>
      <c r="H6" s="80">
        <v>960</v>
      </c>
      <c r="I6" s="63" t="s">
        <v>1418</v>
      </c>
      <c r="J6" s="13">
        <v>25</v>
      </c>
      <c r="K6" s="80">
        <v>24000</v>
      </c>
      <c r="L6" s="63"/>
    </row>
    <row r="7" spans="1:12" ht="22.5" customHeight="1" x14ac:dyDescent="0.25">
      <c r="A7" s="80">
        <v>382</v>
      </c>
      <c r="B7" s="17">
        <v>5212252</v>
      </c>
      <c r="C7" s="17" t="s">
        <v>23</v>
      </c>
      <c r="D7" s="80">
        <v>9017766</v>
      </c>
      <c r="E7" s="80" t="s">
        <v>1799</v>
      </c>
      <c r="F7" s="59">
        <v>45230</v>
      </c>
      <c r="G7" s="15">
        <v>45961</v>
      </c>
      <c r="H7" s="80">
        <v>480</v>
      </c>
      <c r="I7" s="63" t="s">
        <v>1418</v>
      </c>
      <c r="J7" s="13">
        <v>25</v>
      </c>
      <c r="K7" s="80">
        <v>12000</v>
      </c>
      <c r="L7" s="63"/>
    </row>
    <row r="8" spans="1:12" ht="22.5" customHeight="1" x14ac:dyDescent="0.25">
      <c r="A8" s="80">
        <v>382</v>
      </c>
      <c r="B8" s="17">
        <v>5212252</v>
      </c>
      <c r="C8" s="17" t="s">
        <v>23</v>
      </c>
      <c r="D8" s="80">
        <v>9017766</v>
      </c>
      <c r="E8" s="80" t="s">
        <v>1604</v>
      </c>
      <c r="F8" s="59">
        <v>45216</v>
      </c>
      <c r="G8" s="15">
        <v>45947</v>
      </c>
      <c r="H8" s="80">
        <v>245</v>
      </c>
      <c r="I8" s="63" t="s">
        <v>1418</v>
      </c>
      <c r="J8" s="13">
        <v>25</v>
      </c>
      <c r="K8" s="80">
        <v>6125</v>
      </c>
      <c r="L8" s="63"/>
    </row>
    <row r="9" spans="1:12" ht="22.5" customHeight="1" x14ac:dyDescent="0.25">
      <c r="A9" s="80">
        <v>382</v>
      </c>
      <c r="B9" s="17">
        <v>5212252</v>
      </c>
      <c r="C9" s="17" t="s">
        <v>23</v>
      </c>
      <c r="D9" s="80">
        <v>9017766</v>
      </c>
      <c r="E9" s="80" t="s">
        <v>1742</v>
      </c>
      <c r="F9" s="59">
        <v>45220</v>
      </c>
      <c r="G9" s="15">
        <v>45951</v>
      </c>
      <c r="H9" s="80">
        <v>315</v>
      </c>
      <c r="I9" s="63" t="s">
        <v>1418</v>
      </c>
      <c r="J9" s="13">
        <v>25</v>
      </c>
      <c r="K9" s="80">
        <v>7875</v>
      </c>
      <c r="L9" s="63"/>
    </row>
    <row r="10" spans="1:12" ht="22.5" customHeight="1" x14ac:dyDescent="0.25">
      <c r="A10" s="80"/>
      <c r="B10" s="17"/>
      <c r="C10" s="17"/>
      <c r="D10" s="80"/>
      <c r="E10" s="50"/>
      <c r="F10" s="59"/>
      <c r="G10" s="15"/>
      <c r="H10" s="80"/>
      <c r="I10" s="63"/>
      <c r="J10" s="13"/>
      <c r="K10" s="80"/>
      <c r="L10" s="63"/>
    </row>
    <row r="11" spans="1:12" ht="22.5" customHeight="1" x14ac:dyDescent="0.25">
      <c r="A11" s="80"/>
      <c r="B11" s="17"/>
      <c r="C11" s="17"/>
      <c r="D11" s="80"/>
      <c r="E11" s="90"/>
      <c r="F11" s="59"/>
      <c r="G11" s="15"/>
      <c r="H11" s="80"/>
      <c r="I11" s="63"/>
      <c r="J11" s="13"/>
      <c r="K11" s="80"/>
      <c r="L11" s="63"/>
    </row>
    <row r="12" spans="1:12" ht="22.5" customHeight="1" x14ac:dyDescent="0.25">
      <c r="A12" s="80"/>
      <c r="B12" s="17"/>
      <c r="C12" s="17"/>
      <c r="D12" s="80"/>
      <c r="E12" s="90"/>
      <c r="F12" s="59"/>
      <c r="G12" s="15"/>
      <c r="H12" s="80"/>
      <c r="I12" s="63"/>
      <c r="J12" s="13"/>
      <c r="K12" s="80"/>
      <c r="L12" s="104"/>
    </row>
    <row r="13" spans="1:12" ht="22.5" customHeight="1" x14ac:dyDescent="0.25">
      <c r="A13" s="80"/>
      <c r="B13" s="17"/>
      <c r="C13" s="17"/>
      <c r="D13" s="80"/>
      <c r="E13" s="90"/>
      <c r="F13" s="59"/>
      <c r="G13" s="15"/>
      <c r="H13" s="80"/>
      <c r="I13" s="63"/>
      <c r="J13" s="13"/>
      <c r="K13" s="78"/>
      <c r="L13" s="104"/>
    </row>
    <row r="14" spans="1:12" ht="22.5" customHeight="1" x14ac:dyDescent="0.25">
      <c r="A14" s="80"/>
      <c r="B14" s="17"/>
      <c r="C14" s="17"/>
      <c r="D14" s="80"/>
      <c r="E14" s="90"/>
      <c r="F14" s="15"/>
      <c r="G14" s="15"/>
      <c r="H14" s="80"/>
      <c r="I14" s="63"/>
      <c r="J14" s="13"/>
      <c r="K14" s="78"/>
      <c r="L14" s="104"/>
    </row>
    <row r="15" spans="1:12" ht="22.5" customHeight="1" x14ac:dyDescent="0.25">
      <c r="A15" s="80"/>
      <c r="B15" s="17"/>
      <c r="C15" s="17"/>
      <c r="D15" s="80"/>
      <c r="E15" s="90"/>
      <c r="F15" s="15"/>
      <c r="G15" s="15"/>
      <c r="H15" s="80"/>
      <c r="I15" s="63"/>
      <c r="J15" s="13"/>
      <c r="K15" s="78"/>
      <c r="L15" s="104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selection activeCell="A8" sqref="A8"/>
    </sheetView>
  </sheetViews>
  <sheetFormatPr defaultColWidth="15" defaultRowHeight="15" x14ac:dyDescent="0.25"/>
  <cols>
    <col min="1" max="1" width="13.42578125" customWidth="1"/>
    <col min="2" max="2" width="13.5703125" customWidth="1"/>
    <col min="3" max="3" width="14.85546875" customWidth="1"/>
    <col min="4" max="4" width="35.7109375" bestFit="1" customWidth="1"/>
    <col min="5" max="5" width="5.7109375" customWidth="1"/>
    <col min="6" max="6" width="8.85546875" customWidth="1"/>
    <col min="7" max="7" width="13.85546875" customWidth="1"/>
    <col min="8" max="8" width="10" customWidth="1"/>
    <col min="9" max="9" width="16" bestFit="1" customWidth="1"/>
    <col min="10" max="10" width="12.5703125" customWidth="1"/>
    <col min="11" max="11" width="20.42578125" bestFit="1" customWidth="1"/>
    <col min="12" max="12" width="9" customWidth="1"/>
    <col min="14" max="14" width="50.140625" bestFit="1" customWidth="1"/>
  </cols>
  <sheetData>
    <row r="1" spans="1:14" x14ac:dyDescent="0.25">
      <c r="A1" s="109" t="s">
        <v>109</v>
      </c>
      <c r="B1" s="109" t="s">
        <v>110</v>
      </c>
      <c r="C1" s="109" t="s">
        <v>1623</v>
      </c>
      <c r="D1" s="109" t="s">
        <v>5</v>
      </c>
      <c r="E1" s="109" t="s">
        <v>1624</v>
      </c>
      <c r="F1" s="109" t="s">
        <v>1625</v>
      </c>
      <c r="G1" s="109" t="s">
        <v>1626</v>
      </c>
      <c r="H1" s="109" t="s">
        <v>1627</v>
      </c>
      <c r="I1" s="109" t="s">
        <v>1628</v>
      </c>
      <c r="J1" s="109" t="s">
        <v>121</v>
      </c>
      <c r="K1" s="109" t="s">
        <v>1629</v>
      </c>
      <c r="L1" s="109" t="s">
        <v>1630</v>
      </c>
    </row>
    <row r="2" spans="1:14" hidden="1" x14ac:dyDescent="0.25">
      <c r="A2" s="13" t="s">
        <v>1803</v>
      </c>
      <c r="B2" s="20">
        <v>45271</v>
      </c>
      <c r="C2" s="20">
        <v>45271</v>
      </c>
      <c r="D2" s="17" t="s">
        <v>35</v>
      </c>
      <c r="E2" s="110" t="s">
        <v>1631</v>
      </c>
      <c r="F2" s="80">
        <v>240</v>
      </c>
      <c r="G2" s="80">
        <v>35</v>
      </c>
      <c r="H2" s="80">
        <f t="shared" ref="H2:H7" si="0">F2*G2</f>
        <v>8400</v>
      </c>
      <c r="I2" s="80" t="s">
        <v>144</v>
      </c>
      <c r="J2" s="80" t="s">
        <v>590</v>
      </c>
      <c r="K2" s="13">
        <v>7767971195</v>
      </c>
      <c r="L2" s="110" t="s">
        <v>1632</v>
      </c>
      <c r="N2" s="80" t="s">
        <v>471</v>
      </c>
    </row>
    <row r="3" spans="1:14" hidden="1" x14ac:dyDescent="0.25">
      <c r="A3" s="13" t="s">
        <v>1804</v>
      </c>
      <c r="B3" s="20">
        <v>45271</v>
      </c>
      <c r="C3" s="20">
        <v>45271</v>
      </c>
      <c r="D3" s="17" t="s">
        <v>35</v>
      </c>
      <c r="E3" s="110" t="s">
        <v>1631</v>
      </c>
      <c r="F3" s="80">
        <v>240</v>
      </c>
      <c r="G3" s="80">
        <v>10</v>
      </c>
      <c r="H3" s="80">
        <f t="shared" si="0"/>
        <v>2400</v>
      </c>
      <c r="I3" s="80" t="s">
        <v>144</v>
      </c>
      <c r="J3" s="80" t="s">
        <v>182</v>
      </c>
      <c r="K3" s="13">
        <v>9387158734</v>
      </c>
      <c r="L3" s="110" t="s">
        <v>1632</v>
      </c>
      <c r="N3" s="80" t="s">
        <v>1467</v>
      </c>
    </row>
    <row r="4" spans="1:14" hidden="1" x14ac:dyDescent="0.25">
      <c r="A4" s="13" t="s">
        <v>1805</v>
      </c>
      <c r="B4" s="20">
        <v>45271</v>
      </c>
      <c r="C4" s="20">
        <v>45271</v>
      </c>
      <c r="D4" s="17" t="s">
        <v>1316</v>
      </c>
      <c r="E4" s="110" t="s">
        <v>1631</v>
      </c>
      <c r="F4" s="80">
        <v>250</v>
      </c>
      <c r="G4" s="80">
        <v>32</v>
      </c>
      <c r="H4" s="80">
        <f t="shared" si="0"/>
        <v>8000</v>
      </c>
      <c r="I4" s="80" t="s">
        <v>134</v>
      </c>
      <c r="J4" s="80" t="s">
        <v>1806</v>
      </c>
      <c r="K4" s="13">
        <v>9960652663</v>
      </c>
      <c r="L4" s="110" t="s">
        <v>1632</v>
      </c>
      <c r="N4" s="80" t="s">
        <v>230</v>
      </c>
    </row>
    <row r="5" spans="1:14" hidden="1" x14ac:dyDescent="0.25">
      <c r="A5" s="13" t="s">
        <v>1807</v>
      </c>
      <c r="B5" s="20">
        <v>45271</v>
      </c>
      <c r="C5" s="20">
        <v>45271</v>
      </c>
      <c r="D5" s="17" t="s">
        <v>35</v>
      </c>
      <c r="E5" s="110" t="s">
        <v>1631</v>
      </c>
      <c r="F5" s="80">
        <v>240</v>
      </c>
      <c r="G5" s="80">
        <v>35</v>
      </c>
      <c r="H5" s="80">
        <f t="shared" si="0"/>
        <v>8400</v>
      </c>
      <c r="I5" s="80" t="s">
        <v>144</v>
      </c>
      <c r="J5" s="80" t="s">
        <v>1808</v>
      </c>
      <c r="K5" s="13">
        <v>7387158734</v>
      </c>
      <c r="L5" s="110" t="s">
        <v>1632</v>
      </c>
      <c r="N5" s="80" t="s">
        <v>1089</v>
      </c>
    </row>
    <row r="6" spans="1:14" x14ac:dyDescent="0.25">
      <c r="A6" s="13" t="s">
        <v>1828</v>
      </c>
      <c r="B6" s="46">
        <v>45272</v>
      </c>
      <c r="C6" s="46">
        <v>45273</v>
      </c>
      <c r="D6" s="17" t="s">
        <v>24</v>
      </c>
      <c r="E6" s="110" t="s">
        <v>1631</v>
      </c>
      <c r="F6" s="80">
        <v>25</v>
      </c>
      <c r="G6" s="50">
        <v>280</v>
      </c>
      <c r="H6" s="80">
        <f t="shared" si="0"/>
        <v>7000</v>
      </c>
      <c r="I6" s="80" t="s">
        <v>144</v>
      </c>
      <c r="J6" s="80" t="s">
        <v>1808</v>
      </c>
      <c r="K6" s="13">
        <v>8796170012</v>
      </c>
      <c r="L6" s="110" t="s">
        <v>1632</v>
      </c>
    </row>
    <row r="7" spans="1:14" x14ac:dyDescent="0.25">
      <c r="A7" s="13" t="s">
        <v>1828</v>
      </c>
      <c r="B7" s="46">
        <v>45272</v>
      </c>
      <c r="C7" s="46">
        <v>45273</v>
      </c>
      <c r="D7" s="17" t="s">
        <v>24</v>
      </c>
      <c r="E7" s="110" t="s">
        <v>1631</v>
      </c>
      <c r="F7" s="80">
        <v>25</v>
      </c>
      <c r="G7" s="80">
        <v>120</v>
      </c>
      <c r="H7" s="80">
        <f t="shared" si="0"/>
        <v>3000</v>
      </c>
      <c r="I7" s="80" t="s">
        <v>144</v>
      </c>
      <c r="J7" s="80" t="s">
        <v>1808</v>
      </c>
      <c r="K7" s="13">
        <v>8796170012</v>
      </c>
      <c r="L7" s="110" t="s">
        <v>1632</v>
      </c>
    </row>
    <row r="8" spans="1:14" x14ac:dyDescent="0.25">
      <c r="A8" s="13"/>
      <c r="B8" s="20"/>
      <c r="C8" s="20"/>
      <c r="D8" s="13"/>
      <c r="E8" s="110"/>
      <c r="F8" s="80"/>
      <c r="G8" s="80"/>
      <c r="H8" s="80"/>
      <c r="I8" s="80"/>
      <c r="J8" s="80"/>
      <c r="K8" s="13"/>
      <c r="L8" s="110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 Summery</vt:lpstr>
      <vt:lpstr>Inward</vt:lpstr>
      <vt:lpstr>Outward</vt:lpstr>
      <vt:lpstr>PP &amp; Metric tonnes detail</vt:lpstr>
      <vt:lpstr>GRN details</vt:lpstr>
      <vt:lpstr>DISPATCH NOTIFICATION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91937</dc:creator>
  <cp:lastModifiedBy>Admin</cp:lastModifiedBy>
  <cp:lastPrinted>2023-10-13T15:18:19Z</cp:lastPrinted>
  <dcterms:created xsi:type="dcterms:W3CDTF">2023-06-06T10:14:19Z</dcterms:created>
  <dcterms:modified xsi:type="dcterms:W3CDTF">2023-12-13T11:48:09Z</dcterms:modified>
</cp:coreProperties>
</file>